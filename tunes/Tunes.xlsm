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ministry\tunes\"/>
    </mc:Choice>
  </mc:AlternateContent>
  <xr:revisionPtr revIDLastSave="0" documentId="13_ncr:1_{8E757BFE-3299-47FD-89E6-4C6F743E1459}" xr6:coauthVersionLast="45" xr6:coauthVersionMax="45" xr10:uidLastSave="{00000000-0000-0000-0000-000000000000}"/>
  <bookViews>
    <workbookView xWindow="-108" yWindow="-108" windowWidth="23256" windowHeight="12720" activeTab="2" xr2:uid="{43E1D4FC-A3F6-284C-8B8B-CB85A8AC2A79}"/>
  </bookViews>
  <sheets>
    <sheet name="Sheet1" sheetId="6" r:id="rId1"/>
    <sheet name="Tunes" sheetId="3" r:id="rId2"/>
    <sheet name="New Tunes" sheetId="5" r:id="rId3"/>
    <sheet name="Meters" sheetId="4" r:id="rId4"/>
    <sheet name="MP3" sheetId="1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" l="1"/>
  <c r="D50" i="5" s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D12" i="5" l="1"/>
  <c r="D20" i="5"/>
  <c r="D29" i="5"/>
  <c r="D35" i="5"/>
  <c r="D43" i="5"/>
  <c r="D13" i="5"/>
  <c r="D21" i="5"/>
  <c r="D30" i="5"/>
  <c r="D36" i="5"/>
  <c r="D44" i="5"/>
  <c r="D7" i="5"/>
  <c r="D22" i="5"/>
  <c r="D16" i="5"/>
  <c r="D37" i="5"/>
  <c r="D45" i="5"/>
  <c r="D14" i="5"/>
  <c r="D23" i="5"/>
  <c r="D24" i="5"/>
  <c r="D40" i="5"/>
  <c r="D46" i="5"/>
  <c r="D8" i="5"/>
  <c r="D15" i="5"/>
  <c r="D25" i="5"/>
  <c r="D31" i="5"/>
  <c r="D38" i="5"/>
  <c r="D47" i="5"/>
  <c r="D9" i="5"/>
  <c r="D17" i="5"/>
  <c r="D26" i="5"/>
  <c r="D32" i="5"/>
  <c r="D39" i="5"/>
  <c r="D48" i="5"/>
  <c r="D10" i="5"/>
  <c r="D18" i="5"/>
  <c r="D27" i="5"/>
  <c r="D33" i="5"/>
  <c r="D41" i="5"/>
  <c r="D49" i="5"/>
  <c r="D11" i="5"/>
  <c r="D19" i="5"/>
  <c r="D28" i="5"/>
  <c r="D34" i="5"/>
  <c r="D42" i="5"/>
  <c r="D3" i="5"/>
  <c r="D102" i="3"/>
  <c r="D38" i="3"/>
  <c r="D646" i="3"/>
  <c r="D7" i="3"/>
  <c r="D2" i="5"/>
  <c r="D562" i="3"/>
  <c r="D325" i="3"/>
  <c r="D4" i="5"/>
  <c r="D590" i="3"/>
  <c r="D5" i="5"/>
  <c r="D225" i="3"/>
  <c r="D411" i="3"/>
  <c r="D6" i="5"/>
  <c r="D458" i="3"/>
  <c r="D576" i="3"/>
  <c r="D222" i="3"/>
  <c r="D185" i="3"/>
  <c r="D349" i="3"/>
  <c r="D619" i="3"/>
  <c r="D690" i="3"/>
  <c r="D377" i="3"/>
  <c r="D54" i="3"/>
  <c r="D152" i="3"/>
  <c r="D30" i="3"/>
  <c r="D314" i="3"/>
  <c r="D288" i="3"/>
  <c r="D638" i="3"/>
  <c r="D164" i="3"/>
  <c r="D282" i="3"/>
  <c r="D110" i="3"/>
  <c r="D323" i="3"/>
  <c r="D148" i="3"/>
  <c r="D494" i="3"/>
  <c r="D724" i="3"/>
  <c r="D195" i="3"/>
  <c r="D581" i="3"/>
  <c r="D179" i="3"/>
  <c r="D563" i="3"/>
  <c r="D47" i="3"/>
  <c r="D50" i="3"/>
  <c r="D294" i="3"/>
  <c r="D145" i="3"/>
  <c r="D551" i="3"/>
  <c r="D694" i="3"/>
  <c r="D252" i="3"/>
  <c r="D283" i="3"/>
  <c r="D404" i="3"/>
  <c r="D582" i="3"/>
  <c r="D165" i="3"/>
  <c r="D265" i="3"/>
  <c r="D51" i="3"/>
  <c r="D502" i="3"/>
  <c r="D719" i="3"/>
  <c r="D345" i="3"/>
  <c r="D169" i="3"/>
  <c r="D322" i="3"/>
  <c r="D699" i="3"/>
  <c r="D62" i="3"/>
  <c r="D715" i="3"/>
  <c r="D213" i="3"/>
  <c r="D425" i="3"/>
  <c r="D162" i="3"/>
  <c r="D95" i="3"/>
  <c r="D39" i="3"/>
  <c r="D615" i="3"/>
  <c r="D480" i="3"/>
  <c r="D569" i="3"/>
  <c r="D600" i="3"/>
  <c r="D723" i="3"/>
  <c r="D505" i="3"/>
  <c r="D373" i="3"/>
  <c r="D468" i="3"/>
  <c r="D361" i="3"/>
  <c r="D604" i="3"/>
  <c r="D212" i="3"/>
  <c r="D460" i="3"/>
  <c r="D27" i="3"/>
  <c r="D514" i="3"/>
  <c r="D489" i="3"/>
  <c r="D301" i="3"/>
  <c r="D108" i="3"/>
  <c r="D211" i="3"/>
  <c r="D42" i="3"/>
  <c r="D255" i="3"/>
  <c r="D41" i="3"/>
  <c r="D440" i="3"/>
  <c r="D394" i="3"/>
  <c r="D651" i="3"/>
  <c r="D535" i="3"/>
  <c r="D122" i="3"/>
  <c r="D483" i="3"/>
  <c r="D351" i="3"/>
  <c r="D755" i="3"/>
  <c r="D246" i="3"/>
  <c r="D12" i="3"/>
  <c r="D550" i="3"/>
  <c r="D127" i="3"/>
  <c r="D80" i="3"/>
  <c r="D528" i="3"/>
  <c r="D727" i="3"/>
  <c r="D716" i="3"/>
  <c r="D721" i="3"/>
  <c r="D65" i="3"/>
  <c r="D43" i="3"/>
  <c r="D645" i="3"/>
  <c r="D692" i="3"/>
  <c r="D318" i="3"/>
  <c r="D146" i="3"/>
  <c r="D260" i="3"/>
  <c r="D580" i="3"/>
  <c r="D517" i="3"/>
  <c r="D527" i="3"/>
  <c r="D200" i="3"/>
  <c r="D242" i="3"/>
  <c r="D588" i="3"/>
  <c r="D573" i="3"/>
  <c r="D33" i="3"/>
  <c r="D610" i="3"/>
  <c r="D183" i="3"/>
  <c r="D291" i="3"/>
  <c r="D14" i="3"/>
  <c r="D311" i="3"/>
  <c r="D208" i="3"/>
  <c r="D34" i="3"/>
  <c r="D521" i="3"/>
  <c r="D531" i="3"/>
  <c r="D74" i="3"/>
  <c r="D464" i="3"/>
  <c r="D111" i="3"/>
  <c r="D702" i="3"/>
  <c r="D229" i="3"/>
  <c r="D449" i="3"/>
  <c r="D539" i="3"/>
  <c r="D66" i="3"/>
  <c r="D48" i="3"/>
  <c r="D360" i="3"/>
  <c r="D726" i="3"/>
  <c r="D5" i="3"/>
  <c r="D579" i="3"/>
  <c r="D44" i="3"/>
  <c r="D490" i="3"/>
  <c r="D606" i="3"/>
  <c r="D312" i="3"/>
  <c r="D214" i="3"/>
  <c r="D233" i="3"/>
  <c r="D79" i="3"/>
  <c r="D526" i="3"/>
  <c r="D667" i="3"/>
  <c r="D112" i="3"/>
  <c r="D22" i="3"/>
  <c r="D342" i="3"/>
  <c r="D661" i="3"/>
  <c r="D737" i="3"/>
  <c r="D456" i="3"/>
  <c r="D461" i="3"/>
  <c r="D761" i="3"/>
  <c r="D53" i="3"/>
  <c r="D487" i="3"/>
  <c r="D170" i="3"/>
  <c r="D60" i="3"/>
  <c r="D593" i="3"/>
  <c r="D254" i="3"/>
  <c r="D167" i="3"/>
  <c r="D488" i="3"/>
  <c r="D493" i="3"/>
  <c r="D40" i="3"/>
  <c r="D267" i="3"/>
  <c r="D567" i="3"/>
  <c r="D159" i="3"/>
  <c r="D16" i="3"/>
  <c r="D151" i="3"/>
  <c r="D20" i="3"/>
  <c r="D285" i="3"/>
  <c r="D340" i="3"/>
  <c r="D209" i="3"/>
  <c r="D676" i="3"/>
  <c r="D134" i="3"/>
  <c r="D324" i="3"/>
  <c r="D712" i="3"/>
  <c r="D100" i="3"/>
  <c r="D307" i="3"/>
  <c r="D139" i="3"/>
  <c r="D29" i="3"/>
  <c r="D57" i="3"/>
  <c r="D503" i="3"/>
  <c r="D655" i="3"/>
  <c r="D103" i="3"/>
  <c r="D18" i="3"/>
  <c r="D135" i="3"/>
  <c r="D657" i="3"/>
  <c r="D700" i="3"/>
  <c r="D413" i="3"/>
  <c r="D412" i="3"/>
  <c r="D300" i="3"/>
  <c r="D708" i="3"/>
  <c r="D431" i="3"/>
  <c r="D189" i="3"/>
  <c r="D478" i="3"/>
  <c r="D393" i="3"/>
  <c r="D205" i="3"/>
  <c r="D68" i="3"/>
  <c r="D408" i="3"/>
  <c r="D476" i="3"/>
  <c r="D32" i="3"/>
  <c r="D69" i="3"/>
  <c r="D330" i="3"/>
  <c r="D686" i="3"/>
  <c r="D364" i="3"/>
  <c r="D665" i="3"/>
  <c r="D416" i="3"/>
  <c r="D759" i="3"/>
  <c r="D131" i="3"/>
  <c r="D271" i="3"/>
  <c r="D286" i="3"/>
  <c r="D470" i="3"/>
  <c r="D501" i="3"/>
  <c r="D612" i="3"/>
  <c r="D522" i="3"/>
  <c r="D546" i="3"/>
  <c r="D143" i="3"/>
  <c r="D697" i="3"/>
  <c r="D166" i="3"/>
  <c r="D720" i="3"/>
  <c r="D287" i="3"/>
  <c r="D248" i="3"/>
  <c r="D625" i="3"/>
  <c r="D533" i="3"/>
  <c r="D36" i="3"/>
  <c r="D545" i="3"/>
  <c r="D471" i="3"/>
  <c r="D682" i="3"/>
  <c r="D9" i="3"/>
  <c r="D78" i="3"/>
  <c r="D258" i="3"/>
  <c r="D336" i="3"/>
  <c r="D424" i="3"/>
  <c r="D462" i="3"/>
  <c r="D10" i="3"/>
  <c r="D171" i="3"/>
  <c r="D274" i="3"/>
  <c r="D339" i="3"/>
  <c r="D426" i="3"/>
  <c r="D472" i="3"/>
  <c r="D616" i="3"/>
  <c r="D641" i="3"/>
  <c r="D703" i="3"/>
  <c r="D633" i="3"/>
  <c r="D109" i="3"/>
  <c r="D313" i="3"/>
  <c r="D475" i="3"/>
  <c r="D738" i="3"/>
  <c r="D56" i="3"/>
  <c r="D375" i="3"/>
  <c r="D549" i="3"/>
  <c r="D709" i="3"/>
  <c r="D542" i="3"/>
  <c r="D371" i="3"/>
  <c r="D52" i="3"/>
  <c r="D335" i="3"/>
  <c r="D427" i="3"/>
  <c r="D190" i="3"/>
  <c r="D613" i="3"/>
  <c r="D55" i="3"/>
  <c r="D217" i="3"/>
  <c r="D390" i="3"/>
  <c r="D644" i="3"/>
  <c r="D302" i="3"/>
  <c r="D743" i="3"/>
  <c r="D597" i="3"/>
  <c r="D403" i="3"/>
  <c r="D668" i="3"/>
  <c r="D486" i="3"/>
  <c r="D81" i="3"/>
  <c r="D297" i="3"/>
  <c r="D544" i="3"/>
  <c r="D739" i="3"/>
  <c r="D161" i="3"/>
  <c r="D28" i="3"/>
  <c r="D85" i="3"/>
  <c r="D331" i="3"/>
  <c r="D675" i="3"/>
  <c r="D226" i="3"/>
  <c r="D511" i="3"/>
  <c r="D578" i="3"/>
  <c r="D261" i="3"/>
  <c r="D509" i="3"/>
  <c r="D8" i="3"/>
  <c r="D223" i="3"/>
  <c r="D59" i="3"/>
  <c r="D178" i="3"/>
  <c r="D328" i="3"/>
  <c r="D711" i="3"/>
  <c r="D303" i="3"/>
  <c r="D45" i="3"/>
  <c r="D191" i="3"/>
  <c r="D275" i="3"/>
  <c r="D352" i="3"/>
  <c r="D438" i="3"/>
  <c r="D481" i="3"/>
  <c r="D618" i="3"/>
  <c r="D570" i="3"/>
  <c r="D707" i="3"/>
  <c r="D687" i="3"/>
  <c r="D124" i="3"/>
  <c r="D316" i="3"/>
  <c r="D497" i="3"/>
  <c r="D740" i="3"/>
  <c r="D87" i="3"/>
  <c r="D437" i="3"/>
  <c r="D553" i="3"/>
  <c r="D725" i="3"/>
  <c r="D379" i="3"/>
  <c r="D378" i="3"/>
  <c r="D735" i="3"/>
  <c r="D463" i="3"/>
  <c r="D565" i="3"/>
  <c r="D218" i="3"/>
  <c r="D639" i="3"/>
  <c r="D147" i="3"/>
  <c r="D237" i="3"/>
  <c r="D429" i="3"/>
  <c r="D662" i="3"/>
  <c r="D333" i="3"/>
  <c r="D406" i="3"/>
  <c r="D104" i="3"/>
  <c r="D717" i="3"/>
  <c r="D669" i="3"/>
  <c r="D659" i="3"/>
  <c r="D105" i="3"/>
  <c r="D298" i="3"/>
  <c r="D556" i="3"/>
  <c r="D382" i="3"/>
  <c r="D363" i="3"/>
  <c r="D234" i="3"/>
  <c r="D93" i="3"/>
  <c r="D347" i="3"/>
  <c r="D734" i="3"/>
  <c r="D321" i="3"/>
  <c r="D327" i="3"/>
  <c r="D353" i="3"/>
  <c r="D420" i="3"/>
  <c r="D519" i="3"/>
  <c r="D101" i="3"/>
  <c r="D652" i="3"/>
  <c r="D61" i="3"/>
  <c r="D215" i="3"/>
  <c r="D372" i="3"/>
  <c r="D433" i="3"/>
  <c r="D337" i="3"/>
  <c r="D184" i="3"/>
  <c r="D98" i="3"/>
  <c r="D402" i="3"/>
  <c r="D238" i="3"/>
  <c r="D76" i="3"/>
  <c r="D660" i="3"/>
  <c r="D83" i="3"/>
  <c r="D383" i="3"/>
  <c r="D295" i="3"/>
  <c r="D543" i="3"/>
  <c r="D334" i="3"/>
  <c r="D114" i="3"/>
  <c r="D485" i="3"/>
  <c r="D354" i="3"/>
  <c r="D753" i="3"/>
  <c r="D140" i="3"/>
  <c r="D559" i="3"/>
  <c r="D443" i="3"/>
  <c r="D136" i="3"/>
  <c r="D173" i="3"/>
  <c r="D240" i="3"/>
  <c r="D219" i="3"/>
  <c r="D566" i="3"/>
  <c r="D204" i="3"/>
  <c r="D435" i="3"/>
  <c r="D251" i="3"/>
  <c r="D113" i="3"/>
  <c r="D46" i="3"/>
  <c r="D194" i="3"/>
  <c r="D280" i="3"/>
  <c r="D365" i="3"/>
  <c r="D451" i="3"/>
  <c r="D532" i="3"/>
  <c r="D622" i="3"/>
  <c r="D575" i="3"/>
  <c r="D741" i="3"/>
  <c r="D732" i="3"/>
  <c r="D175" i="3"/>
  <c r="D359" i="3"/>
  <c r="D548" i="3"/>
  <c r="D746" i="3"/>
  <c r="D121" i="3"/>
  <c r="D441" i="3"/>
  <c r="D628" i="3"/>
  <c r="D729" i="3"/>
  <c r="D696" i="3"/>
  <c r="D84" i="3"/>
  <c r="D442" i="3"/>
  <c r="D678" i="3"/>
  <c r="D571" i="3"/>
  <c r="D293" i="3"/>
  <c r="D674" i="3"/>
  <c r="D158" i="3"/>
  <c r="D243" i="3"/>
  <c r="D439" i="3"/>
  <c r="D683" i="3"/>
  <c r="D436" i="3"/>
  <c r="D701" i="3"/>
  <c r="D115" i="3"/>
  <c r="D296" i="3"/>
  <c r="D670" i="3"/>
  <c r="D736" i="3"/>
  <c r="D153" i="3"/>
  <c r="D391" i="3"/>
  <c r="D583" i="3"/>
  <c r="D482" i="3"/>
  <c r="D407" i="3"/>
  <c r="D343" i="3"/>
  <c r="D119" i="3"/>
  <c r="D346" i="3"/>
  <c r="D21" i="3"/>
  <c r="D496" i="3"/>
  <c r="D357" i="3"/>
  <c r="D277" i="3"/>
  <c r="D516" i="3"/>
  <c r="D642" i="3"/>
  <c r="D368" i="3"/>
  <c r="D292" i="3"/>
  <c r="D64" i="3"/>
  <c r="D224" i="3"/>
  <c r="D422" i="3"/>
  <c r="D338" i="3"/>
  <c r="D693" i="3"/>
  <c r="D221" i="3"/>
  <c r="D116" i="3"/>
  <c r="D681" i="3"/>
  <c r="D730" i="3"/>
  <c r="D91" i="3"/>
  <c r="D97" i="3"/>
  <c r="D129" i="3"/>
  <c r="D418" i="3"/>
  <c r="D341" i="3"/>
  <c r="D754" i="3"/>
  <c r="D26" i="3"/>
  <c r="D154" i="3"/>
  <c r="D495" i="3"/>
  <c r="D417" i="3"/>
  <c r="D629" i="3"/>
  <c r="D262" i="3"/>
  <c r="D745" i="3"/>
  <c r="D554" i="3"/>
  <c r="D180" i="3"/>
  <c r="D315" i="3"/>
  <c r="D247" i="3"/>
  <c r="D63" i="3"/>
  <c r="D196" i="3"/>
  <c r="D284" i="3"/>
  <c r="D374" i="3"/>
  <c r="D452" i="3"/>
  <c r="D536" i="3"/>
  <c r="D627" i="3"/>
  <c r="D584" i="3"/>
  <c r="D749" i="3"/>
  <c r="D4" i="3"/>
  <c r="D193" i="3"/>
  <c r="D397" i="3"/>
  <c r="D555" i="3"/>
  <c r="D751" i="3"/>
  <c r="D125" i="3"/>
  <c r="D445" i="3"/>
  <c r="D635" i="3"/>
  <c r="D763" i="3"/>
  <c r="D649" i="3"/>
  <c r="D395" i="3"/>
  <c r="D474" i="3"/>
  <c r="D132" i="3"/>
  <c r="D685" i="3"/>
  <c r="D210" i="3"/>
  <c r="D742" i="3"/>
  <c r="D172" i="3"/>
  <c r="D259" i="3"/>
  <c r="D499" i="3"/>
  <c r="D684" i="3"/>
  <c r="D444" i="3"/>
  <c r="D585" i="3"/>
  <c r="D118" i="3"/>
  <c r="D448" i="3"/>
  <c r="D671" i="3"/>
  <c r="D157" i="3"/>
  <c r="D155" i="3"/>
  <c r="D409" i="3"/>
  <c r="D587" i="3"/>
  <c r="D348" i="3"/>
  <c r="D473" i="3"/>
  <c r="D389" i="3"/>
  <c r="D150" i="3"/>
  <c r="D362" i="3"/>
  <c r="D577" i="3"/>
  <c r="D507" i="3"/>
  <c r="D358" i="3"/>
  <c r="D632" i="3"/>
  <c r="D537" i="3"/>
  <c r="D500" i="3"/>
  <c r="D398" i="3"/>
  <c r="D679" i="3"/>
  <c r="D75" i="3"/>
  <c r="D235" i="3"/>
  <c r="D611" i="3"/>
  <c r="D236" i="3"/>
  <c r="D82" i="3"/>
  <c r="D467" i="3"/>
  <c r="D386" i="3"/>
  <c r="D733" i="3"/>
  <c r="D332" i="3"/>
  <c r="D220" i="3"/>
  <c r="D107" i="3"/>
  <c r="D197" i="3"/>
  <c r="D540" i="3"/>
  <c r="D381" i="3"/>
  <c r="D207" i="3"/>
  <c r="D141" i="3"/>
  <c r="D228" i="3"/>
  <c r="D6" i="3"/>
  <c r="D630" i="3"/>
  <c r="D599" i="3"/>
  <c r="D270" i="3"/>
  <c r="D421" i="3"/>
  <c r="D17" i="3"/>
  <c r="D760" i="3"/>
  <c r="D558" i="3"/>
  <c r="D434" i="3"/>
  <c r="D457" i="3"/>
  <c r="D752" i="3"/>
  <c r="D120" i="3"/>
  <c r="D356" i="3"/>
  <c r="D329" i="3"/>
  <c r="D469" i="3"/>
  <c r="D428" i="3"/>
  <c r="D608" i="3"/>
  <c r="D67" i="3"/>
  <c r="D198" i="3"/>
  <c r="D317" i="3"/>
  <c r="D384" i="3"/>
  <c r="D453" i="3"/>
  <c r="D547" i="3"/>
  <c r="D631" i="3"/>
  <c r="D598" i="3"/>
  <c r="D757" i="3"/>
  <c r="D15" i="3"/>
  <c r="D202" i="3"/>
  <c r="D405" i="3"/>
  <c r="D621" i="3"/>
  <c r="D758" i="3"/>
  <c r="D156" i="3"/>
  <c r="D446" i="3"/>
  <c r="D589" i="3"/>
  <c r="D182" i="3"/>
  <c r="D96" i="3"/>
  <c r="D626" i="3"/>
  <c r="D3" i="3"/>
  <c r="D168" i="3"/>
  <c r="D199" i="3"/>
  <c r="D253" i="3"/>
  <c r="D744" i="3"/>
  <c r="D188" i="3"/>
  <c r="D266" i="3"/>
  <c r="D538" i="3"/>
  <c r="D430" i="3"/>
  <c r="D617" i="3"/>
  <c r="D90" i="3"/>
  <c r="D142" i="3"/>
  <c r="D680" i="3"/>
  <c r="D672" i="3"/>
  <c r="D19" i="3"/>
  <c r="D216" i="3"/>
  <c r="D454" i="3"/>
  <c r="D607" i="3"/>
  <c r="D586" i="3"/>
  <c r="D510" i="3"/>
  <c r="D326" i="3"/>
  <c r="D176" i="3"/>
  <c r="D392" i="3"/>
  <c r="D595" i="3"/>
  <c r="D524" i="3"/>
  <c r="D498" i="3"/>
  <c r="D13" i="3"/>
  <c r="D634" i="3"/>
  <c r="D747" i="3"/>
  <c r="D572" i="3"/>
  <c r="D133" i="3"/>
  <c r="D86" i="3"/>
  <c r="D281" i="3"/>
  <c r="D602" i="3"/>
  <c r="D688" i="3"/>
  <c r="D232" i="3"/>
  <c r="D512" i="3"/>
  <c r="D624" i="3"/>
  <c r="D181" i="3"/>
  <c r="D643" i="3"/>
  <c r="D344" i="3"/>
  <c r="D123" i="3"/>
  <c r="D201" i="3"/>
  <c r="D591" i="3"/>
  <c r="D492" i="3"/>
  <c r="D477" i="3"/>
  <c r="D160" i="3"/>
  <c r="D257" i="3"/>
  <c r="D654" i="3"/>
  <c r="D706" i="3"/>
  <c r="D71" i="3"/>
  <c r="D231" i="3"/>
  <c r="D319" i="3"/>
  <c r="D401" i="3"/>
  <c r="D459" i="3"/>
  <c r="D560" i="3"/>
  <c r="D636" i="3"/>
  <c r="D605" i="3"/>
  <c r="D400" i="3"/>
  <c r="D23" i="3"/>
  <c r="D276" i="3"/>
  <c r="D415" i="3"/>
  <c r="D666" i="3"/>
  <c r="D305" i="3"/>
  <c r="D256" i="3"/>
  <c r="D447" i="3"/>
  <c r="D594" i="3"/>
  <c r="D388" i="3"/>
  <c r="D450" i="3"/>
  <c r="D656" i="3"/>
  <c r="D77" i="3"/>
  <c r="D239" i="3"/>
  <c r="D376" i="3"/>
  <c r="D367" i="3"/>
  <c r="D564" i="3"/>
  <c r="D192" i="3"/>
  <c r="D290" i="3"/>
  <c r="D552" i="3"/>
  <c r="D614" i="3"/>
  <c r="D695" i="3"/>
  <c r="D163" i="3"/>
  <c r="D648" i="3"/>
  <c r="D623" i="3"/>
  <c r="D673" i="3"/>
  <c r="D24" i="3"/>
  <c r="D241" i="3"/>
  <c r="D484" i="3"/>
  <c r="D653" i="3"/>
  <c r="D106" i="3"/>
  <c r="D529" i="3"/>
  <c r="D396" i="3"/>
  <c r="D186" i="3"/>
  <c r="D399" i="3"/>
  <c r="D508" i="3"/>
  <c r="D541" i="3"/>
  <c r="D128" i="3"/>
  <c r="D99" i="3"/>
  <c r="D647" i="3"/>
  <c r="D31" i="3"/>
  <c r="D187" i="3"/>
  <c r="D2" i="3"/>
  <c r="D88" i="3"/>
  <c r="D306" i="3"/>
  <c r="D603" i="3"/>
  <c r="D718" i="3"/>
  <c r="D308" i="3"/>
  <c r="D592" i="3"/>
  <c r="D704" i="3"/>
  <c r="D455" i="3"/>
  <c r="D25" i="3"/>
  <c r="D504" i="3"/>
  <c r="D250" i="3"/>
  <c r="D264" i="3"/>
  <c r="D710" i="3"/>
  <c r="D637" i="3"/>
  <c r="D513" i="3"/>
  <c r="D380" i="3"/>
  <c r="D304" i="3"/>
  <c r="D58" i="3"/>
  <c r="D714" i="3"/>
  <c r="D11" i="3"/>
  <c r="D272" i="3"/>
  <c r="D350" i="3"/>
  <c r="D596" i="3"/>
  <c r="D279" i="3"/>
  <c r="D756" i="3"/>
  <c r="D137" i="3"/>
  <c r="D523" i="3"/>
  <c r="D609" i="3"/>
  <c r="D117" i="3"/>
  <c r="D37" i="3"/>
  <c r="D479" i="3"/>
  <c r="D677" i="3"/>
  <c r="D568" i="3"/>
  <c r="D762" i="3"/>
  <c r="D269" i="3"/>
  <c r="D722" i="3"/>
  <c r="D177" i="3"/>
  <c r="D664" i="3"/>
  <c r="D385" i="3"/>
  <c r="D366" i="3"/>
  <c r="D203" i="3"/>
  <c r="D561" i="3"/>
  <c r="D289" i="3"/>
  <c r="D525" i="3"/>
  <c r="D249" i="3"/>
  <c r="D574" i="3"/>
  <c r="D92" i="3"/>
  <c r="D126" i="3"/>
  <c r="D273" i="3"/>
  <c r="D130" i="3"/>
  <c r="D138" i="3"/>
  <c r="D748" i="3"/>
  <c r="D355" i="3"/>
  <c r="D530" i="3"/>
  <c r="D387" i="3"/>
  <c r="D466" i="3"/>
  <c r="D89" i="3"/>
  <c r="D206" i="3"/>
  <c r="D663" i="3"/>
  <c r="D713" i="3"/>
  <c r="D263" i="3"/>
  <c r="D728" i="3"/>
  <c r="D620" i="3"/>
  <c r="D491" i="3"/>
  <c r="D689" i="3"/>
  <c r="D534" i="3"/>
  <c r="D419" i="3"/>
  <c r="D650" i="3"/>
  <c r="D245" i="3"/>
  <c r="D410" i="3"/>
  <c r="D520" i="3"/>
  <c r="D731" i="3"/>
  <c r="D268" i="3"/>
  <c r="D601" i="3"/>
  <c r="D149" i="3"/>
  <c r="D698" i="3"/>
  <c r="D705" i="3"/>
  <c r="D227" i="3"/>
  <c r="D144" i="3"/>
  <c r="D244" i="3"/>
  <c r="D278" i="3"/>
  <c r="D515" i="3"/>
  <c r="D432" i="3"/>
  <c r="D423" i="3"/>
  <c r="D691" i="3"/>
  <c r="D750" i="3"/>
  <c r="D506" i="3"/>
  <c r="D94" i="3"/>
  <c r="D70" i="3"/>
  <c r="D658" i="3"/>
  <c r="D370" i="3"/>
  <c r="D518" i="3"/>
  <c r="D310" i="3"/>
  <c r="D299" i="3"/>
  <c r="D35" i="3"/>
  <c r="D230" i="3"/>
  <c r="D557" i="3"/>
  <c r="D414" i="3"/>
  <c r="D72" i="3"/>
  <c r="D465" i="3"/>
  <c r="D369" i="3"/>
  <c r="D49" i="3"/>
  <c r="D174" i="3"/>
  <c r="D320" i="3"/>
  <c r="D309" i="3"/>
  <c r="D640" i="3"/>
  <c r="D73" i="3"/>
  <c r="G669" i="3"/>
  <c r="G670" i="3"/>
  <c r="G671" i="3"/>
  <c r="G672" i="3"/>
  <c r="G673" i="3"/>
  <c r="J669" i="3"/>
  <c r="J670" i="3"/>
  <c r="J671" i="3"/>
  <c r="J672" i="3"/>
  <c r="J673" i="3"/>
  <c r="G668" i="3"/>
  <c r="J668" i="3"/>
  <c r="G667" i="3"/>
  <c r="J667" i="3"/>
  <c r="G25" i="3"/>
  <c r="G9" i="3"/>
  <c r="G43" i="3"/>
  <c r="G10" i="3"/>
  <c r="G51" i="3"/>
  <c r="G45" i="3"/>
  <c r="G54" i="3"/>
  <c r="G46" i="3"/>
  <c r="G76" i="3"/>
  <c r="G91" i="3"/>
  <c r="G63" i="3"/>
  <c r="G67" i="3"/>
  <c r="G71" i="3"/>
  <c r="G73" i="3"/>
  <c r="G78" i="3"/>
  <c r="G220" i="3"/>
  <c r="G344" i="3"/>
  <c r="G171" i="3"/>
  <c r="G504" i="3"/>
  <c r="G191" i="3"/>
  <c r="G518" i="3"/>
  <c r="G194" i="3"/>
  <c r="G530" i="3"/>
  <c r="G196" i="3"/>
  <c r="G612" i="3"/>
  <c r="G198" i="3"/>
  <c r="G660" i="3"/>
  <c r="G231" i="3"/>
  <c r="G97" i="3"/>
  <c r="G245" i="3"/>
  <c r="G107" i="3"/>
  <c r="G258" i="3"/>
  <c r="G123" i="3"/>
  <c r="G274" i="3"/>
  <c r="G250" i="3"/>
  <c r="G275" i="3"/>
  <c r="G324" i="3"/>
  <c r="G280" i="3"/>
  <c r="G44" i="3"/>
  <c r="G284" i="3"/>
  <c r="G65" i="3"/>
  <c r="G317" i="3"/>
  <c r="G83" i="3"/>
  <c r="G319" i="3"/>
  <c r="G129" i="3"/>
  <c r="G325" i="3"/>
  <c r="G197" i="3"/>
  <c r="G336" i="3"/>
  <c r="G201" i="3"/>
  <c r="G339" i="3"/>
  <c r="G264" i="3"/>
  <c r="G352" i="3"/>
  <c r="G265" i="3"/>
  <c r="G365" i="3"/>
  <c r="G374" i="3"/>
  <c r="G370" i="3"/>
  <c r="G384" i="3"/>
  <c r="G383" i="3"/>
  <c r="G401" i="3"/>
  <c r="G418" i="3"/>
  <c r="G412" i="3"/>
  <c r="G540" i="3"/>
  <c r="G424" i="3"/>
  <c r="G591" i="3"/>
  <c r="G426" i="3"/>
  <c r="G710" i="3"/>
  <c r="G438" i="3"/>
  <c r="G355" i="3"/>
  <c r="G451" i="3"/>
  <c r="G501" i="3"/>
  <c r="G452" i="3"/>
  <c r="G134" i="3"/>
  <c r="G453" i="3"/>
  <c r="G295" i="3"/>
  <c r="G459" i="3"/>
  <c r="G341" i="3"/>
  <c r="G461" i="3"/>
  <c r="G381" i="3"/>
  <c r="G462" i="3"/>
  <c r="G492" i="3"/>
  <c r="G472" i="3"/>
  <c r="G637" i="3"/>
  <c r="G481" i="3"/>
  <c r="G579" i="3"/>
  <c r="G721" i="3"/>
  <c r="G532" i="3"/>
  <c r="G165" i="3"/>
  <c r="G536" i="3"/>
  <c r="G543" i="3"/>
  <c r="G547" i="3"/>
  <c r="G754" i="3"/>
  <c r="G560" i="3"/>
  <c r="G207" i="3"/>
  <c r="G610" i="3"/>
  <c r="G477" i="3"/>
  <c r="G615" i="3"/>
  <c r="G513" i="3"/>
  <c r="G616" i="3"/>
  <c r="G604" i="3"/>
  <c r="G618" i="3"/>
  <c r="G658" i="3"/>
  <c r="G622" i="3"/>
  <c r="G748" i="3"/>
  <c r="G627" i="3"/>
  <c r="G334" i="3"/>
  <c r="G631" i="3"/>
  <c r="G26" i="3"/>
  <c r="G636" i="3"/>
  <c r="G141" i="3"/>
  <c r="G638" i="3"/>
  <c r="G160" i="3"/>
  <c r="G640" i="3"/>
  <c r="G380" i="3"/>
  <c r="G641" i="3"/>
  <c r="G470" i="3"/>
  <c r="G570" i="3"/>
  <c r="G676" i="3"/>
  <c r="G575" i="3"/>
  <c r="G5" i="3"/>
  <c r="G584" i="3"/>
  <c r="G114" i="3"/>
  <c r="G598" i="3"/>
  <c r="G154" i="3"/>
  <c r="G605" i="3"/>
  <c r="G228" i="3"/>
  <c r="G650" i="3"/>
  <c r="G257" i="3"/>
  <c r="G304" i="3"/>
  <c r="G682" i="3"/>
  <c r="G716" i="3"/>
  <c r="G703" i="3"/>
  <c r="G582" i="3"/>
  <c r="G707" i="3"/>
  <c r="G377" i="3"/>
  <c r="G741" i="3"/>
  <c r="G485" i="3"/>
  <c r="G749" i="3"/>
  <c r="G495" i="3"/>
  <c r="G757" i="3"/>
  <c r="G6" i="3"/>
  <c r="G654" i="3"/>
  <c r="G58" i="3"/>
  <c r="G70" i="3"/>
  <c r="G400" i="3"/>
  <c r="G138" i="3"/>
  <c r="G413" i="3"/>
  <c r="G286" i="3"/>
  <c r="G456" i="3"/>
  <c r="G354" i="3"/>
  <c r="G633" i="3"/>
  <c r="G417" i="3"/>
  <c r="G687" i="3"/>
  <c r="G630" i="3"/>
  <c r="G732" i="3"/>
  <c r="G706" i="3"/>
  <c r="G4" i="3"/>
  <c r="G714" i="3"/>
  <c r="G15" i="3"/>
  <c r="G209" i="3"/>
  <c r="G23" i="3"/>
  <c r="G726" i="3"/>
  <c r="G33" i="3"/>
  <c r="G727" i="3"/>
  <c r="G39" i="3"/>
  <c r="G753" i="3"/>
  <c r="G629" i="3"/>
  <c r="G109" i="3"/>
  <c r="G599" i="3"/>
  <c r="G124" i="3"/>
  <c r="G404" i="3"/>
  <c r="G175" i="3"/>
  <c r="G11" i="3"/>
  <c r="G193" i="3"/>
  <c r="G38" i="3"/>
  <c r="G94" i="3"/>
  <c r="G130" i="3"/>
  <c r="G202" i="3"/>
  <c r="G140" i="3"/>
  <c r="G276" i="3"/>
  <c r="G262" i="3"/>
  <c r="G301" i="3"/>
  <c r="G270" i="3"/>
  <c r="G309" i="3"/>
  <c r="G271" i="3"/>
  <c r="G313" i="3"/>
  <c r="G272" i="3"/>
  <c r="G316" i="3"/>
  <c r="G340" i="3"/>
  <c r="G359" i="3"/>
  <c r="G360" i="3"/>
  <c r="G397" i="3"/>
  <c r="G528" i="3"/>
  <c r="G405" i="3"/>
  <c r="G559" i="3"/>
  <c r="G415" i="3"/>
  <c r="G745" i="3"/>
  <c r="G419" i="3"/>
  <c r="G421" i="3"/>
  <c r="G471" i="3"/>
  <c r="G283" i="3"/>
  <c r="G475" i="3"/>
  <c r="G350" i="3"/>
  <c r="G497" i="3"/>
  <c r="G361" i="3"/>
  <c r="G506" i="3"/>
  <c r="G548" i="3"/>
  <c r="G273" i="3"/>
  <c r="G555" i="3"/>
  <c r="G621" i="3"/>
  <c r="G443" i="3"/>
  <c r="G554" i="3"/>
  <c r="G666" i="3"/>
  <c r="G17" i="3"/>
  <c r="G700" i="3"/>
  <c r="G131" i="3"/>
  <c r="G737" i="3"/>
  <c r="G738" i="3"/>
  <c r="G596" i="3"/>
  <c r="G740" i="3"/>
  <c r="G285" i="3"/>
  <c r="G746" i="3"/>
  <c r="G48" i="3"/>
  <c r="G751" i="3"/>
  <c r="G80" i="3"/>
  <c r="G758" i="3"/>
  <c r="G136" i="3"/>
  <c r="G305" i="3"/>
  <c r="G180" i="3"/>
  <c r="G573" i="3"/>
  <c r="G760" i="3"/>
  <c r="G95" i="3"/>
  <c r="G252" i="3"/>
  <c r="G56" i="3"/>
  <c r="G279" i="3"/>
  <c r="G87" i="3"/>
  <c r="G690" i="3"/>
  <c r="G121" i="3"/>
  <c r="G750" i="3"/>
  <c r="G125" i="3"/>
  <c r="G126" i="3"/>
  <c r="G156" i="3"/>
  <c r="G173" i="3"/>
  <c r="G256" i="3"/>
  <c r="G315" i="3"/>
  <c r="G558" i="3"/>
  <c r="G288" i="3"/>
  <c r="G759" i="3"/>
  <c r="G320" i="3"/>
  <c r="G756" i="3"/>
  <c r="G375" i="3"/>
  <c r="G20" i="3"/>
  <c r="G437" i="3"/>
  <c r="G66" i="3"/>
  <c r="G441" i="3"/>
  <c r="G127" i="3"/>
  <c r="G445" i="3"/>
  <c r="G446" i="3"/>
  <c r="G240" i="3"/>
  <c r="G447" i="3"/>
  <c r="G247" i="3"/>
  <c r="G534" i="3"/>
  <c r="G434" i="3"/>
  <c r="G545" i="3"/>
  <c r="G694" i="3"/>
  <c r="G549" i="3"/>
  <c r="G137" i="3"/>
  <c r="G553" i="3"/>
  <c r="G468" i="3"/>
  <c r="G628" i="3"/>
  <c r="G691" i="3"/>
  <c r="G635" i="3"/>
  <c r="G92" i="3"/>
  <c r="G589" i="3"/>
  <c r="G219" i="3"/>
  <c r="G594" i="3"/>
  <c r="G416" i="3"/>
  <c r="G657" i="3"/>
  <c r="G457" i="3"/>
  <c r="G661" i="3"/>
  <c r="G709" i="3"/>
  <c r="G523" i="3"/>
  <c r="G539" i="3"/>
  <c r="G725" i="3"/>
  <c r="G550" i="3"/>
  <c r="G729" i="3"/>
  <c r="G551" i="3"/>
  <c r="G763" i="3"/>
  <c r="G566" i="3"/>
  <c r="G182" i="3"/>
  <c r="G619" i="3"/>
  <c r="G388" i="3"/>
  <c r="G752" i="3"/>
  <c r="G588" i="3"/>
  <c r="G423" i="3"/>
  <c r="G162" i="3"/>
  <c r="G609" i="3"/>
  <c r="G542" i="3"/>
  <c r="G574" i="3"/>
  <c r="G379" i="3"/>
  <c r="G665" i="3"/>
  <c r="G696" i="3"/>
  <c r="G151" i="3"/>
  <c r="G649" i="3"/>
  <c r="G204" i="3"/>
  <c r="G96" i="3"/>
  <c r="G449" i="3"/>
  <c r="G450" i="3"/>
  <c r="G120" i="3"/>
  <c r="G489" i="3"/>
  <c r="G12" i="3"/>
  <c r="G174" i="3"/>
  <c r="G117" i="3"/>
  <c r="G145" i="3"/>
  <c r="G371" i="3"/>
  <c r="G373" i="3"/>
  <c r="G378" i="3"/>
  <c r="G432" i="3"/>
  <c r="G435" i="3"/>
  <c r="G84" i="3"/>
  <c r="G249" i="3"/>
  <c r="G356" i="3"/>
  <c r="G395" i="3"/>
  <c r="G364" i="3"/>
  <c r="G626" i="3"/>
  <c r="G37" i="3"/>
  <c r="G656" i="3"/>
  <c r="G689" i="3"/>
  <c r="G16" i="3"/>
  <c r="G36" i="3"/>
  <c r="G229" i="3"/>
  <c r="G52" i="3"/>
  <c r="G246" i="3"/>
  <c r="G735" i="3"/>
  <c r="G251" i="3"/>
  <c r="G442" i="3"/>
  <c r="G294" i="3"/>
  <c r="G329" i="3"/>
  <c r="G474" i="3"/>
  <c r="G349" i="3"/>
  <c r="G3" i="3"/>
  <c r="G479" i="3"/>
  <c r="G77" i="3"/>
  <c r="G515" i="3"/>
  <c r="G135" i="3"/>
  <c r="G525" i="3"/>
  <c r="G342" i="3"/>
  <c r="G686" i="3"/>
  <c r="G335" i="3"/>
  <c r="G113" i="3"/>
  <c r="G463" i="3"/>
  <c r="G159" i="3"/>
  <c r="G678" i="3"/>
  <c r="G469" i="3"/>
  <c r="G132" i="3"/>
  <c r="G702" i="3"/>
  <c r="G168" i="3"/>
  <c r="G755" i="3"/>
  <c r="G239" i="3"/>
  <c r="G50" i="3"/>
  <c r="G242" i="3"/>
  <c r="G505" i="3"/>
  <c r="G278" i="3"/>
  <c r="G289" i="3"/>
  <c r="G425" i="3"/>
  <c r="G330" i="3"/>
  <c r="G427" i="3"/>
  <c r="G428" i="3"/>
  <c r="G565" i="3"/>
  <c r="G567" i="3"/>
  <c r="G571" i="3"/>
  <c r="G111" i="3"/>
  <c r="G685" i="3"/>
  <c r="G351" i="3"/>
  <c r="G47" i="3"/>
  <c r="G199" i="3"/>
  <c r="G185" i="3"/>
  <c r="G244" i="3"/>
  <c r="G376" i="3"/>
  <c r="G561" i="3"/>
  <c r="G514" i="3"/>
  <c r="G608" i="3"/>
  <c r="G49" i="3"/>
  <c r="G69" i="3"/>
  <c r="G190" i="3"/>
  <c r="G267" i="3"/>
  <c r="G464" i="3"/>
  <c r="G218" i="3"/>
  <c r="G483" i="3"/>
  <c r="G293" i="3"/>
  <c r="G563" i="3"/>
  <c r="G210" i="3"/>
  <c r="G723" i="3"/>
  <c r="G253" i="3"/>
  <c r="G144" i="3"/>
  <c r="G367" i="3"/>
  <c r="G203" i="3"/>
  <c r="G32" i="3"/>
  <c r="G491" i="3"/>
  <c r="G40" i="3"/>
  <c r="G533" i="3"/>
  <c r="G74" i="3"/>
  <c r="G613" i="3"/>
  <c r="G122" i="3"/>
  <c r="G639" i="3"/>
  <c r="G179" i="3"/>
  <c r="G674" i="3"/>
  <c r="G222" i="3"/>
  <c r="G742" i="3"/>
  <c r="G227" i="3"/>
  <c r="G744" i="3"/>
  <c r="G366" i="3"/>
  <c r="G564" i="3"/>
  <c r="G476" i="3"/>
  <c r="G493" i="3"/>
  <c r="G18" i="3"/>
  <c r="G531" i="3"/>
  <c r="G22" i="3"/>
  <c r="G535" i="3"/>
  <c r="G581" i="3"/>
  <c r="G55" i="3"/>
  <c r="G600" i="3"/>
  <c r="G147" i="3"/>
  <c r="G705" i="3"/>
  <c r="G158" i="3"/>
  <c r="G385" i="3"/>
  <c r="G172" i="3"/>
  <c r="G408" i="3"/>
  <c r="G188" i="3"/>
  <c r="G488" i="3"/>
  <c r="G192" i="3"/>
  <c r="G562" i="3"/>
  <c r="G200" i="3"/>
  <c r="G651" i="3"/>
  <c r="G213" i="3"/>
  <c r="G195" i="3"/>
  <c r="G217" i="3"/>
  <c r="G576" i="3"/>
  <c r="G237" i="3"/>
  <c r="G698" i="3"/>
  <c r="G243" i="3"/>
  <c r="G664" i="3"/>
  <c r="G259" i="3"/>
  <c r="G68" i="3"/>
  <c r="G167" i="3"/>
  <c r="G266" i="3"/>
  <c r="G521" i="3"/>
  <c r="G290" i="3"/>
  <c r="G394" i="3"/>
  <c r="G314" i="3"/>
  <c r="G724" i="3"/>
  <c r="G102" i="3"/>
  <c r="G369" i="3"/>
  <c r="G149" i="3"/>
  <c r="G390" i="3"/>
  <c r="G177" i="3"/>
  <c r="G429" i="3"/>
  <c r="G205" i="3"/>
  <c r="G439" i="3"/>
  <c r="G254" i="3"/>
  <c r="G499" i="3"/>
  <c r="G411" i="3"/>
  <c r="G440" i="3"/>
  <c r="G538" i="3"/>
  <c r="G494" i="3"/>
  <c r="G552" i="3"/>
  <c r="G590" i="3"/>
  <c r="G620" i="3"/>
  <c r="G601" i="3"/>
  <c r="G625" i="3"/>
  <c r="G722" i="3"/>
  <c r="G644" i="3"/>
  <c r="G393" i="3"/>
  <c r="G662" i="3"/>
  <c r="G593" i="3"/>
  <c r="G683" i="3"/>
  <c r="G34" i="3"/>
  <c r="G684" i="3"/>
  <c r="G41" i="3"/>
  <c r="G148" i="3"/>
  <c r="G430" i="3"/>
  <c r="G225" i="3"/>
  <c r="G614" i="3"/>
  <c r="G268" i="3"/>
  <c r="G103" i="3"/>
  <c r="G269" i="3"/>
  <c r="G112" i="3"/>
  <c r="G478" i="3"/>
  <c r="G60" i="3"/>
  <c r="G302" i="3"/>
  <c r="G208" i="3"/>
  <c r="G333" i="3"/>
  <c r="G255" i="3"/>
  <c r="G436" i="3"/>
  <c r="G323" i="3"/>
  <c r="G444" i="3"/>
  <c r="G569" i="3"/>
  <c r="G617" i="3"/>
  <c r="G731" i="3"/>
  <c r="G695" i="3"/>
  <c r="G762" i="3"/>
  <c r="G189" i="3"/>
  <c r="G527" i="3"/>
  <c r="G170" i="3"/>
  <c r="G311" i="3"/>
  <c r="G42" i="3"/>
  <c r="G715" i="3"/>
  <c r="G110" i="3"/>
  <c r="G458" i="3"/>
  <c r="G743" i="3"/>
  <c r="G406" i="3"/>
  <c r="G520" i="3"/>
  <c r="G701" i="3"/>
  <c r="G568" i="3"/>
  <c r="G585" i="3"/>
  <c r="G431" i="3"/>
  <c r="G487" i="3"/>
  <c r="G90" i="3"/>
  <c r="G14" i="3"/>
  <c r="G163" i="3"/>
  <c r="G211" i="3"/>
  <c r="G27" i="3"/>
  <c r="G282" i="3"/>
  <c r="G465" i="3"/>
  <c r="G300" i="3"/>
  <c r="G597" i="3"/>
  <c r="G410" i="3"/>
  <c r="G104" i="3"/>
  <c r="G677" i="3"/>
  <c r="G115" i="3"/>
  <c r="G708" i="3"/>
  <c r="G118" i="3"/>
  <c r="G53" i="3"/>
  <c r="G142" i="3"/>
  <c r="G291" i="3"/>
  <c r="G648" i="3"/>
  <c r="G108" i="3"/>
  <c r="G728" i="3"/>
  <c r="G164" i="3"/>
  <c r="G248" i="3"/>
  <c r="G480" i="3"/>
  <c r="G403" i="3"/>
  <c r="G646" i="3"/>
  <c r="G717" i="3"/>
  <c r="G296" i="3"/>
  <c r="G448" i="3"/>
  <c r="G680" i="3"/>
  <c r="G623" i="3"/>
  <c r="G655" i="3"/>
  <c r="G517" i="3"/>
  <c r="G62" i="3"/>
  <c r="G486" i="3"/>
  <c r="G659" i="3"/>
  <c r="G736" i="3"/>
  <c r="G157" i="3"/>
  <c r="G19" i="3"/>
  <c r="G24" i="3"/>
  <c r="G30" i="3"/>
  <c r="G72" i="3"/>
  <c r="G81" i="3"/>
  <c r="G105" i="3"/>
  <c r="G153" i="3"/>
  <c r="G155" i="3"/>
  <c r="G216" i="3"/>
  <c r="G241" i="3"/>
  <c r="G263" i="3"/>
  <c r="G287" i="3"/>
  <c r="G297" i="3"/>
  <c r="G298" i="3"/>
  <c r="G391" i="3"/>
  <c r="G409" i="3"/>
  <c r="G454" i="3"/>
  <c r="G484" i="3"/>
  <c r="G503" i="3"/>
  <c r="G526" i="3"/>
  <c r="G544" i="3"/>
  <c r="G556" i="3"/>
  <c r="G583" i="3"/>
  <c r="G587" i="3"/>
  <c r="G607" i="3"/>
  <c r="G653" i="3"/>
  <c r="G580" i="3"/>
  <c r="G699" i="3"/>
  <c r="G739" i="3"/>
  <c r="G382" i="3"/>
  <c r="G482" i="3"/>
  <c r="G348" i="3"/>
  <c r="G586" i="3"/>
  <c r="G106" i="3"/>
  <c r="G183" i="3"/>
  <c r="G414" i="3"/>
  <c r="G161" i="3"/>
  <c r="G363" i="3"/>
  <c r="G407" i="3"/>
  <c r="G473" i="3"/>
  <c r="G510" i="3"/>
  <c r="G529" i="3"/>
  <c r="G713" i="3"/>
  <c r="G720" i="3"/>
  <c r="G28" i="3"/>
  <c r="G234" i="3"/>
  <c r="G343" i="3"/>
  <c r="G389" i="3"/>
  <c r="G326" i="3"/>
  <c r="G396" i="3"/>
  <c r="G57" i="3"/>
  <c r="G79" i="3"/>
  <c r="G85" i="3"/>
  <c r="G93" i="3"/>
  <c r="G119" i="3"/>
  <c r="G150" i="3"/>
  <c r="G176" i="3"/>
  <c r="G186" i="3"/>
  <c r="G260" i="3"/>
  <c r="G322" i="3"/>
  <c r="G331" i="3"/>
  <c r="G347" i="3"/>
  <c r="G346" i="3"/>
  <c r="G362" i="3"/>
  <c r="G392" i="3"/>
  <c r="G399" i="3"/>
  <c r="G460" i="3"/>
  <c r="G557" i="3"/>
  <c r="G675" i="3"/>
  <c r="G734" i="3"/>
  <c r="G21" i="3"/>
  <c r="G577" i="3"/>
  <c r="G595" i="3"/>
  <c r="G508" i="3"/>
  <c r="G663" i="3"/>
  <c r="G166" i="3"/>
  <c r="G226" i="3"/>
  <c r="G321" i="3"/>
  <c r="G496" i="3"/>
  <c r="G507" i="3"/>
  <c r="G524" i="3"/>
  <c r="G541" i="3"/>
  <c r="G29" i="3"/>
  <c r="G233" i="3"/>
  <c r="G511" i="3"/>
  <c r="G327" i="3"/>
  <c r="G357" i="3"/>
  <c r="G358" i="3"/>
  <c r="G498" i="3"/>
  <c r="G128" i="3"/>
  <c r="G146" i="3"/>
  <c r="G169" i="3"/>
  <c r="G578" i="3"/>
  <c r="G353" i="3"/>
  <c r="G277" i="3"/>
  <c r="G632" i="3"/>
  <c r="G13" i="3"/>
  <c r="G99" i="3"/>
  <c r="G152" i="3"/>
  <c r="G230" i="3"/>
  <c r="G261" i="3"/>
  <c r="G420" i="3"/>
  <c r="G516" i="3"/>
  <c r="G537" i="3"/>
  <c r="G634" i="3"/>
  <c r="G647" i="3"/>
  <c r="G206" i="3"/>
  <c r="G697" i="3"/>
  <c r="G509" i="3"/>
  <c r="G519" i="3"/>
  <c r="G642" i="3"/>
  <c r="G500" i="3"/>
  <c r="G747" i="3"/>
  <c r="G31" i="3"/>
  <c r="G139" i="3"/>
  <c r="G214" i="3"/>
  <c r="G8" i="3"/>
  <c r="G101" i="3"/>
  <c r="G368" i="3"/>
  <c r="G398" i="3"/>
  <c r="G572" i="3"/>
  <c r="G187" i="3"/>
  <c r="G318" i="3"/>
  <c r="G345" i="3"/>
  <c r="G223" i="3"/>
  <c r="G652" i="3"/>
  <c r="G292" i="3"/>
  <c r="G679" i="3"/>
  <c r="G133" i="3"/>
  <c r="G2" i="3"/>
  <c r="G7" i="3"/>
  <c r="G35" i="3"/>
  <c r="G59" i="3"/>
  <c r="G61" i="3"/>
  <c r="G64" i="3"/>
  <c r="G75" i="3"/>
  <c r="G86" i="3"/>
  <c r="G88" i="3"/>
  <c r="G89" i="3"/>
  <c r="G143" i="3"/>
  <c r="G178" i="3"/>
  <c r="G215" i="3"/>
  <c r="G224" i="3"/>
  <c r="G235" i="3"/>
  <c r="G281" i="3"/>
  <c r="G306" i="3"/>
  <c r="G307" i="3"/>
  <c r="G312" i="3"/>
  <c r="G328" i="3"/>
  <c r="G372" i="3"/>
  <c r="G422" i="3"/>
  <c r="G611" i="3"/>
  <c r="G602" i="3"/>
  <c r="G603" i="3"/>
  <c r="G692" i="3"/>
  <c r="G719" i="3"/>
  <c r="G711" i="3"/>
  <c r="G433" i="3"/>
  <c r="G338" i="3"/>
  <c r="G236" i="3"/>
  <c r="G688" i="3"/>
  <c r="G718" i="3"/>
  <c r="G761" i="3"/>
  <c r="G299" i="3"/>
  <c r="G303" i="3"/>
  <c r="G337" i="3"/>
  <c r="G693" i="3"/>
  <c r="G82" i="3"/>
  <c r="G232" i="3"/>
  <c r="G308" i="3"/>
  <c r="G466" i="3"/>
  <c r="G546" i="3"/>
  <c r="G100" i="3"/>
  <c r="G184" i="3"/>
  <c r="G221" i="3"/>
  <c r="G467" i="3"/>
  <c r="G512" i="3"/>
  <c r="G592" i="3"/>
  <c r="G606" i="3"/>
  <c r="G645" i="3"/>
  <c r="G502" i="3"/>
  <c r="G98" i="3"/>
  <c r="G116" i="3"/>
  <c r="G386" i="3"/>
  <c r="G624" i="3"/>
  <c r="G704" i="3"/>
  <c r="G212" i="3"/>
  <c r="G310" i="3"/>
  <c r="G387" i="3"/>
  <c r="G402" i="3"/>
  <c r="G681" i="3"/>
  <c r="G733" i="3"/>
  <c r="G181" i="3"/>
  <c r="G455" i="3"/>
  <c r="G522" i="3"/>
  <c r="G712" i="3"/>
  <c r="G490" i="3"/>
  <c r="G238" i="3"/>
  <c r="G730" i="3"/>
  <c r="G332" i="3"/>
  <c r="G643" i="3"/>
  <c r="J25" i="3"/>
  <c r="J9" i="3"/>
  <c r="J43" i="3"/>
  <c r="J10" i="3"/>
  <c r="J51" i="3"/>
  <c r="J45" i="3"/>
  <c r="J54" i="3"/>
  <c r="J46" i="3"/>
  <c r="J76" i="3"/>
  <c r="J91" i="3"/>
  <c r="J63" i="3"/>
  <c r="J67" i="3"/>
  <c r="J71" i="3"/>
  <c r="J73" i="3"/>
  <c r="J78" i="3"/>
  <c r="J220" i="3"/>
  <c r="J344" i="3"/>
  <c r="J171" i="3"/>
  <c r="J504" i="3"/>
  <c r="J191" i="3"/>
  <c r="J518" i="3"/>
  <c r="J194" i="3"/>
  <c r="J530" i="3"/>
  <c r="J196" i="3"/>
  <c r="J612" i="3"/>
  <c r="J198" i="3"/>
  <c r="J660" i="3"/>
  <c r="J231" i="3"/>
  <c r="J97" i="3"/>
  <c r="J245" i="3"/>
  <c r="J107" i="3"/>
  <c r="J258" i="3"/>
  <c r="J123" i="3"/>
  <c r="J274" i="3"/>
  <c r="J250" i="3"/>
  <c r="J275" i="3"/>
  <c r="J324" i="3"/>
  <c r="J280" i="3"/>
  <c r="J44" i="3"/>
  <c r="J284" i="3"/>
  <c r="J65" i="3"/>
  <c r="J317" i="3"/>
  <c r="J83" i="3"/>
  <c r="J319" i="3"/>
  <c r="J129" i="3"/>
  <c r="J325" i="3"/>
  <c r="J197" i="3"/>
  <c r="J336" i="3"/>
  <c r="J201" i="3"/>
  <c r="J339" i="3"/>
  <c r="J264" i="3"/>
  <c r="J352" i="3"/>
  <c r="J265" i="3"/>
  <c r="J365" i="3"/>
  <c r="J374" i="3"/>
  <c r="J370" i="3"/>
  <c r="J384" i="3"/>
  <c r="J383" i="3"/>
  <c r="J401" i="3"/>
  <c r="J418" i="3"/>
  <c r="J412" i="3"/>
  <c r="J540" i="3"/>
  <c r="J424" i="3"/>
  <c r="J591" i="3"/>
  <c r="J426" i="3"/>
  <c r="J710" i="3"/>
  <c r="J438" i="3"/>
  <c r="J355" i="3"/>
  <c r="J451" i="3"/>
  <c r="J501" i="3"/>
  <c r="J452" i="3"/>
  <c r="J134" i="3"/>
  <c r="J453" i="3"/>
  <c r="J295" i="3"/>
  <c r="J459" i="3"/>
  <c r="J341" i="3"/>
  <c r="J461" i="3"/>
  <c r="J381" i="3"/>
  <c r="J462" i="3"/>
  <c r="J492" i="3"/>
  <c r="J472" i="3"/>
  <c r="J637" i="3"/>
  <c r="J481" i="3"/>
  <c r="J579" i="3"/>
  <c r="J721" i="3"/>
  <c r="J532" i="3"/>
  <c r="J165" i="3"/>
  <c r="J536" i="3"/>
  <c r="J543" i="3"/>
  <c r="J547" i="3"/>
  <c r="J754" i="3"/>
  <c r="J560" i="3"/>
  <c r="J207" i="3"/>
  <c r="J610" i="3"/>
  <c r="J477" i="3"/>
  <c r="J615" i="3"/>
  <c r="J513" i="3"/>
  <c r="J616" i="3"/>
  <c r="J604" i="3"/>
  <c r="J618" i="3"/>
  <c r="J658" i="3"/>
  <c r="J622" i="3"/>
  <c r="J748" i="3"/>
  <c r="J627" i="3"/>
  <c r="J334" i="3"/>
  <c r="J631" i="3"/>
  <c r="J26" i="3"/>
  <c r="J636" i="3"/>
  <c r="J141" i="3"/>
  <c r="J638" i="3"/>
  <c r="J160" i="3"/>
  <c r="J640" i="3"/>
  <c r="J380" i="3"/>
  <c r="J641" i="3"/>
  <c r="J470" i="3"/>
  <c r="J570" i="3"/>
  <c r="J676" i="3"/>
  <c r="J575" i="3"/>
  <c r="J5" i="3"/>
  <c r="J584" i="3"/>
  <c r="J114" i="3"/>
  <c r="J598" i="3"/>
  <c r="J154" i="3"/>
  <c r="J605" i="3"/>
  <c r="J228" i="3"/>
  <c r="J650" i="3"/>
  <c r="J257" i="3"/>
  <c r="J304" i="3"/>
  <c r="J682" i="3"/>
  <c r="J716" i="3"/>
  <c r="J703" i="3"/>
  <c r="J582" i="3"/>
  <c r="J707" i="3"/>
  <c r="J377" i="3"/>
  <c r="J741" i="3"/>
  <c r="J485" i="3"/>
  <c r="J749" i="3"/>
  <c r="J495" i="3"/>
  <c r="J757" i="3"/>
  <c r="J6" i="3"/>
  <c r="J654" i="3"/>
  <c r="J58" i="3"/>
  <c r="J70" i="3"/>
  <c r="J400" i="3"/>
  <c r="J138" i="3"/>
  <c r="J413" i="3"/>
  <c r="J286" i="3"/>
  <c r="J456" i="3"/>
  <c r="J354" i="3"/>
  <c r="J633" i="3"/>
  <c r="J417" i="3"/>
  <c r="J687" i="3"/>
  <c r="J630" i="3"/>
  <c r="J732" i="3"/>
  <c r="J706" i="3"/>
  <c r="J4" i="3"/>
  <c r="J714" i="3"/>
  <c r="J15" i="3"/>
  <c r="J209" i="3"/>
  <c r="J23" i="3"/>
  <c r="J726" i="3"/>
  <c r="J33" i="3"/>
  <c r="J727" i="3"/>
  <c r="J39" i="3"/>
  <c r="J753" i="3"/>
  <c r="J629" i="3"/>
  <c r="J109" i="3"/>
  <c r="J599" i="3"/>
  <c r="J124" i="3"/>
  <c r="J404" i="3"/>
  <c r="J175" i="3"/>
  <c r="J11" i="3"/>
  <c r="J193" i="3"/>
  <c r="J38" i="3"/>
  <c r="J94" i="3"/>
  <c r="J130" i="3"/>
  <c r="J202" i="3"/>
  <c r="J140" i="3"/>
  <c r="J276" i="3"/>
  <c r="J262" i="3"/>
  <c r="J301" i="3"/>
  <c r="J270" i="3"/>
  <c r="J309" i="3"/>
  <c r="J271" i="3"/>
  <c r="J313" i="3"/>
  <c r="J272" i="3"/>
  <c r="J316" i="3"/>
  <c r="J340" i="3"/>
  <c r="J359" i="3"/>
  <c r="J360" i="3"/>
  <c r="J397" i="3"/>
  <c r="J528" i="3"/>
  <c r="J405" i="3"/>
  <c r="J559" i="3"/>
  <c r="J415" i="3"/>
  <c r="J745" i="3"/>
  <c r="J419" i="3"/>
  <c r="J421" i="3"/>
  <c r="J471" i="3"/>
  <c r="J283" i="3"/>
  <c r="J475" i="3"/>
  <c r="J350" i="3"/>
  <c r="J497" i="3"/>
  <c r="J361" i="3"/>
  <c r="J506" i="3"/>
  <c r="J548" i="3"/>
  <c r="J273" i="3"/>
  <c r="J555" i="3"/>
  <c r="J621" i="3"/>
  <c r="J443" i="3"/>
  <c r="J554" i="3"/>
  <c r="J666" i="3"/>
  <c r="J17" i="3"/>
  <c r="J700" i="3"/>
  <c r="J131" i="3"/>
  <c r="J737" i="3"/>
  <c r="J738" i="3"/>
  <c r="J596" i="3"/>
  <c r="J740" i="3"/>
  <c r="J285" i="3"/>
  <c r="J746" i="3"/>
  <c r="J48" i="3"/>
  <c r="J751" i="3"/>
  <c r="J80" i="3"/>
  <c r="J758" i="3"/>
  <c r="J136" i="3"/>
  <c r="J305" i="3"/>
  <c r="J180" i="3"/>
  <c r="J573" i="3"/>
  <c r="J760" i="3"/>
  <c r="J95" i="3"/>
  <c r="J252" i="3"/>
  <c r="J56" i="3"/>
  <c r="J279" i="3"/>
  <c r="J87" i="3"/>
  <c r="J690" i="3"/>
  <c r="J121" i="3"/>
  <c r="J750" i="3"/>
  <c r="J125" i="3"/>
  <c r="J126" i="3"/>
  <c r="J156" i="3"/>
  <c r="J173" i="3"/>
  <c r="J256" i="3"/>
  <c r="J315" i="3"/>
  <c r="J558" i="3"/>
  <c r="J288" i="3"/>
  <c r="J759" i="3"/>
  <c r="J320" i="3"/>
  <c r="J756" i="3"/>
  <c r="J375" i="3"/>
  <c r="J20" i="3"/>
  <c r="J437" i="3"/>
  <c r="J66" i="3"/>
  <c r="J441" i="3"/>
  <c r="J127" i="3"/>
  <c r="J445" i="3"/>
  <c r="J446" i="3"/>
  <c r="J240" i="3"/>
  <c r="J447" i="3"/>
  <c r="J247" i="3"/>
  <c r="J534" i="3"/>
  <c r="J434" i="3"/>
  <c r="J545" i="3"/>
  <c r="J694" i="3"/>
  <c r="J549" i="3"/>
  <c r="J137" i="3"/>
  <c r="J553" i="3"/>
  <c r="J468" i="3"/>
  <c r="J628" i="3"/>
  <c r="J691" i="3"/>
  <c r="J635" i="3"/>
  <c r="J92" i="3"/>
  <c r="J589" i="3"/>
  <c r="J219" i="3"/>
  <c r="J594" i="3"/>
  <c r="J416" i="3"/>
  <c r="J657" i="3"/>
  <c r="J457" i="3"/>
  <c r="J661" i="3"/>
  <c r="J709" i="3"/>
  <c r="J523" i="3"/>
  <c r="J539" i="3"/>
  <c r="J725" i="3"/>
  <c r="J550" i="3"/>
  <c r="J729" i="3"/>
  <c r="J551" i="3"/>
  <c r="J763" i="3"/>
  <c r="J566" i="3"/>
  <c r="J182" i="3"/>
  <c r="J619" i="3"/>
  <c r="J388" i="3"/>
  <c r="J752" i="3"/>
  <c r="J588" i="3"/>
  <c r="J423" i="3"/>
  <c r="J162" i="3"/>
  <c r="J609" i="3"/>
  <c r="J542" i="3"/>
  <c r="J574" i="3"/>
  <c r="J379" i="3"/>
  <c r="J665" i="3"/>
  <c r="J696" i="3"/>
  <c r="J151" i="3"/>
  <c r="J649" i="3"/>
  <c r="J204" i="3"/>
  <c r="J96" i="3"/>
  <c r="J449" i="3"/>
  <c r="J450" i="3"/>
  <c r="J120" i="3"/>
  <c r="J489" i="3"/>
  <c r="J12" i="3"/>
  <c r="J174" i="3"/>
  <c r="J117" i="3"/>
  <c r="J145" i="3"/>
  <c r="J371" i="3"/>
  <c r="J373" i="3"/>
  <c r="J378" i="3"/>
  <c r="J432" i="3"/>
  <c r="J435" i="3"/>
  <c r="J84" i="3"/>
  <c r="J249" i="3"/>
  <c r="J356" i="3"/>
  <c r="J395" i="3"/>
  <c r="J364" i="3"/>
  <c r="J626" i="3"/>
  <c r="J37" i="3"/>
  <c r="J656" i="3"/>
  <c r="J689" i="3"/>
  <c r="J16" i="3"/>
  <c r="J36" i="3"/>
  <c r="J229" i="3"/>
  <c r="J52" i="3"/>
  <c r="J246" i="3"/>
  <c r="J735" i="3"/>
  <c r="J251" i="3"/>
  <c r="J442" i="3"/>
  <c r="J294" i="3"/>
  <c r="J329" i="3"/>
  <c r="J474" i="3"/>
  <c r="J349" i="3"/>
  <c r="J3" i="3"/>
  <c r="J479" i="3"/>
  <c r="J77" i="3"/>
  <c r="J515" i="3"/>
  <c r="J135" i="3"/>
  <c r="J525" i="3"/>
  <c r="J342" i="3"/>
  <c r="J686" i="3"/>
  <c r="J335" i="3"/>
  <c r="J113" i="3"/>
  <c r="J463" i="3"/>
  <c r="J159" i="3"/>
  <c r="J678" i="3"/>
  <c r="J469" i="3"/>
  <c r="J132" i="3"/>
  <c r="J702" i="3"/>
  <c r="J168" i="3"/>
  <c r="J755" i="3"/>
  <c r="J239" i="3"/>
  <c r="J50" i="3"/>
  <c r="J242" i="3"/>
  <c r="J505" i="3"/>
  <c r="J278" i="3"/>
  <c r="J289" i="3"/>
  <c r="J425" i="3"/>
  <c r="J330" i="3"/>
  <c r="J427" i="3"/>
  <c r="J428" i="3"/>
  <c r="J565" i="3"/>
  <c r="J567" i="3"/>
  <c r="J571" i="3"/>
  <c r="J111" i="3"/>
  <c r="J685" i="3"/>
  <c r="J351" i="3"/>
  <c r="J47" i="3"/>
  <c r="J199" i="3"/>
  <c r="J185" i="3"/>
  <c r="J244" i="3"/>
  <c r="J376" i="3"/>
  <c r="J561" i="3"/>
  <c r="J514" i="3"/>
  <c r="J608" i="3"/>
  <c r="J49" i="3"/>
  <c r="J69" i="3"/>
  <c r="J190" i="3"/>
  <c r="J267" i="3"/>
  <c r="J464" i="3"/>
  <c r="J218" i="3"/>
  <c r="J483" i="3"/>
  <c r="J293" i="3"/>
  <c r="J563" i="3"/>
  <c r="J210" i="3"/>
  <c r="J723" i="3"/>
  <c r="J253" i="3"/>
  <c r="J144" i="3"/>
  <c r="J367" i="3"/>
  <c r="J203" i="3"/>
  <c r="J32" i="3"/>
  <c r="J491" i="3"/>
  <c r="J40" i="3"/>
  <c r="J533" i="3"/>
  <c r="J74" i="3"/>
  <c r="J613" i="3"/>
  <c r="J122" i="3"/>
  <c r="J639" i="3"/>
  <c r="J179" i="3"/>
  <c r="J674" i="3"/>
  <c r="J222" i="3"/>
  <c r="J742" i="3"/>
  <c r="J227" i="3"/>
  <c r="J744" i="3"/>
  <c r="J366" i="3"/>
  <c r="J564" i="3"/>
  <c r="J476" i="3"/>
  <c r="J493" i="3"/>
  <c r="J18" i="3"/>
  <c r="J531" i="3"/>
  <c r="J22" i="3"/>
  <c r="J535" i="3"/>
  <c r="J581" i="3"/>
  <c r="J55" i="3"/>
  <c r="J600" i="3"/>
  <c r="J147" i="3"/>
  <c r="J705" i="3"/>
  <c r="J158" i="3"/>
  <c r="J385" i="3"/>
  <c r="J172" i="3"/>
  <c r="J408" i="3"/>
  <c r="J188" i="3"/>
  <c r="J488" i="3"/>
  <c r="J192" i="3"/>
  <c r="J562" i="3"/>
  <c r="J200" i="3"/>
  <c r="J651" i="3"/>
  <c r="J213" i="3"/>
  <c r="J195" i="3"/>
  <c r="J217" i="3"/>
  <c r="J576" i="3"/>
  <c r="J237" i="3"/>
  <c r="J698" i="3"/>
  <c r="J243" i="3"/>
  <c r="J664" i="3"/>
  <c r="J259" i="3"/>
  <c r="J68" i="3"/>
  <c r="J167" i="3"/>
  <c r="J266" i="3"/>
  <c r="J521" i="3"/>
  <c r="J290" i="3"/>
  <c r="J394" i="3"/>
  <c r="J314" i="3"/>
  <c r="J724" i="3"/>
  <c r="J102" i="3"/>
  <c r="J369" i="3"/>
  <c r="J149" i="3"/>
  <c r="J390" i="3"/>
  <c r="J177" i="3"/>
  <c r="J429" i="3"/>
  <c r="J205" i="3"/>
  <c r="J439" i="3"/>
  <c r="J254" i="3"/>
  <c r="J499" i="3"/>
  <c r="J411" i="3"/>
  <c r="J440" i="3"/>
  <c r="J538" i="3"/>
  <c r="J494" i="3"/>
  <c r="J552" i="3"/>
  <c r="J590" i="3"/>
  <c r="J620" i="3"/>
  <c r="J601" i="3"/>
  <c r="J625" i="3"/>
  <c r="J722" i="3"/>
  <c r="J644" i="3"/>
  <c r="J393" i="3"/>
  <c r="J662" i="3"/>
  <c r="J593" i="3"/>
  <c r="J683" i="3"/>
  <c r="J34" i="3"/>
  <c r="J684" i="3"/>
  <c r="J41" i="3"/>
  <c r="J148" i="3"/>
  <c r="J430" i="3"/>
  <c r="J225" i="3"/>
  <c r="J614" i="3"/>
  <c r="J268" i="3"/>
  <c r="J103" i="3"/>
  <c r="J269" i="3"/>
  <c r="J112" i="3"/>
  <c r="J478" i="3"/>
  <c r="J60" i="3"/>
  <c r="J302" i="3"/>
  <c r="J208" i="3"/>
  <c r="J333" i="3"/>
  <c r="J255" i="3"/>
  <c r="J436" i="3"/>
  <c r="J323" i="3"/>
  <c r="J444" i="3"/>
  <c r="J569" i="3"/>
  <c r="J617" i="3"/>
  <c r="J731" i="3"/>
  <c r="J695" i="3"/>
  <c r="J762" i="3"/>
  <c r="J189" i="3"/>
  <c r="J527" i="3"/>
  <c r="J170" i="3"/>
  <c r="J311" i="3"/>
  <c r="J42" i="3"/>
  <c r="J715" i="3"/>
  <c r="J110" i="3"/>
  <c r="J458" i="3"/>
  <c r="J743" i="3"/>
  <c r="J406" i="3"/>
  <c r="J520" i="3"/>
  <c r="J701" i="3"/>
  <c r="J568" i="3"/>
  <c r="J585" i="3"/>
  <c r="J431" i="3"/>
  <c r="J487" i="3"/>
  <c r="J90" i="3"/>
  <c r="J14" i="3"/>
  <c r="J163" i="3"/>
  <c r="J211" i="3"/>
  <c r="J27" i="3"/>
  <c r="J282" i="3"/>
  <c r="J465" i="3"/>
  <c r="J300" i="3"/>
  <c r="J597" i="3"/>
  <c r="J410" i="3"/>
  <c r="J104" i="3"/>
  <c r="J677" i="3"/>
  <c r="J115" i="3"/>
  <c r="J708" i="3"/>
  <c r="J118" i="3"/>
  <c r="J53" i="3"/>
  <c r="J142" i="3"/>
  <c r="J291" i="3"/>
  <c r="J648" i="3"/>
  <c r="J108" i="3"/>
  <c r="J728" i="3"/>
  <c r="J164" i="3"/>
  <c r="J248" i="3"/>
  <c r="J480" i="3"/>
  <c r="J403" i="3"/>
  <c r="J646" i="3"/>
  <c r="J717" i="3"/>
  <c r="J296" i="3"/>
  <c r="J448" i="3"/>
  <c r="J680" i="3"/>
  <c r="J623" i="3"/>
  <c r="J655" i="3"/>
  <c r="J517" i="3"/>
  <c r="J62" i="3"/>
  <c r="J486" i="3"/>
  <c r="J659" i="3"/>
  <c r="J736" i="3"/>
  <c r="J157" i="3"/>
  <c r="J19" i="3"/>
  <c r="J24" i="3"/>
  <c r="J30" i="3"/>
  <c r="J72" i="3"/>
  <c r="J81" i="3"/>
  <c r="J105" i="3"/>
  <c r="J153" i="3"/>
  <c r="J155" i="3"/>
  <c r="J216" i="3"/>
  <c r="J241" i="3"/>
  <c r="J263" i="3"/>
  <c r="J287" i="3"/>
  <c r="J297" i="3"/>
  <c r="J298" i="3"/>
  <c r="J391" i="3"/>
  <c r="J409" i="3"/>
  <c r="J454" i="3"/>
  <c r="J484" i="3"/>
  <c r="J503" i="3"/>
  <c r="J526" i="3"/>
  <c r="J544" i="3"/>
  <c r="J556" i="3"/>
  <c r="J583" i="3"/>
  <c r="J587" i="3"/>
  <c r="J607" i="3"/>
  <c r="J653" i="3"/>
  <c r="J580" i="3"/>
  <c r="J699" i="3"/>
  <c r="J739" i="3"/>
  <c r="J382" i="3"/>
  <c r="J482" i="3"/>
  <c r="J348" i="3"/>
  <c r="J586" i="3"/>
  <c r="J106" i="3"/>
  <c r="J183" i="3"/>
  <c r="J414" i="3"/>
  <c r="J161" i="3"/>
  <c r="J363" i="3"/>
  <c r="J407" i="3"/>
  <c r="J473" i="3"/>
  <c r="J510" i="3"/>
  <c r="J529" i="3"/>
  <c r="J713" i="3"/>
  <c r="J720" i="3"/>
  <c r="J28" i="3"/>
  <c r="J234" i="3"/>
  <c r="J343" i="3"/>
  <c r="J389" i="3"/>
  <c r="J326" i="3"/>
  <c r="J396" i="3"/>
  <c r="J57" i="3"/>
  <c r="J79" i="3"/>
  <c r="J85" i="3"/>
  <c r="J93" i="3"/>
  <c r="J119" i="3"/>
  <c r="J150" i="3"/>
  <c r="J176" i="3"/>
  <c r="J186" i="3"/>
  <c r="J260" i="3"/>
  <c r="J322" i="3"/>
  <c r="J331" i="3"/>
  <c r="J347" i="3"/>
  <c r="J346" i="3"/>
  <c r="J362" i="3"/>
  <c r="J392" i="3"/>
  <c r="J399" i="3"/>
  <c r="J460" i="3"/>
  <c r="J557" i="3"/>
  <c r="J675" i="3"/>
  <c r="J734" i="3"/>
  <c r="J21" i="3"/>
  <c r="J577" i="3"/>
  <c r="J595" i="3"/>
  <c r="J508" i="3"/>
  <c r="J663" i="3"/>
  <c r="J166" i="3"/>
  <c r="J226" i="3"/>
  <c r="J321" i="3"/>
  <c r="J496" i="3"/>
  <c r="J507" i="3"/>
  <c r="J524" i="3"/>
  <c r="J541" i="3"/>
  <c r="J29" i="3"/>
  <c r="J233" i="3"/>
  <c r="J511" i="3"/>
  <c r="J327" i="3"/>
  <c r="J357" i="3"/>
  <c r="J358" i="3"/>
  <c r="J498" i="3"/>
  <c r="J128" i="3"/>
  <c r="J146" i="3"/>
  <c r="J169" i="3"/>
  <c r="J578" i="3"/>
  <c r="J353" i="3"/>
  <c r="J277" i="3"/>
  <c r="J632" i="3"/>
  <c r="J13" i="3"/>
  <c r="J99" i="3"/>
  <c r="J152" i="3"/>
  <c r="J230" i="3"/>
  <c r="J261" i="3"/>
  <c r="J420" i="3"/>
  <c r="J516" i="3"/>
  <c r="J537" i="3"/>
  <c r="J634" i="3"/>
  <c r="J647" i="3"/>
  <c r="J206" i="3"/>
  <c r="J697" i="3"/>
  <c r="J509" i="3"/>
  <c r="J519" i="3"/>
  <c r="J642" i="3"/>
  <c r="J500" i="3"/>
  <c r="J747" i="3"/>
  <c r="J31" i="3"/>
  <c r="J139" i="3"/>
  <c r="J214" i="3"/>
  <c r="J8" i="3"/>
  <c r="J101" i="3"/>
  <c r="J368" i="3"/>
  <c r="J398" i="3"/>
  <c r="J572" i="3"/>
  <c r="J187" i="3"/>
  <c r="J318" i="3"/>
  <c r="J345" i="3"/>
  <c r="J223" i="3"/>
  <c r="J652" i="3"/>
  <c r="J292" i="3"/>
  <c r="J679" i="3"/>
  <c r="J133" i="3"/>
  <c r="J2" i="3"/>
  <c r="J7" i="3"/>
  <c r="J35" i="3"/>
  <c r="J59" i="3"/>
  <c r="J61" i="3"/>
  <c r="J64" i="3"/>
  <c r="J75" i="3"/>
  <c r="J86" i="3"/>
  <c r="J88" i="3"/>
  <c r="J89" i="3"/>
  <c r="J143" i="3"/>
  <c r="J178" i="3"/>
  <c r="J215" i="3"/>
  <c r="J224" i="3"/>
  <c r="J235" i="3"/>
  <c r="J281" i="3"/>
  <c r="J306" i="3"/>
  <c r="J307" i="3"/>
  <c r="J312" i="3"/>
  <c r="J328" i="3"/>
  <c r="J372" i="3"/>
  <c r="J422" i="3"/>
  <c r="J611" i="3"/>
  <c r="J602" i="3"/>
  <c r="J603" i="3"/>
  <c r="J692" i="3"/>
  <c r="J719" i="3"/>
  <c r="J711" i="3"/>
  <c r="J433" i="3"/>
  <c r="J338" i="3"/>
  <c r="J236" i="3"/>
  <c r="J688" i="3"/>
  <c r="J718" i="3"/>
  <c r="J761" i="3"/>
  <c r="J299" i="3"/>
  <c r="J303" i="3"/>
  <c r="J337" i="3"/>
  <c r="J693" i="3"/>
  <c r="J82" i="3"/>
  <c r="J232" i="3"/>
  <c r="J308" i="3"/>
  <c r="J466" i="3"/>
  <c r="J546" i="3"/>
  <c r="J100" i="3"/>
  <c r="J184" i="3"/>
  <c r="J221" i="3"/>
  <c r="J467" i="3"/>
  <c r="J512" i="3"/>
  <c r="J592" i="3"/>
  <c r="J606" i="3"/>
  <c r="J645" i="3"/>
  <c r="J502" i="3"/>
  <c r="J98" i="3"/>
  <c r="J116" i="3"/>
  <c r="J386" i="3"/>
  <c r="J624" i="3"/>
  <c r="J704" i="3"/>
  <c r="J212" i="3"/>
  <c r="J310" i="3"/>
  <c r="J387" i="3"/>
  <c r="J402" i="3"/>
  <c r="J681" i="3"/>
  <c r="J733" i="3"/>
  <c r="J181" i="3"/>
  <c r="J455" i="3"/>
  <c r="J522" i="3"/>
  <c r="J712" i="3"/>
  <c r="J490" i="3"/>
  <c r="J238" i="3"/>
  <c r="J730" i="3"/>
  <c r="J332" i="3"/>
  <c r="J643" i="3"/>
  <c r="B775" i="1"/>
  <c r="B297" i="1"/>
  <c r="B314" i="1"/>
  <c r="B331" i="1"/>
  <c r="B356" i="1"/>
  <c r="B373" i="1"/>
  <c r="B398" i="1"/>
  <c r="B118" i="1"/>
  <c r="B36" i="1"/>
  <c r="B257" i="1"/>
  <c r="B463" i="1"/>
  <c r="B480" i="1"/>
  <c r="B497" i="1"/>
  <c r="B514" i="1"/>
  <c r="B531" i="1"/>
  <c r="B556" i="1"/>
  <c r="B573" i="1"/>
  <c r="B384" i="1"/>
  <c r="B577" i="1"/>
  <c r="B754" i="1"/>
  <c r="B631" i="1"/>
  <c r="B329" i="1"/>
  <c r="B522" i="1"/>
  <c r="B699" i="1"/>
  <c r="B405" i="1"/>
  <c r="B542" i="1"/>
  <c r="B35" i="1"/>
  <c r="B29" i="1"/>
  <c r="B31" i="1"/>
  <c r="B260" i="1"/>
  <c r="B479" i="1"/>
  <c r="B656" i="1"/>
  <c r="B354" i="1"/>
  <c r="B520" i="1"/>
  <c r="B618" i="1"/>
  <c r="B476" i="1"/>
  <c r="B749" i="1"/>
  <c r="B142" i="1"/>
  <c r="B208" i="1"/>
  <c r="B7" i="1"/>
  <c r="B327" i="1"/>
  <c r="B391" i="1"/>
  <c r="B408" i="1"/>
  <c r="B425" i="1"/>
  <c r="B442" i="1"/>
  <c r="B459" i="1"/>
  <c r="B484" i="1"/>
  <c r="B501" i="1"/>
  <c r="B526" i="1"/>
  <c r="B246" i="1"/>
  <c r="B160" i="1"/>
  <c r="B90" i="1"/>
  <c r="B591" i="1"/>
  <c r="B608" i="1"/>
  <c r="B625" i="1"/>
  <c r="B642" i="1"/>
  <c r="B659" i="1"/>
  <c r="B684" i="1"/>
  <c r="B367" i="1"/>
  <c r="B560" i="1"/>
  <c r="B737" i="1"/>
  <c r="B435" i="1"/>
  <c r="B312" i="1"/>
  <c r="B505" i="1"/>
  <c r="B682" i="1"/>
  <c r="B388" i="1"/>
  <c r="B581" i="1"/>
  <c r="B686" i="1"/>
  <c r="B175" i="1"/>
  <c r="B177" i="1"/>
  <c r="B163" i="1"/>
  <c r="B101" i="1"/>
  <c r="B639" i="1"/>
  <c r="B337" i="1"/>
  <c r="B530" i="1"/>
  <c r="B784" i="1"/>
  <c r="B347" i="1"/>
  <c r="B668" i="1"/>
  <c r="B430" i="1"/>
  <c r="B3" i="1"/>
  <c r="B89" i="1"/>
  <c r="B155" i="1"/>
  <c r="B173" i="1"/>
  <c r="B688" i="1"/>
  <c r="B738" i="1"/>
  <c r="B588" i="1"/>
  <c r="B358" i="1"/>
  <c r="B230" i="1"/>
  <c r="B13" i="1"/>
  <c r="B91" i="1"/>
  <c r="B455" i="1"/>
  <c r="B472" i="1"/>
  <c r="B489" i="1"/>
  <c r="B506" i="1"/>
  <c r="B523" i="1"/>
  <c r="B548" i="1"/>
  <c r="B565" i="1"/>
  <c r="B590" i="1"/>
  <c r="B11" i="1"/>
  <c r="B224" i="1"/>
  <c r="B154" i="1"/>
  <c r="B655" i="1"/>
  <c r="B672" i="1"/>
  <c r="B689" i="1"/>
  <c r="B706" i="1"/>
  <c r="B723" i="1"/>
  <c r="B748" i="1"/>
  <c r="B447" i="1"/>
  <c r="B640" i="1"/>
  <c r="B338" i="1"/>
  <c r="B515" i="1"/>
  <c r="B392" i="1"/>
  <c r="B585" i="1"/>
  <c r="B778" i="1"/>
  <c r="B468" i="1"/>
  <c r="B661" i="1"/>
  <c r="B758" i="1"/>
  <c r="B247" i="1"/>
  <c r="B249" i="1"/>
  <c r="B227" i="1"/>
  <c r="B165" i="1"/>
  <c r="B735" i="1"/>
  <c r="B417" i="1"/>
  <c r="B343" i="1"/>
  <c r="B449" i="1"/>
  <c r="B475" i="1"/>
  <c r="B772" i="1"/>
  <c r="B510" i="1"/>
  <c r="B87" i="1"/>
  <c r="B169" i="1"/>
  <c r="B235" i="1"/>
  <c r="B245" i="1"/>
  <c r="B313" i="1"/>
  <c r="B371" i="1"/>
  <c r="B692" i="1"/>
  <c r="B438" i="1"/>
  <c r="B19" i="1"/>
  <c r="B97" i="1"/>
  <c r="B171" i="1"/>
  <c r="B519" i="1"/>
  <c r="B536" i="1"/>
  <c r="B553" i="1"/>
  <c r="B570" i="1"/>
  <c r="B587" i="1"/>
  <c r="B612" i="1"/>
  <c r="B629" i="1"/>
  <c r="B654" i="1"/>
  <c r="B71" i="1"/>
  <c r="B288" i="1"/>
  <c r="B218" i="1"/>
  <c r="B719" i="1"/>
  <c r="B736" i="1"/>
  <c r="B753" i="1"/>
  <c r="B770" i="1"/>
  <c r="B300" i="1"/>
  <c r="B317" i="1"/>
  <c r="B543" i="1"/>
  <c r="B720" i="1"/>
  <c r="B418" i="1"/>
  <c r="B295" i="1"/>
  <c r="B488" i="1"/>
  <c r="B665" i="1"/>
  <c r="B363" i="1"/>
  <c r="B564" i="1"/>
  <c r="B733" i="1"/>
  <c r="B42" i="1"/>
  <c r="B28" i="1"/>
  <c r="B38" i="1"/>
  <c r="B291" i="1"/>
  <c r="B229" i="1"/>
  <c r="B320" i="1"/>
  <c r="B513" i="1"/>
  <c r="B487" i="1"/>
  <c r="B569" i="1"/>
  <c r="B571" i="1"/>
  <c r="B365" i="1"/>
  <c r="B598" i="1"/>
  <c r="B167" i="1"/>
  <c r="B265" i="1"/>
  <c r="B16" i="1"/>
  <c r="B351" i="1"/>
  <c r="B457" i="1"/>
  <c r="B483" i="1"/>
  <c r="B780" i="1"/>
  <c r="B518" i="1"/>
  <c r="B95" i="1"/>
  <c r="B185" i="1"/>
  <c r="B359" i="1"/>
  <c r="B583" i="1"/>
  <c r="B600" i="1"/>
  <c r="B617" i="1"/>
  <c r="B634" i="1"/>
  <c r="B651" i="1"/>
  <c r="B676" i="1"/>
  <c r="B693" i="1"/>
  <c r="B718" i="1"/>
  <c r="B135" i="1"/>
  <c r="B65" i="1"/>
  <c r="B282" i="1"/>
  <c r="B783" i="1"/>
  <c r="B305" i="1"/>
  <c r="B322" i="1"/>
  <c r="B339" i="1"/>
  <c r="B364" i="1"/>
  <c r="B381" i="1"/>
  <c r="B623" i="1"/>
  <c r="B321" i="1"/>
  <c r="B498" i="1"/>
  <c r="B375" i="1"/>
  <c r="B568" i="1"/>
  <c r="B761" i="1"/>
  <c r="B443" i="1"/>
  <c r="B644" i="1"/>
  <c r="B318" i="1"/>
  <c r="B110" i="1"/>
  <c r="B104" i="1"/>
  <c r="B106" i="1"/>
  <c r="B68" i="1"/>
  <c r="B293" i="1"/>
  <c r="B400" i="1"/>
  <c r="B593" i="1"/>
  <c r="B607" i="1"/>
  <c r="B713" i="1"/>
  <c r="B675" i="1"/>
  <c r="B469" i="1"/>
  <c r="B678" i="1"/>
  <c r="B255" i="1"/>
  <c r="B53" i="1"/>
  <c r="B647" i="1"/>
  <c r="B664" i="1"/>
  <c r="B681" i="1"/>
  <c r="B698" i="1"/>
  <c r="B715" i="1"/>
  <c r="B740" i="1"/>
  <c r="B757" i="1"/>
  <c r="B782" i="1"/>
  <c r="B199" i="1"/>
  <c r="B129" i="1"/>
  <c r="B335" i="1"/>
  <c r="B352" i="1"/>
  <c r="B369" i="1"/>
  <c r="B386" i="1"/>
  <c r="B403" i="1"/>
  <c r="B428" i="1"/>
  <c r="B445" i="1"/>
  <c r="B703" i="1"/>
  <c r="B401" i="1"/>
  <c r="B594" i="1"/>
  <c r="B471" i="1"/>
  <c r="B648" i="1"/>
  <c r="B346" i="1"/>
  <c r="B539" i="1"/>
  <c r="B724" i="1"/>
  <c r="B390" i="1"/>
  <c r="B190" i="1"/>
  <c r="B176" i="1"/>
  <c r="B178" i="1"/>
  <c r="B132" i="1"/>
  <c r="B303" i="1"/>
  <c r="B496" i="1"/>
  <c r="B673" i="1"/>
  <c r="B751" i="1"/>
  <c r="B362" i="1"/>
  <c r="B763" i="1"/>
  <c r="B557" i="1"/>
  <c r="B766" i="1"/>
  <c r="B52" i="1"/>
  <c r="B130" i="1"/>
  <c r="B164" i="1"/>
  <c r="B615" i="1"/>
  <c r="B721" i="1"/>
  <c r="B683" i="1"/>
  <c r="B477" i="1"/>
  <c r="B694" i="1"/>
  <c r="B271" i="1"/>
  <c r="B58" i="1"/>
  <c r="B663" i="1"/>
  <c r="B711" i="1"/>
  <c r="B728" i="1"/>
  <c r="B745" i="1"/>
  <c r="B762" i="1"/>
  <c r="B779" i="1"/>
  <c r="B309" i="1"/>
  <c r="B334" i="1"/>
  <c r="B54" i="1"/>
  <c r="B263" i="1"/>
  <c r="B193" i="1"/>
  <c r="B399" i="1"/>
  <c r="B416" i="1"/>
  <c r="B433" i="1"/>
  <c r="B450" i="1"/>
  <c r="B467" i="1"/>
  <c r="B492" i="1"/>
  <c r="B509" i="1"/>
  <c r="B304" i="1"/>
  <c r="B481" i="1"/>
  <c r="B674" i="1"/>
  <c r="B551" i="1"/>
  <c r="B744" i="1"/>
  <c r="B426" i="1"/>
  <c r="B619" i="1"/>
  <c r="B325" i="1"/>
  <c r="B470" i="1"/>
  <c r="B262" i="1"/>
  <c r="B248" i="1"/>
  <c r="B250" i="1"/>
  <c r="B196" i="1"/>
  <c r="B383" i="1"/>
  <c r="B576" i="1"/>
  <c r="B769" i="1"/>
  <c r="B376" i="1"/>
  <c r="B482" i="1"/>
  <c r="B380" i="1"/>
  <c r="B669" i="1"/>
  <c r="B62" i="1"/>
  <c r="B128" i="1"/>
  <c r="B210" i="1"/>
  <c r="B236" i="1"/>
  <c r="B759" i="1"/>
  <c r="B370" i="1"/>
  <c r="B771" i="1"/>
  <c r="B589" i="1"/>
  <c r="B774" i="1"/>
  <c r="B56" i="1"/>
  <c r="B138" i="1"/>
  <c r="B462" i="1"/>
  <c r="B595" i="1"/>
  <c r="B602" i="1"/>
  <c r="B559" i="1"/>
  <c r="B5" i="1"/>
  <c r="B601" i="1"/>
  <c r="B765" i="1"/>
  <c r="B226" i="1"/>
  <c r="B465" i="1"/>
  <c r="B491" i="1"/>
  <c r="B787" i="1"/>
  <c r="B534" i="1"/>
  <c r="B111" i="1"/>
  <c r="B201" i="1"/>
  <c r="B251" i="1"/>
  <c r="B261" i="1"/>
  <c r="B39" i="1"/>
  <c r="B49" i="1"/>
  <c r="B732" i="1"/>
  <c r="B264" i="1"/>
  <c r="B431" i="1"/>
  <c r="B714" i="1"/>
  <c r="B407" i="1"/>
  <c r="B473" i="1"/>
  <c r="B499" i="1"/>
  <c r="B301" i="1"/>
  <c r="B550" i="1"/>
  <c r="B119" i="1"/>
  <c r="B679" i="1"/>
  <c r="B785" i="1"/>
  <c r="B731" i="1"/>
  <c r="B525" i="1"/>
  <c r="B726" i="1"/>
  <c r="B4" i="1"/>
  <c r="B82" i="1"/>
  <c r="B124" i="1"/>
  <c r="B456" i="1"/>
  <c r="B429" i="1"/>
  <c r="B14" i="1"/>
  <c r="B540" i="1"/>
  <c r="B529" i="1"/>
  <c r="B486" i="1"/>
  <c r="B275" i="1"/>
  <c r="B747" i="1"/>
  <c r="B422" i="1"/>
  <c r="B9" i="1"/>
  <c r="B77" i="1"/>
  <c r="B441" i="1"/>
  <c r="B228" i="1"/>
  <c r="B357" i="1"/>
  <c r="B156" i="1"/>
  <c r="B667" i="1"/>
  <c r="B283" i="1"/>
  <c r="B81" i="1"/>
  <c r="B231" i="1"/>
  <c r="B342" i="1"/>
  <c r="B239" i="1"/>
  <c r="B24" i="1"/>
  <c r="B741" i="1"/>
  <c r="B149" i="1"/>
  <c r="B172" i="1"/>
  <c r="B272" i="1"/>
  <c r="B280" i="1"/>
  <c r="B344" i="1"/>
  <c r="B637" i="1"/>
  <c r="B92" i="1"/>
  <c r="B70" i="1"/>
  <c r="B729" i="1"/>
  <c r="B493" i="1"/>
  <c r="B279" i="1"/>
  <c r="B108" i="1"/>
  <c r="B187" i="1"/>
  <c r="B310" i="1"/>
  <c r="B695" i="1"/>
  <c r="B671" i="1"/>
  <c r="B777" i="1"/>
  <c r="B517" i="1"/>
  <c r="B287" i="1"/>
  <c r="B554" i="1"/>
  <c r="B709" i="1"/>
  <c r="B94" i="1"/>
  <c r="B168" i="1"/>
  <c r="B258" i="1"/>
  <c r="B276" i="1"/>
  <c r="B649" i="1"/>
  <c r="B406" i="1"/>
  <c r="B203" i="1"/>
  <c r="B725" i="1"/>
  <c r="B562" i="1"/>
  <c r="B278" i="1"/>
  <c r="B141" i="1"/>
  <c r="B63" i="1"/>
  <c r="B743" i="1"/>
  <c r="B48" i="1"/>
  <c r="B100" i="1"/>
  <c r="B243" i="1"/>
  <c r="B76" i="1"/>
  <c r="B182" i="1"/>
  <c r="B620" i="1"/>
  <c r="B308" i="1"/>
  <c r="B752" i="1"/>
  <c r="B83" i="1"/>
  <c r="B490" i="1"/>
  <c r="B606" i="1"/>
  <c r="B15" i="1"/>
  <c r="B609" i="1"/>
  <c r="B603" i="1"/>
  <c r="B397" i="1"/>
  <c r="B622" i="1"/>
  <c r="B191" i="1"/>
  <c r="B281" i="1"/>
  <c r="B32" i="1"/>
  <c r="B37" i="1"/>
  <c r="B115" i="1"/>
  <c r="B125" i="1"/>
  <c r="B533" i="1"/>
  <c r="B225" i="1"/>
  <c r="B575" i="1"/>
  <c r="B427" i="1"/>
  <c r="B511" i="1"/>
  <c r="B633" i="1"/>
  <c r="B611" i="1"/>
  <c r="B413" i="1"/>
  <c r="B630" i="1"/>
  <c r="B207" i="1"/>
  <c r="B328" i="1"/>
  <c r="B410" i="1"/>
  <c r="B332" i="1"/>
  <c r="B613" i="1"/>
  <c r="B18" i="1"/>
  <c r="B80" i="1"/>
  <c r="B170" i="1"/>
  <c r="B204" i="1"/>
  <c r="B760" i="1"/>
  <c r="B621" i="1"/>
  <c r="B266" i="1"/>
  <c r="B453" i="1"/>
  <c r="B298" i="1"/>
  <c r="B734" i="1"/>
  <c r="B212" i="1"/>
  <c r="B452" i="1"/>
  <c r="B34" i="1"/>
  <c r="B221" i="1"/>
  <c r="B451" i="1"/>
  <c r="B574" i="1"/>
  <c r="B461" i="1"/>
  <c r="B181" i="1"/>
  <c r="B122" i="1"/>
  <c r="B96" i="1"/>
  <c r="B485" i="1"/>
  <c r="B434" i="1"/>
  <c r="B626" i="1"/>
  <c r="B503" i="1"/>
  <c r="B691" i="1"/>
  <c r="B702" i="1"/>
  <c r="B66" i="1"/>
  <c r="B121" i="1"/>
  <c r="B197" i="1"/>
  <c r="B186" i="1"/>
  <c r="B555" i="1"/>
  <c r="B707" i="1"/>
  <c r="B710" i="1"/>
  <c r="B448" i="1"/>
  <c r="B436" i="1"/>
  <c r="B756" i="1"/>
  <c r="B764" i="1"/>
  <c r="B610" i="1"/>
  <c r="B502" i="1"/>
  <c r="B139" i="1"/>
  <c r="B126" i="1"/>
  <c r="B286" i="1"/>
  <c r="B582" i="1"/>
  <c r="B85" i="1"/>
  <c r="B22" i="1"/>
  <c r="B368" i="1"/>
  <c r="B46" i="1"/>
  <c r="B423" i="1"/>
  <c r="B59" i="1"/>
  <c r="B253" i="1"/>
  <c r="B206" i="1"/>
  <c r="B361" i="1"/>
  <c r="B30" i="1"/>
  <c r="B464" i="1"/>
  <c r="B614" i="1"/>
  <c r="B680" i="1"/>
  <c r="B17" i="1"/>
  <c r="B579" i="1"/>
  <c r="B150" i="1"/>
  <c r="B767" i="1"/>
  <c r="B394" i="1"/>
  <c r="B316" i="1"/>
  <c r="B597" i="1"/>
  <c r="B2" i="1"/>
  <c r="B64" i="1"/>
  <c r="B146" i="1"/>
  <c r="B180" i="1"/>
  <c r="B209" i="1"/>
  <c r="B259" i="1"/>
  <c r="B269" i="1"/>
  <c r="B566" i="1"/>
  <c r="B131" i="1"/>
  <c r="B360" i="1"/>
  <c r="B348" i="1"/>
  <c r="B296" i="1"/>
  <c r="B402" i="1"/>
  <c r="B324" i="1"/>
  <c r="B605" i="1"/>
  <c r="B10" i="1"/>
  <c r="B72" i="1"/>
  <c r="B592" i="1"/>
  <c r="B666" i="1"/>
  <c r="B524" i="1"/>
  <c r="B302" i="1"/>
  <c r="B174" i="1"/>
  <c r="B256" i="1"/>
  <c r="B47" i="1"/>
  <c r="B61" i="1"/>
  <c r="B458" i="1"/>
  <c r="B646" i="1"/>
  <c r="B140" i="1"/>
  <c r="B494" i="1"/>
  <c r="B419" i="1"/>
  <c r="B223" i="1"/>
  <c r="B504" i="1"/>
  <c r="B541" i="1"/>
  <c r="B112" i="1"/>
  <c r="B50" i="1"/>
  <c r="B114" i="1"/>
  <c r="B79" i="1"/>
  <c r="B722" i="1"/>
  <c r="B151" i="1"/>
  <c r="B244" i="1"/>
  <c r="B134" i="1"/>
  <c r="B8" i="1"/>
  <c r="B330" i="1"/>
  <c r="B67" i="1"/>
  <c r="B474" i="1"/>
  <c r="B75" i="1"/>
  <c r="B632" i="1"/>
  <c r="B147" i="1"/>
  <c r="B750" i="1"/>
  <c r="B109" i="1"/>
  <c r="B220" i="1"/>
  <c r="B742" i="1"/>
  <c r="B194" i="1"/>
  <c r="B219" i="1"/>
  <c r="B84" i="1"/>
  <c r="B549" i="1"/>
  <c r="B653" i="1"/>
  <c r="B148" i="1"/>
  <c r="B274" i="1"/>
  <c r="B73" i="1"/>
  <c r="B294" i="1"/>
  <c r="B437" i="1"/>
  <c r="B33" i="1"/>
  <c r="B273" i="1"/>
  <c r="B700" i="1"/>
  <c r="B179" i="1"/>
  <c r="B268" i="1"/>
  <c r="B466" i="1"/>
  <c r="B454" i="1"/>
  <c r="B627" i="1"/>
  <c r="B6" i="1"/>
  <c r="B616" i="1"/>
  <c r="B237" i="1"/>
  <c r="B572" i="1"/>
  <c r="B378" i="1"/>
  <c r="B527" i="1"/>
  <c r="B657" i="1"/>
  <c r="B103" i="1"/>
  <c r="B730" i="1"/>
  <c r="B93" i="1"/>
  <c r="B396" i="1"/>
  <c r="B183" i="1"/>
  <c r="B432" i="1"/>
  <c r="B538" i="1"/>
  <c r="B404" i="1"/>
  <c r="B685" i="1"/>
  <c r="B78" i="1"/>
  <c r="B144" i="1"/>
  <c r="B234" i="1"/>
  <c r="B252" i="1"/>
  <c r="B289" i="1"/>
  <c r="B40" i="1"/>
  <c r="B385" i="1"/>
  <c r="B26" i="1"/>
  <c r="B60" i="1"/>
  <c r="B624" i="1"/>
  <c r="B652" i="1"/>
  <c r="B440" i="1"/>
  <c r="B546" i="1"/>
  <c r="B412" i="1"/>
  <c r="B701" i="1"/>
  <c r="B86" i="1"/>
  <c r="B152" i="1"/>
  <c r="B712" i="1"/>
  <c r="B299" i="1"/>
  <c r="B628" i="1"/>
  <c r="B382" i="1"/>
  <c r="B270" i="1"/>
  <c r="B45" i="1"/>
  <c r="B123" i="1"/>
  <c r="B133" i="1"/>
  <c r="B307" i="1"/>
  <c r="B102" i="1"/>
  <c r="B69" i="1"/>
  <c r="B567" i="1"/>
  <c r="B739" i="1"/>
  <c r="B184" i="1"/>
  <c r="B393" i="1"/>
  <c r="B326" i="1"/>
  <c r="B153" i="1"/>
  <c r="B120" i="1"/>
  <c r="B161" i="1"/>
  <c r="B192" i="1"/>
  <c r="B159" i="1"/>
  <c r="B755" i="1"/>
  <c r="B372" i="1"/>
  <c r="B306" i="1"/>
  <c r="B44" i="1"/>
  <c r="B439" i="1"/>
  <c r="B200" i="1"/>
  <c r="B512" i="1"/>
  <c r="B211" i="1"/>
  <c r="B545" i="1"/>
  <c r="B241" i="1"/>
  <c r="B670" i="1"/>
  <c r="B578" i="1"/>
  <c r="B528" i="1"/>
  <c r="B345" i="1"/>
  <c r="B446" i="1"/>
  <c r="B189" i="1"/>
  <c r="B12" i="1"/>
  <c r="B414" i="1"/>
  <c r="B708" i="1"/>
  <c r="B535" i="1"/>
  <c r="B638" i="1"/>
  <c r="B636" i="1"/>
  <c r="B717" i="1"/>
  <c r="B319" i="1"/>
  <c r="B290" i="1"/>
  <c r="B395" i="1"/>
  <c r="B544" i="1"/>
  <c r="B355" i="1"/>
  <c r="B105" i="1"/>
  <c r="B580" i="1"/>
  <c r="B495" i="1"/>
  <c r="B500" i="1"/>
  <c r="B136" i="1"/>
  <c r="B552" i="1"/>
  <c r="B650" i="1"/>
  <c r="B508" i="1"/>
  <c r="B773" i="1"/>
  <c r="B158" i="1"/>
  <c r="B232" i="1"/>
  <c r="B23" i="1"/>
  <c r="B41" i="1"/>
  <c r="B74" i="1"/>
  <c r="B116" i="1"/>
  <c r="B690" i="1"/>
  <c r="B198" i="1"/>
  <c r="B284" i="1"/>
  <c r="B768" i="1"/>
  <c r="B349" i="1"/>
  <c r="B584" i="1"/>
  <c r="B658" i="1"/>
  <c r="B516" i="1"/>
  <c r="B781" i="1"/>
  <c r="B166" i="1"/>
  <c r="B240" i="1"/>
  <c r="B377" i="1"/>
  <c r="B411" i="1"/>
  <c r="B716" i="1"/>
  <c r="B478" i="1"/>
  <c r="B51" i="1"/>
  <c r="B137" i="1"/>
  <c r="B195" i="1"/>
  <c r="B205" i="1"/>
  <c r="B547" i="1"/>
  <c r="B143" i="1"/>
  <c r="B285" i="1"/>
  <c r="B687" i="1"/>
  <c r="B532" i="1"/>
  <c r="B145" i="1"/>
  <c r="B776" i="1"/>
  <c r="B202" i="1"/>
  <c r="B233" i="1"/>
  <c r="B460" i="1"/>
  <c r="B157" i="1"/>
  <c r="B292" i="1"/>
  <c r="B599" i="1"/>
  <c r="B20" i="1"/>
  <c r="B222" i="1"/>
  <c r="B27" i="1"/>
  <c r="B444" i="1"/>
  <c r="B353" i="1"/>
  <c r="B43" i="1"/>
  <c r="B421" i="1"/>
  <c r="B57" i="1"/>
  <c r="B315" i="1"/>
  <c r="B705" i="1"/>
  <c r="B420" i="1"/>
  <c r="B561" i="1"/>
  <c r="B727" i="1"/>
  <c r="B99" i="1"/>
  <c r="B350" i="1"/>
  <c r="B424" i="1"/>
  <c r="B389" i="1"/>
  <c r="B216" i="1"/>
  <c r="B696" i="1"/>
  <c r="B746" i="1"/>
  <c r="B596" i="1"/>
  <c r="B366" i="1"/>
  <c r="B238" i="1"/>
  <c r="B21" i="1"/>
  <c r="B107" i="1"/>
  <c r="B117" i="1"/>
  <c r="B162" i="1"/>
  <c r="B188" i="1"/>
  <c r="B635" i="1"/>
  <c r="B55" i="1"/>
  <c r="B213" i="1"/>
  <c r="B537" i="1"/>
  <c r="B645" i="1"/>
  <c r="B704" i="1"/>
  <c r="B786" i="1"/>
  <c r="B604" i="1"/>
  <c r="B374" i="1"/>
  <c r="B254" i="1"/>
  <c r="B415" i="1"/>
  <c r="B521" i="1"/>
  <c r="B507" i="1"/>
  <c r="B333" i="1"/>
  <c r="B558" i="1"/>
  <c r="B127" i="1"/>
  <c r="B217" i="1"/>
  <c r="B267" i="1"/>
  <c r="B277" i="1"/>
  <c r="B340" i="1"/>
  <c r="B88" i="1"/>
  <c r="B697" i="1"/>
  <c r="B336" i="1"/>
  <c r="B341" i="1"/>
  <c r="B98" i="1"/>
  <c r="B586" i="1"/>
  <c r="B323" i="1"/>
  <c r="B25" i="1"/>
  <c r="B662" i="1"/>
  <c r="B409" i="1"/>
  <c r="B677" i="1"/>
  <c r="B379" i="1"/>
  <c r="B113" i="1"/>
  <c r="B242" i="1"/>
  <c r="B311" i="1"/>
  <c r="B387" i="1"/>
  <c r="B641" i="1"/>
  <c r="B215" i="1"/>
  <c r="B643" i="1"/>
  <c r="B660" i="1"/>
  <c r="B563" i="1"/>
  <c r="B214" i="1"/>
  <c r="C214" i="1" l="1"/>
  <c r="C563" i="1"/>
  <c r="C660" i="1"/>
  <c r="C643" i="1"/>
  <c r="C215" i="1"/>
  <c r="C641" i="1"/>
  <c r="C387" i="1"/>
  <c r="C311" i="1"/>
  <c r="C242" i="1"/>
  <c r="C113" i="1"/>
  <c r="C379" i="1"/>
  <c r="C677" i="1"/>
  <c r="C409" i="1"/>
  <c r="C662" i="1"/>
  <c r="C25" i="1"/>
  <c r="C323" i="1"/>
  <c r="C586" i="1"/>
  <c r="C98" i="1"/>
  <c r="C341" i="1"/>
  <c r="C336" i="1"/>
  <c r="C697" i="1"/>
  <c r="C88" i="1"/>
  <c r="C340" i="1"/>
  <c r="C277" i="1"/>
  <c r="C267" i="1"/>
  <c r="C217" i="1"/>
  <c r="C127" i="1"/>
  <c r="C558" i="1"/>
  <c r="C333" i="1"/>
  <c r="C507" i="1"/>
  <c r="C521" i="1"/>
  <c r="C415" i="1"/>
  <c r="C254" i="1"/>
  <c r="C374" i="1"/>
  <c r="C604" i="1"/>
  <c r="C786" i="1"/>
  <c r="C704" i="1"/>
  <c r="C645" i="1"/>
  <c r="C537" i="1"/>
  <c r="C213" i="1"/>
  <c r="C55" i="1"/>
  <c r="C635" i="1"/>
  <c r="C188" i="1"/>
  <c r="C162" i="1"/>
  <c r="C117" i="1"/>
  <c r="C107" i="1"/>
  <c r="C21" i="1"/>
  <c r="C238" i="1"/>
  <c r="C366" i="1"/>
  <c r="C596" i="1"/>
  <c r="C746" i="1"/>
  <c r="C696" i="1"/>
  <c r="C216" i="1"/>
  <c r="C389" i="1"/>
  <c r="C424" i="1"/>
  <c r="C350" i="1"/>
  <c r="C99" i="1"/>
  <c r="C727" i="1"/>
  <c r="C561" i="1"/>
  <c r="C420" i="1"/>
  <c r="C705" i="1"/>
  <c r="C315" i="1"/>
  <c r="C57" i="1"/>
  <c r="C421" i="1"/>
  <c r="C43" i="1"/>
  <c r="C353" i="1"/>
  <c r="C444" i="1"/>
  <c r="C27" i="1"/>
  <c r="C222" i="1"/>
  <c r="C20" i="1"/>
  <c r="C599" i="1"/>
  <c r="C292" i="1"/>
  <c r="C157" i="1"/>
  <c r="C460" i="1"/>
  <c r="C233" i="1"/>
  <c r="C202" i="1"/>
  <c r="C776" i="1"/>
  <c r="C145" i="1"/>
  <c r="C532" i="1"/>
  <c r="C687" i="1"/>
  <c r="C285" i="1"/>
  <c r="C143" i="1"/>
  <c r="C547" i="1"/>
  <c r="C205" i="1"/>
  <c r="C195" i="1"/>
  <c r="C137" i="1"/>
  <c r="C51" i="1"/>
  <c r="C478" i="1"/>
  <c r="C716" i="1"/>
  <c r="C411" i="1"/>
  <c r="C377" i="1"/>
  <c r="C240" i="1"/>
  <c r="C166" i="1"/>
  <c r="C781" i="1"/>
  <c r="C516" i="1"/>
  <c r="C658" i="1"/>
  <c r="C584" i="1"/>
  <c r="C349" i="1"/>
  <c r="C768" i="1"/>
  <c r="C284" i="1"/>
  <c r="C198" i="1"/>
  <c r="C690" i="1"/>
  <c r="C116" i="1"/>
  <c r="C74" i="1"/>
  <c r="C41" i="1"/>
  <c r="C23" i="1"/>
  <c r="C232" i="1"/>
  <c r="C158" i="1"/>
  <c r="C773" i="1"/>
  <c r="C508" i="1"/>
  <c r="C650" i="1"/>
  <c r="C552" i="1"/>
  <c r="C136" i="1"/>
  <c r="C500" i="1"/>
  <c r="C495" i="1"/>
  <c r="C580" i="1"/>
  <c r="C105" i="1"/>
  <c r="C355" i="1"/>
  <c r="C544" i="1"/>
  <c r="C395" i="1"/>
  <c r="C290" i="1"/>
  <c r="C319" i="1"/>
  <c r="C717" i="1"/>
  <c r="C636" i="1"/>
  <c r="C638" i="1"/>
  <c r="C535" i="1"/>
  <c r="C708" i="1"/>
  <c r="C414" i="1"/>
  <c r="C12" i="1"/>
  <c r="C189" i="1"/>
  <c r="C446" i="1"/>
  <c r="C345" i="1"/>
  <c r="C528" i="1"/>
  <c r="C578" i="1"/>
  <c r="C670" i="1"/>
  <c r="C241" i="1"/>
  <c r="C545" i="1"/>
  <c r="C211" i="1"/>
  <c r="C512" i="1"/>
  <c r="C200" i="1"/>
  <c r="C439" i="1"/>
  <c r="C44" i="1"/>
  <c r="C306" i="1"/>
  <c r="C372" i="1"/>
  <c r="C755" i="1"/>
  <c r="C159" i="1"/>
  <c r="C192" i="1"/>
  <c r="C161" i="1"/>
  <c r="C120" i="1"/>
  <c r="C153" i="1"/>
  <c r="C326" i="1"/>
  <c r="C393" i="1"/>
  <c r="C184" i="1"/>
  <c r="C739" i="1"/>
  <c r="C567" i="1"/>
  <c r="C69" i="1"/>
  <c r="C102" i="1"/>
  <c r="C307" i="1"/>
  <c r="C133" i="1"/>
  <c r="C123" i="1"/>
  <c r="C45" i="1"/>
  <c r="C270" i="1"/>
  <c r="C382" i="1"/>
  <c r="C628" i="1"/>
  <c r="C299" i="1"/>
  <c r="C712" i="1"/>
  <c r="C152" i="1"/>
  <c r="C86" i="1"/>
  <c r="C701" i="1"/>
  <c r="C412" i="1"/>
  <c r="C546" i="1"/>
  <c r="C440" i="1"/>
  <c r="C652" i="1"/>
  <c r="C624" i="1"/>
  <c r="C60" i="1"/>
  <c r="C26" i="1"/>
  <c r="C385" i="1"/>
  <c r="C40" i="1"/>
  <c r="C289" i="1"/>
  <c r="C252" i="1"/>
  <c r="C234" i="1"/>
  <c r="C144" i="1"/>
  <c r="C78" i="1"/>
  <c r="C685" i="1"/>
  <c r="C404" i="1"/>
  <c r="C538" i="1"/>
  <c r="C432" i="1"/>
  <c r="C183" i="1"/>
  <c r="C396" i="1"/>
  <c r="C93" i="1"/>
  <c r="C730" i="1"/>
  <c r="C103" i="1"/>
  <c r="C657" i="1"/>
  <c r="C527" i="1"/>
  <c r="C378" i="1"/>
  <c r="C572" i="1"/>
  <c r="C237" i="1"/>
  <c r="C616" i="1"/>
  <c r="C6" i="1"/>
  <c r="C627" i="1"/>
  <c r="C454" i="1"/>
  <c r="C466" i="1"/>
  <c r="C268" i="1"/>
  <c r="C179" i="1"/>
  <c r="C700" i="1"/>
  <c r="C273" i="1"/>
  <c r="C33" i="1"/>
  <c r="C437" i="1"/>
  <c r="C294" i="1"/>
  <c r="C73" i="1"/>
  <c r="C274" i="1"/>
  <c r="C148" i="1"/>
  <c r="C653" i="1"/>
  <c r="C549" i="1"/>
  <c r="C84" i="1"/>
  <c r="C219" i="1"/>
  <c r="C194" i="1"/>
  <c r="C742" i="1"/>
  <c r="C220" i="1"/>
  <c r="C109" i="1"/>
  <c r="C750" i="1"/>
  <c r="C147" i="1"/>
  <c r="C632" i="1"/>
  <c r="C75" i="1"/>
  <c r="C474" i="1"/>
  <c r="C67" i="1"/>
  <c r="C330" i="1"/>
  <c r="C8" i="1"/>
  <c r="C134" i="1"/>
  <c r="C244" i="1"/>
  <c r="C151" i="1"/>
  <c r="C722" i="1"/>
  <c r="C79" i="1"/>
  <c r="C114" i="1"/>
  <c r="C50" i="1"/>
  <c r="C112" i="1"/>
  <c r="C541" i="1"/>
  <c r="C504" i="1"/>
  <c r="C223" i="1"/>
  <c r="C419" i="1"/>
  <c r="C494" i="1"/>
  <c r="C140" i="1"/>
  <c r="C646" i="1"/>
  <c r="C458" i="1"/>
  <c r="C61" i="1"/>
  <c r="C47" i="1"/>
  <c r="C256" i="1"/>
  <c r="C174" i="1"/>
  <c r="C302" i="1"/>
  <c r="C524" i="1"/>
  <c r="C666" i="1"/>
  <c r="C592" i="1"/>
  <c r="C72" i="1"/>
  <c r="C10" i="1"/>
  <c r="C605" i="1"/>
  <c r="C324" i="1"/>
  <c r="C402" i="1"/>
  <c r="C296" i="1"/>
  <c r="C348" i="1"/>
  <c r="C360" i="1"/>
  <c r="C131" i="1"/>
  <c r="C566" i="1"/>
  <c r="C269" i="1"/>
  <c r="C259" i="1"/>
  <c r="C209" i="1"/>
  <c r="C180" i="1"/>
  <c r="C146" i="1"/>
  <c r="C64" i="1"/>
  <c r="C2" i="1"/>
  <c r="C597" i="1"/>
  <c r="C316" i="1"/>
  <c r="C394" i="1"/>
  <c r="C767" i="1"/>
  <c r="C150" i="1"/>
  <c r="C579" i="1"/>
  <c r="C17" i="1"/>
  <c r="C680" i="1"/>
  <c r="C614" i="1"/>
  <c r="C464" i="1"/>
  <c r="C30" i="1"/>
  <c r="C361" i="1"/>
  <c r="C206" i="1"/>
  <c r="C253" i="1"/>
  <c r="C59" i="1"/>
  <c r="C423" i="1"/>
  <c r="C46" i="1"/>
  <c r="C368" i="1"/>
  <c r="C22" i="1"/>
  <c r="C85" i="1"/>
  <c r="C582" i="1"/>
  <c r="C286" i="1"/>
  <c r="C126" i="1"/>
  <c r="C139" i="1"/>
  <c r="C502" i="1"/>
  <c r="C610" i="1"/>
  <c r="C764" i="1"/>
  <c r="C756" i="1"/>
  <c r="C436" i="1"/>
  <c r="C448" i="1"/>
  <c r="C710" i="1"/>
  <c r="C707" i="1"/>
  <c r="C555" i="1"/>
  <c r="C186" i="1"/>
  <c r="C197" i="1"/>
  <c r="C121" i="1"/>
  <c r="C66" i="1"/>
  <c r="C702" i="1"/>
  <c r="C691" i="1"/>
  <c r="C503" i="1"/>
  <c r="C626" i="1"/>
  <c r="C434" i="1"/>
  <c r="C485" i="1"/>
  <c r="C96" i="1"/>
  <c r="C122" i="1"/>
  <c r="C181" i="1"/>
  <c r="C461" i="1"/>
  <c r="C574" i="1"/>
  <c r="C451" i="1"/>
  <c r="C221" i="1"/>
  <c r="C34" i="1"/>
  <c r="C452" i="1"/>
  <c r="C212" i="1"/>
  <c r="C734" i="1"/>
  <c r="C298" i="1"/>
  <c r="C453" i="1"/>
  <c r="C266" i="1"/>
  <c r="C621" i="1"/>
  <c r="C760" i="1"/>
  <c r="C204" i="1"/>
  <c r="C170" i="1"/>
  <c r="C80" i="1"/>
  <c r="C18" i="1"/>
  <c r="C613" i="1"/>
  <c r="C332" i="1"/>
  <c r="C410" i="1"/>
  <c r="C328" i="1"/>
  <c r="C207" i="1"/>
  <c r="C630" i="1"/>
  <c r="C413" i="1"/>
  <c r="C611" i="1"/>
  <c r="C633" i="1"/>
  <c r="C511" i="1"/>
  <c r="C427" i="1"/>
  <c r="C575" i="1"/>
  <c r="C225" i="1"/>
  <c r="C533" i="1"/>
  <c r="C125" i="1"/>
  <c r="C115" i="1"/>
  <c r="C37" i="1"/>
  <c r="C32" i="1"/>
  <c r="C281" i="1"/>
  <c r="C191" i="1"/>
  <c r="C622" i="1"/>
  <c r="C397" i="1"/>
  <c r="C603" i="1"/>
  <c r="C609" i="1"/>
  <c r="C15" i="1"/>
  <c r="C606" i="1"/>
  <c r="C490" i="1"/>
  <c r="C83" i="1"/>
  <c r="C752" i="1"/>
  <c r="C308" i="1"/>
  <c r="C620" i="1"/>
  <c r="C182" i="1"/>
  <c r="C76" i="1"/>
  <c r="C243" i="1"/>
  <c r="C100" i="1"/>
  <c r="C48" i="1"/>
  <c r="C743" i="1"/>
  <c r="C63" i="1"/>
  <c r="C141" i="1"/>
  <c r="C278" i="1"/>
  <c r="C562" i="1"/>
  <c r="C725" i="1"/>
  <c r="C203" i="1"/>
  <c r="C406" i="1"/>
  <c r="C649" i="1"/>
  <c r="C276" i="1"/>
  <c r="C258" i="1"/>
  <c r="C168" i="1"/>
  <c r="C94" i="1"/>
  <c r="C709" i="1"/>
  <c r="C554" i="1"/>
  <c r="C287" i="1"/>
  <c r="C517" i="1"/>
  <c r="C777" i="1"/>
  <c r="C671" i="1"/>
  <c r="C695" i="1"/>
  <c r="C310" i="1"/>
  <c r="C187" i="1"/>
  <c r="C108" i="1"/>
  <c r="C279" i="1"/>
  <c r="C493" i="1"/>
  <c r="C729" i="1"/>
  <c r="C70" i="1"/>
  <c r="C92" i="1"/>
  <c r="C637" i="1"/>
  <c r="C344" i="1"/>
  <c r="C280" i="1"/>
  <c r="C272" i="1"/>
  <c r="C172" i="1"/>
  <c r="C149" i="1"/>
  <c r="C741" i="1"/>
  <c r="C24" i="1"/>
  <c r="C239" i="1"/>
  <c r="C342" i="1"/>
  <c r="C231" i="1"/>
  <c r="C81" i="1"/>
  <c r="C283" i="1"/>
  <c r="C667" i="1"/>
  <c r="C156" i="1"/>
  <c r="C357" i="1"/>
  <c r="C228" i="1"/>
  <c r="C441" i="1"/>
  <c r="C77" i="1"/>
  <c r="C9" i="1"/>
  <c r="C422" i="1"/>
  <c r="C747" i="1"/>
  <c r="C275" i="1"/>
  <c r="C486" i="1"/>
  <c r="C529" i="1"/>
  <c r="C540" i="1"/>
  <c r="C14" i="1"/>
  <c r="C429" i="1"/>
  <c r="C456" i="1"/>
  <c r="C124" i="1"/>
  <c r="C82" i="1"/>
  <c r="C4" i="1"/>
  <c r="C726" i="1"/>
  <c r="C525" i="1"/>
  <c r="C731" i="1"/>
  <c r="C785" i="1"/>
  <c r="C679" i="1"/>
  <c r="C119" i="1"/>
  <c r="C550" i="1"/>
  <c r="C301" i="1"/>
  <c r="C499" i="1"/>
  <c r="C473" i="1"/>
  <c r="C407" i="1"/>
  <c r="C714" i="1"/>
  <c r="C431" i="1"/>
  <c r="C264" i="1"/>
  <c r="C732" i="1"/>
  <c r="C49" i="1"/>
  <c r="C39" i="1"/>
  <c r="C261" i="1"/>
  <c r="C251" i="1"/>
  <c r="C201" i="1"/>
  <c r="C111" i="1"/>
  <c r="C534" i="1"/>
  <c r="C787" i="1"/>
  <c r="C491" i="1"/>
  <c r="C465" i="1"/>
  <c r="C226" i="1"/>
  <c r="C765" i="1"/>
  <c r="C601" i="1"/>
  <c r="C5" i="1"/>
  <c r="C559" i="1"/>
  <c r="C602" i="1"/>
  <c r="C595" i="1"/>
  <c r="C462" i="1"/>
  <c r="C138" i="1"/>
  <c r="C56" i="1"/>
  <c r="C774" i="1"/>
  <c r="C589" i="1"/>
  <c r="C771" i="1"/>
  <c r="C370" i="1"/>
  <c r="C759" i="1"/>
  <c r="C236" i="1"/>
  <c r="C210" i="1"/>
  <c r="C128" i="1"/>
  <c r="C62" i="1"/>
  <c r="C669" i="1"/>
  <c r="C380" i="1"/>
  <c r="C482" i="1"/>
  <c r="C376" i="1"/>
  <c r="C769" i="1"/>
  <c r="C576" i="1"/>
  <c r="C383" i="1"/>
  <c r="C196" i="1"/>
  <c r="C250" i="1"/>
  <c r="C248" i="1"/>
  <c r="C262" i="1"/>
  <c r="C470" i="1"/>
  <c r="C325" i="1"/>
  <c r="C619" i="1"/>
  <c r="C426" i="1"/>
  <c r="C744" i="1"/>
  <c r="C551" i="1"/>
  <c r="C674" i="1"/>
  <c r="C481" i="1"/>
  <c r="C304" i="1"/>
  <c r="C509" i="1"/>
  <c r="C492" i="1"/>
  <c r="C467" i="1"/>
  <c r="C450" i="1"/>
  <c r="C433" i="1"/>
  <c r="C416" i="1"/>
  <c r="C399" i="1"/>
  <c r="C193" i="1"/>
  <c r="C263" i="1"/>
  <c r="C54" i="1"/>
  <c r="C334" i="1"/>
  <c r="C309" i="1"/>
  <c r="C779" i="1"/>
  <c r="C762" i="1"/>
  <c r="C745" i="1"/>
  <c r="C728" i="1"/>
  <c r="C711" i="1"/>
  <c r="C663" i="1"/>
  <c r="C58" i="1"/>
  <c r="C271" i="1"/>
  <c r="C694" i="1"/>
  <c r="C477" i="1"/>
  <c r="C683" i="1"/>
  <c r="C721" i="1"/>
  <c r="C615" i="1"/>
  <c r="C164" i="1"/>
  <c r="C130" i="1"/>
  <c r="C52" i="1"/>
  <c r="C766" i="1"/>
  <c r="C557" i="1"/>
  <c r="C763" i="1"/>
  <c r="C362" i="1"/>
  <c r="C751" i="1"/>
  <c r="C673" i="1"/>
  <c r="C496" i="1"/>
  <c r="C303" i="1"/>
  <c r="C132" i="1"/>
  <c r="C178" i="1"/>
  <c r="C176" i="1"/>
  <c r="C190" i="1"/>
  <c r="C390" i="1"/>
  <c r="C724" i="1"/>
  <c r="C539" i="1"/>
  <c r="C346" i="1"/>
  <c r="C648" i="1"/>
  <c r="C471" i="1"/>
  <c r="C594" i="1"/>
  <c r="C401" i="1"/>
  <c r="C703" i="1"/>
  <c r="C445" i="1"/>
  <c r="C428" i="1"/>
  <c r="C403" i="1"/>
  <c r="C386" i="1"/>
  <c r="C369" i="1"/>
  <c r="C352" i="1"/>
  <c r="C335" i="1"/>
  <c r="C129" i="1"/>
  <c r="C199" i="1"/>
  <c r="C782" i="1"/>
  <c r="C757" i="1"/>
  <c r="C740" i="1"/>
  <c r="C715" i="1"/>
  <c r="C698" i="1"/>
  <c r="C681" i="1"/>
  <c r="C664" i="1"/>
  <c r="C647" i="1"/>
  <c r="C53" i="1"/>
  <c r="C255" i="1"/>
  <c r="C678" i="1"/>
  <c r="C469" i="1"/>
  <c r="C675" i="1"/>
  <c r="C713" i="1"/>
  <c r="C607" i="1"/>
  <c r="C593" i="1"/>
  <c r="C400" i="1"/>
  <c r="C293" i="1"/>
  <c r="C68" i="1"/>
  <c r="C106" i="1"/>
  <c r="C104" i="1"/>
  <c r="C110" i="1"/>
  <c r="C318" i="1"/>
  <c r="C644" i="1"/>
  <c r="C443" i="1"/>
  <c r="C761" i="1"/>
  <c r="C568" i="1"/>
  <c r="C375" i="1"/>
  <c r="C498" i="1"/>
  <c r="C321" i="1"/>
  <c r="C623" i="1"/>
  <c r="C381" i="1"/>
  <c r="C364" i="1"/>
  <c r="C339" i="1"/>
  <c r="C322" i="1"/>
  <c r="C305" i="1"/>
  <c r="C783" i="1"/>
  <c r="C282" i="1"/>
  <c r="C65" i="1"/>
  <c r="C135" i="1"/>
  <c r="C718" i="1"/>
  <c r="C693" i="1"/>
  <c r="C676" i="1"/>
  <c r="C651" i="1"/>
  <c r="C634" i="1"/>
  <c r="C617" i="1"/>
  <c r="C600" i="1"/>
  <c r="C583" i="1"/>
  <c r="C359" i="1"/>
  <c r="C185" i="1"/>
  <c r="C95" i="1"/>
  <c r="C518" i="1"/>
  <c r="C780" i="1"/>
  <c r="C483" i="1"/>
  <c r="C457" i="1"/>
  <c r="C351" i="1"/>
  <c r="C16" i="1"/>
  <c r="C265" i="1"/>
  <c r="C167" i="1"/>
  <c r="C598" i="1"/>
  <c r="C365" i="1"/>
  <c r="C571" i="1"/>
  <c r="C569" i="1"/>
  <c r="C487" i="1"/>
  <c r="C513" i="1"/>
  <c r="C320" i="1"/>
  <c r="C229" i="1"/>
  <c r="C291" i="1"/>
  <c r="C38" i="1"/>
  <c r="C28" i="1"/>
  <c r="C42" i="1"/>
  <c r="C733" i="1"/>
  <c r="C564" i="1"/>
  <c r="C363" i="1"/>
  <c r="C665" i="1"/>
  <c r="C488" i="1"/>
  <c r="C295" i="1"/>
  <c r="C418" i="1"/>
  <c r="C720" i="1"/>
  <c r="C543" i="1"/>
  <c r="C317" i="1"/>
  <c r="C300" i="1"/>
  <c r="C770" i="1"/>
  <c r="C753" i="1"/>
  <c r="C736" i="1"/>
  <c r="C719" i="1"/>
  <c r="C218" i="1"/>
  <c r="C288" i="1"/>
  <c r="C71" i="1"/>
  <c r="C654" i="1"/>
  <c r="C629" i="1"/>
  <c r="C612" i="1"/>
  <c r="C587" i="1"/>
  <c r="C570" i="1"/>
  <c r="C553" i="1"/>
  <c r="C536" i="1"/>
  <c r="C519" i="1"/>
  <c r="C171" i="1"/>
  <c r="C97" i="1"/>
  <c r="C19" i="1"/>
  <c r="C438" i="1"/>
  <c r="C692" i="1"/>
  <c r="C371" i="1"/>
  <c r="C313" i="1"/>
  <c r="C245" i="1"/>
  <c r="C235" i="1"/>
  <c r="C169" i="1"/>
  <c r="C87" i="1"/>
  <c r="C510" i="1"/>
  <c r="C772" i="1"/>
  <c r="C475" i="1"/>
  <c r="C449" i="1"/>
  <c r="C343" i="1"/>
  <c r="C417" i="1"/>
  <c r="C735" i="1"/>
  <c r="C165" i="1"/>
  <c r="C227" i="1"/>
  <c r="C249" i="1"/>
  <c r="C247" i="1"/>
  <c r="C758" i="1"/>
  <c r="C661" i="1"/>
  <c r="C468" i="1"/>
  <c r="C778" i="1"/>
  <c r="C585" i="1"/>
  <c r="C392" i="1"/>
  <c r="C515" i="1"/>
  <c r="C338" i="1"/>
  <c r="C640" i="1"/>
  <c r="C447" i="1"/>
  <c r="C748" i="1"/>
  <c r="C723" i="1"/>
  <c r="C706" i="1"/>
  <c r="C689" i="1"/>
  <c r="C672" i="1"/>
  <c r="C655" i="1"/>
  <c r="C154" i="1"/>
  <c r="C224" i="1"/>
  <c r="C11" i="1"/>
  <c r="C590" i="1"/>
  <c r="C565" i="1"/>
  <c r="C548" i="1"/>
  <c r="C523" i="1"/>
  <c r="C506" i="1"/>
  <c r="C489" i="1"/>
  <c r="C472" i="1"/>
  <c r="C455" i="1"/>
  <c r="C91" i="1"/>
  <c r="C13" i="1"/>
  <c r="C230" i="1"/>
  <c r="C358" i="1"/>
  <c r="C588" i="1"/>
  <c r="C738" i="1"/>
  <c r="C688" i="1"/>
  <c r="C173" i="1"/>
  <c r="C155" i="1"/>
  <c r="C89" i="1"/>
  <c r="C3" i="1"/>
  <c r="C430" i="1"/>
  <c r="C668" i="1"/>
  <c r="C347" i="1"/>
  <c r="C784" i="1"/>
  <c r="C530" i="1"/>
  <c r="C337" i="1"/>
  <c r="C639" i="1"/>
  <c r="C101" i="1"/>
  <c r="C163" i="1"/>
  <c r="C177" i="1"/>
  <c r="C175" i="1"/>
  <c r="C686" i="1"/>
  <c r="C581" i="1"/>
  <c r="C388" i="1"/>
  <c r="C682" i="1"/>
  <c r="C505" i="1"/>
  <c r="C312" i="1"/>
  <c r="C435" i="1"/>
  <c r="C737" i="1"/>
  <c r="C560" i="1"/>
  <c r="C367" i="1"/>
  <c r="C684" i="1"/>
  <c r="C659" i="1"/>
  <c r="C642" i="1"/>
  <c r="C625" i="1"/>
  <c r="C608" i="1"/>
  <c r="C591" i="1"/>
  <c r="C90" i="1"/>
  <c r="C160" i="1"/>
  <c r="C246" i="1"/>
  <c r="C526" i="1"/>
  <c r="C501" i="1"/>
  <c r="C484" i="1"/>
  <c r="C459" i="1"/>
  <c r="C442" i="1"/>
  <c r="C425" i="1"/>
  <c r="C408" i="1"/>
  <c r="C391" i="1"/>
  <c r="C327" i="1"/>
  <c r="C7" i="1"/>
  <c r="C208" i="1"/>
  <c r="C142" i="1"/>
  <c r="C749" i="1"/>
  <c r="C476" i="1"/>
  <c r="C618" i="1"/>
  <c r="C520" i="1"/>
  <c r="C354" i="1"/>
  <c r="C656" i="1"/>
  <c r="C479" i="1"/>
  <c r="C260" i="1"/>
  <c r="C31" i="1"/>
  <c r="C29" i="1"/>
  <c r="C35" i="1"/>
  <c r="C542" i="1"/>
  <c r="C405" i="1"/>
  <c r="C699" i="1"/>
  <c r="C522" i="1"/>
  <c r="C329" i="1"/>
  <c r="C631" i="1"/>
  <c r="C754" i="1"/>
  <c r="C577" i="1"/>
  <c r="C384" i="1"/>
  <c r="C573" i="1"/>
  <c r="C556" i="1"/>
  <c r="C531" i="1"/>
  <c r="C514" i="1"/>
  <c r="C497" i="1"/>
  <c r="C480" i="1"/>
  <c r="C463" i="1"/>
  <c r="C257" i="1"/>
  <c r="C36" i="1"/>
  <c r="C118" i="1"/>
  <c r="C398" i="1"/>
  <c r="C373" i="1"/>
  <c r="C356" i="1"/>
  <c r="C331" i="1"/>
  <c r="C314" i="1"/>
  <c r="C297" i="1"/>
  <c r="C775" i="1"/>
  <c r="N308" i="3"/>
  <c r="P308" i="3"/>
  <c r="N2" i="3"/>
  <c r="P2" i="3"/>
  <c r="N106" i="3"/>
  <c r="P106" i="3"/>
  <c r="N386" i="3"/>
  <c r="P386" i="3"/>
  <c r="N611" i="3"/>
  <c r="P611" i="3"/>
  <c r="N398" i="3"/>
  <c r="P398" i="3"/>
  <c r="N358" i="3"/>
  <c r="P358" i="3"/>
  <c r="N362" i="3"/>
  <c r="P362" i="3"/>
  <c r="N348" i="3"/>
  <c r="P348" i="3"/>
  <c r="N157" i="3"/>
  <c r="P157" i="3"/>
  <c r="N282" i="3"/>
  <c r="P282" i="3"/>
  <c r="N208" i="3"/>
  <c r="P208" i="3"/>
  <c r="N590" i="3"/>
  <c r="P590" i="3"/>
  <c r="N213" i="3"/>
  <c r="P213" i="3"/>
  <c r="N744" i="3"/>
  <c r="P744" i="3"/>
  <c r="N376" i="3"/>
  <c r="P376" i="3"/>
  <c r="N342" i="3"/>
  <c r="P342" i="3"/>
  <c r="N449" i="3"/>
  <c r="P449" i="3"/>
  <c r="N594" i="3"/>
  <c r="P594" i="3"/>
  <c r="N447" i="3"/>
  <c r="P447" i="3"/>
  <c r="N740" i="3"/>
  <c r="P740" i="3"/>
  <c r="N276" i="3"/>
  <c r="P276" i="3"/>
  <c r="N730" i="3"/>
  <c r="P730" i="3"/>
  <c r="N116" i="3"/>
  <c r="P116" i="3"/>
  <c r="N693" i="3"/>
  <c r="P693" i="3"/>
  <c r="N422" i="3"/>
  <c r="P422" i="3"/>
  <c r="N64" i="3"/>
  <c r="P64" i="3"/>
  <c r="N368" i="3"/>
  <c r="P368" i="3"/>
  <c r="N516" i="3"/>
  <c r="P516" i="3"/>
  <c r="N357" i="3"/>
  <c r="P357" i="3"/>
  <c r="N21" i="3"/>
  <c r="P21" i="3"/>
  <c r="N119" i="3"/>
  <c r="P119" i="3"/>
  <c r="N407" i="3"/>
  <c r="P407" i="3"/>
  <c r="N583" i="3"/>
  <c r="P583" i="3"/>
  <c r="N153" i="3"/>
  <c r="P153" i="3"/>
  <c r="N448" i="3"/>
  <c r="P448" i="3"/>
  <c r="N115" i="3"/>
  <c r="P115" i="3"/>
  <c r="N27" i="3"/>
  <c r="P27" i="3"/>
  <c r="N42" i="3"/>
  <c r="P42" i="3"/>
  <c r="N302" i="3"/>
  <c r="P302" i="3"/>
  <c r="N662" i="3"/>
  <c r="P662" i="3"/>
  <c r="N205" i="3"/>
  <c r="P205" i="3"/>
  <c r="N651" i="3"/>
  <c r="P651" i="3"/>
  <c r="N22" i="3"/>
  <c r="P22" i="3"/>
  <c r="N74" i="3"/>
  <c r="P74" i="3"/>
  <c r="N267" i="3"/>
  <c r="P267" i="3"/>
  <c r="N567" i="3"/>
  <c r="P567" i="3"/>
  <c r="N469" i="3"/>
  <c r="P469" i="3"/>
  <c r="N329" i="3"/>
  <c r="P329" i="3"/>
  <c r="N356" i="3"/>
  <c r="P356" i="3"/>
  <c r="N96" i="3"/>
  <c r="P96" i="3"/>
  <c r="N542" i="3"/>
  <c r="P542" i="3"/>
  <c r="N523" i="3"/>
  <c r="P523" i="3"/>
  <c r="N137" i="3"/>
  <c r="P137" i="3"/>
  <c r="N375" i="3"/>
  <c r="P375" i="3"/>
  <c r="N279" i="3"/>
  <c r="P279" i="3"/>
  <c r="N596" i="3"/>
  <c r="P596" i="3"/>
  <c r="N443" i="3"/>
  <c r="P443" i="3"/>
  <c r="N350" i="3"/>
  <c r="P350" i="3"/>
  <c r="N559" i="3"/>
  <c r="P559" i="3"/>
  <c r="N272" i="3"/>
  <c r="P272" i="3"/>
  <c r="N140" i="3"/>
  <c r="P140" i="3"/>
  <c r="N404" i="3"/>
  <c r="P404" i="3"/>
  <c r="N33" i="3"/>
  <c r="P33" i="3"/>
  <c r="N732" i="3"/>
  <c r="P732" i="3"/>
  <c r="N413" i="3"/>
  <c r="P413" i="3"/>
  <c r="N716" i="3"/>
  <c r="P716" i="3"/>
  <c r="N598" i="3"/>
  <c r="P598" i="3"/>
  <c r="N641" i="3"/>
  <c r="P641" i="3"/>
  <c r="N631" i="3"/>
  <c r="P631" i="3"/>
  <c r="N616" i="3"/>
  <c r="P616" i="3"/>
  <c r="N547" i="3"/>
  <c r="P547" i="3"/>
  <c r="N637" i="3"/>
  <c r="P637" i="3"/>
  <c r="N295" i="3"/>
  <c r="P295" i="3"/>
  <c r="N710" i="3"/>
  <c r="P710" i="3"/>
  <c r="N383" i="3"/>
  <c r="P383" i="3"/>
  <c r="N264" i="3"/>
  <c r="P264" i="3"/>
  <c r="N83" i="3"/>
  <c r="P83" i="3"/>
  <c r="N250" i="3"/>
  <c r="P250" i="3"/>
  <c r="N660" i="3"/>
  <c r="P660" i="3"/>
  <c r="N504" i="3"/>
  <c r="P504" i="3"/>
  <c r="N63" i="3"/>
  <c r="P63" i="3"/>
  <c r="N43" i="3"/>
  <c r="P43" i="3"/>
  <c r="N667" i="3"/>
  <c r="P667" i="3"/>
  <c r="N669" i="3"/>
  <c r="P669" i="3"/>
  <c r="N455" i="3"/>
  <c r="P455" i="3"/>
  <c r="N306" i="3"/>
  <c r="P306" i="3"/>
  <c r="N31" i="3"/>
  <c r="P31" i="3"/>
  <c r="N529" i="3"/>
  <c r="P529" i="3"/>
  <c r="N332" i="3"/>
  <c r="P332" i="3"/>
  <c r="N82" i="3"/>
  <c r="P82" i="3"/>
  <c r="N235" i="3"/>
  <c r="P235" i="3"/>
  <c r="N500" i="3"/>
  <c r="P500" i="3"/>
  <c r="N577" i="3"/>
  <c r="P577" i="3"/>
  <c r="N473" i="3"/>
  <c r="P473" i="3"/>
  <c r="N155" i="3"/>
  <c r="P155" i="3"/>
  <c r="N708" i="3"/>
  <c r="P708" i="3"/>
  <c r="N731" i="3"/>
  <c r="P731" i="3"/>
  <c r="N439" i="3"/>
  <c r="P439" i="3"/>
  <c r="N535" i="3"/>
  <c r="P535" i="3"/>
  <c r="N464" i="3"/>
  <c r="P464" i="3"/>
  <c r="N132" i="3"/>
  <c r="P132" i="3"/>
  <c r="N395" i="3"/>
  <c r="P395" i="3"/>
  <c r="N539" i="3"/>
  <c r="P539" i="3"/>
  <c r="N256" i="3"/>
  <c r="P256" i="3"/>
  <c r="N554" i="3"/>
  <c r="P554" i="3"/>
  <c r="N175" i="3"/>
  <c r="P175" i="3"/>
  <c r="N681" i="3"/>
  <c r="P681" i="3"/>
  <c r="N221" i="3"/>
  <c r="P221" i="3"/>
  <c r="N338" i="3"/>
  <c r="P338" i="3"/>
  <c r="N224" i="3"/>
  <c r="P224" i="3"/>
  <c r="N292" i="3"/>
  <c r="P292" i="3"/>
  <c r="N642" i="3"/>
  <c r="P642" i="3"/>
  <c r="N277" i="3"/>
  <c r="P277" i="3"/>
  <c r="N496" i="3"/>
  <c r="P496" i="3"/>
  <c r="N346" i="3"/>
  <c r="P346" i="3"/>
  <c r="N343" i="3"/>
  <c r="P343" i="3"/>
  <c r="N482" i="3"/>
  <c r="P482" i="3"/>
  <c r="N391" i="3"/>
  <c r="P391" i="3"/>
  <c r="N736" i="3"/>
  <c r="P736" i="3"/>
  <c r="N728" i="3"/>
  <c r="P728" i="3"/>
  <c r="N568" i="3"/>
  <c r="P568" i="3"/>
  <c r="N617" i="3"/>
  <c r="P617" i="3"/>
  <c r="N225" i="3"/>
  <c r="P225" i="3"/>
  <c r="N552" i="3"/>
  <c r="P552" i="3"/>
  <c r="N314" i="3"/>
  <c r="P314" i="3"/>
  <c r="N664" i="3"/>
  <c r="P664" i="3"/>
  <c r="N385" i="3"/>
  <c r="P385" i="3"/>
  <c r="N227" i="3"/>
  <c r="P227" i="3"/>
  <c r="N253" i="3"/>
  <c r="P253" i="3"/>
  <c r="N244" i="3"/>
  <c r="P244" i="3"/>
  <c r="N505" i="3"/>
  <c r="P505" i="3"/>
  <c r="N525" i="3"/>
  <c r="P525" i="3"/>
  <c r="N36" i="3"/>
  <c r="P36" i="3"/>
  <c r="N145" i="3"/>
  <c r="P145" i="3"/>
  <c r="N182" i="3"/>
  <c r="P182" i="3"/>
  <c r="N219" i="3"/>
  <c r="P219" i="3"/>
  <c r="N240" i="3"/>
  <c r="P240" i="3"/>
  <c r="N173" i="3"/>
  <c r="P173" i="3"/>
  <c r="N136" i="3"/>
  <c r="P136" i="3"/>
  <c r="N495" i="3"/>
  <c r="P495" i="3"/>
  <c r="N238" i="3"/>
  <c r="P238" i="3"/>
  <c r="N402" i="3"/>
  <c r="P402" i="3"/>
  <c r="N98" i="3"/>
  <c r="P98" i="3"/>
  <c r="N184" i="3"/>
  <c r="P184" i="3"/>
  <c r="N337" i="3"/>
  <c r="P337" i="3"/>
  <c r="N433" i="3"/>
  <c r="P433" i="3"/>
  <c r="N372" i="3"/>
  <c r="P372" i="3"/>
  <c r="N215" i="3"/>
  <c r="P215" i="3"/>
  <c r="N61" i="3"/>
  <c r="P61" i="3"/>
  <c r="N652" i="3"/>
  <c r="P652" i="3"/>
  <c r="N101" i="3"/>
  <c r="P101" i="3"/>
  <c r="N519" i="3"/>
  <c r="P519" i="3"/>
  <c r="N420" i="3"/>
  <c r="P420" i="3"/>
  <c r="N353" i="3"/>
  <c r="P353" i="3"/>
  <c r="N327" i="3"/>
  <c r="P327" i="3"/>
  <c r="N321" i="3"/>
  <c r="P321" i="3"/>
  <c r="N734" i="3"/>
  <c r="P734" i="3"/>
  <c r="N347" i="3"/>
  <c r="P347" i="3"/>
  <c r="N93" i="3"/>
  <c r="P93" i="3"/>
  <c r="N234" i="3"/>
  <c r="P234" i="3"/>
  <c r="N363" i="3"/>
  <c r="P363" i="3"/>
  <c r="N382" i="3"/>
  <c r="P382" i="3"/>
  <c r="N556" i="3"/>
  <c r="P556" i="3"/>
  <c r="N298" i="3"/>
  <c r="P298" i="3"/>
  <c r="N105" i="3"/>
  <c r="P105" i="3"/>
  <c r="N659" i="3"/>
  <c r="P659" i="3"/>
  <c r="N296" i="3"/>
  <c r="P296" i="3"/>
  <c r="N108" i="3"/>
  <c r="P108" i="3"/>
  <c r="N677" i="3"/>
  <c r="P677" i="3"/>
  <c r="N211" i="3"/>
  <c r="P211" i="3"/>
  <c r="N701" i="3"/>
  <c r="P701" i="3"/>
  <c r="N311" i="3"/>
  <c r="P311" i="3"/>
  <c r="N569" i="3"/>
  <c r="P569" i="3"/>
  <c r="N60" i="3"/>
  <c r="P60" i="3"/>
  <c r="N430" i="3"/>
  <c r="P430" i="3"/>
  <c r="N393" i="3"/>
  <c r="P393" i="3"/>
  <c r="N494" i="3"/>
  <c r="P494" i="3"/>
  <c r="N429" i="3"/>
  <c r="P429" i="3"/>
  <c r="N394" i="3"/>
  <c r="P394" i="3"/>
  <c r="N243" i="3"/>
  <c r="P243" i="3"/>
  <c r="N200" i="3"/>
  <c r="P200" i="3"/>
  <c r="N158" i="3"/>
  <c r="P158" i="3"/>
  <c r="N531" i="3"/>
  <c r="P531" i="3"/>
  <c r="N742" i="3"/>
  <c r="P742" i="3"/>
  <c r="N533" i="3"/>
  <c r="P533" i="3"/>
  <c r="N723" i="3"/>
  <c r="P723" i="3"/>
  <c r="N190" i="3"/>
  <c r="P190" i="3"/>
  <c r="N185" i="3"/>
  <c r="P185" i="3"/>
  <c r="N565" i="3"/>
  <c r="P565" i="3"/>
  <c r="N242" i="3"/>
  <c r="P242" i="3"/>
  <c r="N678" i="3"/>
  <c r="P678" i="3"/>
  <c r="N135" i="3"/>
  <c r="P135" i="3"/>
  <c r="N294" i="3"/>
  <c r="P294" i="3"/>
  <c r="N16" i="3"/>
  <c r="P16" i="3"/>
  <c r="N249" i="3"/>
  <c r="P249" i="3"/>
  <c r="N117" i="3"/>
  <c r="P117" i="3"/>
  <c r="N204" i="3"/>
  <c r="P204" i="3"/>
  <c r="N609" i="3"/>
  <c r="P609" i="3"/>
  <c r="N566" i="3"/>
  <c r="P566" i="3"/>
  <c r="N709" i="3"/>
  <c r="P709" i="3"/>
  <c r="N589" i="3"/>
  <c r="P589" i="3"/>
  <c r="N549" i="3"/>
  <c r="P549" i="3"/>
  <c r="N446" i="3"/>
  <c r="P446" i="3"/>
  <c r="N756" i="3"/>
  <c r="P756" i="3"/>
  <c r="N156" i="3"/>
  <c r="P156" i="3"/>
  <c r="N56" i="3"/>
  <c r="P56" i="3"/>
  <c r="N758" i="3"/>
  <c r="P758" i="3"/>
  <c r="N738" i="3"/>
  <c r="P738" i="3"/>
  <c r="N621" i="3"/>
  <c r="P621" i="3"/>
  <c r="N475" i="3"/>
  <c r="P475" i="3"/>
  <c r="N405" i="3"/>
  <c r="P405" i="3"/>
  <c r="N313" i="3"/>
  <c r="P313" i="3"/>
  <c r="N202" i="3"/>
  <c r="P202" i="3"/>
  <c r="N124" i="3"/>
  <c r="P124" i="3"/>
  <c r="N726" i="3"/>
  <c r="P726" i="3"/>
  <c r="N630" i="3"/>
  <c r="P630" i="3"/>
  <c r="N138" i="3"/>
  <c r="P138" i="3"/>
  <c r="N749" i="3"/>
  <c r="P749" i="3"/>
  <c r="N682" i="3"/>
  <c r="P682" i="3"/>
  <c r="N114" i="3"/>
  <c r="P114" i="3"/>
  <c r="N380" i="3"/>
  <c r="P380" i="3"/>
  <c r="N334" i="3"/>
  <c r="P334" i="3"/>
  <c r="N513" i="3"/>
  <c r="P513" i="3"/>
  <c r="N543" i="3"/>
  <c r="P543" i="3"/>
  <c r="N472" i="3"/>
  <c r="P472" i="3"/>
  <c r="N453" i="3"/>
  <c r="P453" i="3"/>
  <c r="N426" i="3"/>
  <c r="P426" i="3"/>
  <c r="N384" i="3"/>
  <c r="P384" i="3"/>
  <c r="N339" i="3"/>
  <c r="P339" i="3"/>
  <c r="N317" i="3"/>
  <c r="P317" i="3"/>
  <c r="N274" i="3"/>
  <c r="P274" i="3"/>
  <c r="N198" i="3"/>
  <c r="P198" i="3"/>
  <c r="N171" i="3"/>
  <c r="P171" i="3"/>
  <c r="N91" i="3"/>
  <c r="P91" i="3"/>
  <c r="N9" i="3"/>
  <c r="P9" i="3"/>
  <c r="N718" i="3"/>
  <c r="P718" i="3"/>
  <c r="N508" i="3"/>
  <c r="P508" i="3"/>
  <c r="N733" i="3"/>
  <c r="P733" i="3"/>
  <c r="N236" i="3"/>
  <c r="P236" i="3"/>
  <c r="N679" i="3"/>
  <c r="P679" i="3"/>
  <c r="N632" i="3"/>
  <c r="P632" i="3"/>
  <c r="N150" i="3"/>
  <c r="P150" i="3"/>
  <c r="N587" i="3"/>
  <c r="P587" i="3"/>
  <c r="N680" i="3"/>
  <c r="P680" i="3"/>
  <c r="N585" i="3"/>
  <c r="P585" i="3"/>
  <c r="N614" i="3"/>
  <c r="P614" i="3"/>
  <c r="N724" i="3"/>
  <c r="P724" i="3"/>
  <c r="N172" i="3"/>
  <c r="P172" i="3"/>
  <c r="N613" i="3"/>
  <c r="P613" i="3"/>
  <c r="N571" i="3"/>
  <c r="P571" i="3"/>
  <c r="N474" i="3"/>
  <c r="P474" i="3"/>
  <c r="N371" i="3"/>
  <c r="P371" i="3"/>
  <c r="N619" i="3"/>
  <c r="P619" i="3"/>
  <c r="N20" i="3"/>
  <c r="P20" i="3"/>
  <c r="N305" i="3"/>
  <c r="P305" i="3"/>
  <c r="N316" i="3"/>
  <c r="P316" i="3"/>
  <c r="N490" i="3"/>
  <c r="P490" i="3"/>
  <c r="N502" i="3"/>
  <c r="P502" i="3"/>
  <c r="N303" i="3"/>
  <c r="P303" i="3"/>
  <c r="N328" i="3"/>
  <c r="P328" i="3"/>
  <c r="N59" i="3"/>
  <c r="P59" i="3"/>
  <c r="N8" i="3"/>
  <c r="P8" i="3"/>
  <c r="N261" i="3"/>
  <c r="P261" i="3"/>
  <c r="N511" i="3"/>
  <c r="P511" i="3"/>
  <c r="N675" i="3"/>
  <c r="P675" i="3"/>
  <c r="N85" i="3"/>
  <c r="P85" i="3"/>
  <c r="N161" i="3"/>
  <c r="P161" i="3"/>
  <c r="N544" i="3"/>
  <c r="P544" i="3"/>
  <c r="N81" i="3"/>
  <c r="P81" i="3"/>
  <c r="N717" i="3"/>
  <c r="P717" i="3"/>
  <c r="N104" i="3"/>
  <c r="P104" i="3"/>
  <c r="N520" i="3"/>
  <c r="P520" i="3"/>
  <c r="N444" i="3"/>
  <c r="P444" i="3"/>
  <c r="N148" i="3"/>
  <c r="P148" i="3"/>
  <c r="N538" i="3"/>
  <c r="P538" i="3"/>
  <c r="N290" i="3"/>
  <c r="P290" i="3"/>
  <c r="N562" i="3"/>
  <c r="P562" i="3"/>
  <c r="N18" i="3"/>
  <c r="P18" i="3"/>
  <c r="N40" i="3"/>
  <c r="P40" i="3"/>
  <c r="N69" i="3"/>
  <c r="P69" i="3"/>
  <c r="N428" i="3"/>
  <c r="P428" i="3"/>
  <c r="N159" i="3"/>
  <c r="P159" i="3"/>
  <c r="N442" i="3"/>
  <c r="P442" i="3"/>
  <c r="N84" i="3"/>
  <c r="P84" i="3"/>
  <c r="N649" i="3"/>
  <c r="P649" i="3"/>
  <c r="N763" i="3"/>
  <c r="P763" i="3"/>
  <c r="N92" i="3"/>
  <c r="P92" i="3"/>
  <c r="N445" i="3"/>
  <c r="P445" i="3"/>
  <c r="N126" i="3"/>
  <c r="P126" i="3"/>
  <c r="N252" i="3"/>
  <c r="P252" i="3"/>
  <c r="N737" i="3"/>
  <c r="P737" i="3"/>
  <c r="N555" i="3"/>
  <c r="P555" i="3"/>
  <c r="N283" i="3"/>
  <c r="P283" i="3"/>
  <c r="N528" i="3"/>
  <c r="P528" i="3"/>
  <c r="N271" i="3"/>
  <c r="P271" i="3"/>
  <c r="N130" i="3"/>
  <c r="P130" i="3"/>
  <c r="N599" i="3"/>
  <c r="P599" i="3"/>
  <c r="N23" i="3"/>
  <c r="P23" i="3"/>
  <c r="N687" i="3"/>
  <c r="P687" i="3"/>
  <c r="N485" i="3"/>
  <c r="P485" i="3"/>
  <c r="N304" i="3"/>
  <c r="P304" i="3"/>
  <c r="N584" i="3"/>
  <c r="P584" i="3"/>
  <c r="N640" i="3"/>
  <c r="P640" i="3"/>
  <c r="N627" i="3"/>
  <c r="P627" i="3"/>
  <c r="N615" i="3"/>
  <c r="P615" i="3"/>
  <c r="N536" i="3"/>
  <c r="P536" i="3"/>
  <c r="N492" i="3"/>
  <c r="P492" i="3"/>
  <c r="N134" i="3"/>
  <c r="P134" i="3"/>
  <c r="N591" i="3"/>
  <c r="P591" i="3"/>
  <c r="N370" i="3"/>
  <c r="P370" i="3"/>
  <c r="N201" i="3"/>
  <c r="P201" i="3"/>
  <c r="N65" i="3"/>
  <c r="P65" i="3"/>
  <c r="N123" i="3"/>
  <c r="P123" i="3"/>
  <c r="N612" i="3"/>
  <c r="P612" i="3"/>
  <c r="N344" i="3"/>
  <c r="P344" i="3"/>
  <c r="N76" i="3"/>
  <c r="P76" i="3"/>
  <c r="N25" i="3"/>
  <c r="P25" i="3"/>
  <c r="N668" i="3"/>
  <c r="P668" i="3"/>
  <c r="N603" i="3"/>
  <c r="P603" i="3"/>
  <c r="N647" i="3"/>
  <c r="P647" i="3"/>
  <c r="N186" i="3"/>
  <c r="P186" i="3"/>
  <c r="N467" i="3"/>
  <c r="P467" i="3"/>
  <c r="N75" i="3"/>
  <c r="P75" i="3"/>
  <c r="N537" i="3"/>
  <c r="P537" i="3"/>
  <c r="N507" i="3"/>
  <c r="P507" i="3"/>
  <c r="N389" i="3"/>
  <c r="P389" i="3"/>
  <c r="N409" i="3"/>
  <c r="P409" i="3"/>
  <c r="N164" i="3"/>
  <c r="P164" i="3"/>
  <c r="N715" i="3"/>
  <c r="P715" i="3"/>
  <c r="N593" i="3"/>
  <c r="P593" i="3"/>
  <c r="N259" i="3"/>
  <c r="P259" i="3"/>
  <c r="N144" i="3"/>
  <c r="P144" i="3"/>
  <c r="N278" i="3"/>
  <c r="P278" i="3"/>
  <c r="N229" i="3"/>
  <c r="P229" i="3"/>
  <c r="N574" i="3"/>
  <c r="P574" i="3"/>
  <c r="N553" i="3"/>
  <c r="P553" i="3"/>
  <c r="N87" i="3"/>
  <c r="P87" i="3"/>
  <c r="N497" i="3"/>
  <c r="P497" i="3"/>
  <c r="N415" i="3"/>
  <c r="P415" i="3"/>
  <c r="N387" i="3"/>
  <c r="P387" i="3"/>
  <c r="N100" i="3"/>
  <c r="P100" i="3"/>
  <c r="N711" i="3"/>
  <c r="P711" i="3"/>
  <c r="N178" i="3"/>
  <c r="P178" i="3"/>
  <c r="N223" i="3"/>
  <c r="P223" i="3"/>
  <c r="N509" i="3"/>
  <c r="P509" i="3"/>
  <c r="N578" i="3"/>
  <c r="P578" i="3"/>
  <c r="N226" i="3"/>
  <c r="P226" i="3"/>
  <c r="N331" i="3"/>
  <c r="P331" i="3"/>
  <c r="N28" i="3"/>
  <c r="P28" i="3"/>
  <c r="N739" i="3"/>
  <c r="P739" i="3"/>
  <c r="N297" i="3"/>
  <c r="P297" i="3"/>
  <c r="N486" i="3"/>
  <c r="P486" i="3"/>
  <c r="N648" i="3"/>
  <c r="P648" i="3"/>
  <c r="N163" i="3"/>
  <c r="P163" i="3"/>
  <c r="N170" i="3"/>
  <c r="P170" i="3"/>
  <c r="N478" i="3"/>
  <c r="P478" i="3"/>
  <c r="N644" i="3"/>
  <c r="P644" i="3"/>
  <c r="N177" i="3"/>
  <c r="P177" i="3"/>
  <c r="N698" i="3"/>
  <c r="P698" i="3"/>
  <c r="N705" i="3"/>
  <c r="P705" i="3"/>
  <c r="N222" i="3"/>
  <c r="P222" i="3"/>
  <c r="N210" i="3"/>
  <c r="P210" i="3"/>
  <c r="N199" i="3"/>
  <c r="P199" i="3"/>
  <c r="N50" i="3"/>
  <c r="P50" i="3"/>
  <c r="N515" i="3"/>
  <c r="P515" i="3"/>
  <c r="N689" i="3"/>
  <c r="P689" i="3"/>
  <c r="N174" i="3"/>
  <c r="P174" i="3"/>
  <c r="N162" i="3"/>
  <c r="P162" i="3"/>
  <c r="N694" i="3"/>
  <c r="P694" i="3"/>
  <c r="N320" i="3"/>
  <c r="P320" i="3"/>
  <c r="N80" i="3"/>
  <c r="P80" i="3"/>
  <c r="N400" i="3"/>
  <c r="P400" i="3"/>
  <c r="N712" i="3"/>
  <c r="P712" i="3"/>
  <c r="N310" i="3"/>
  <c r="P310" i="3"/>
  <c r="N645" i="3"/>
  <c r="P645" i="3"/>
  <c r="N546" i="3"/>
  <c r="P546" i="3"/>
  <c r="N299" i="3"/>
  <c r="P299" i="3"/>
  <c r="N719" i="3"/>
  <c r="P719" i="3"/>
  <c r="N312" i="3"/>
  <c r="P312" i="3"/>
  <c r="N143" i="3"/>
  <c r="P143" i="3"/>
  <c r="N35" i="3"/>
  <c r="P35" i="3"/>
  <c r="N345" i="3"/>
  <c r="P345" i="3"/>
  <c r="N214" i="3"/>
  <c r="P214" i="3"/>
  <c r="N697" i="3"/>
  <c r="P697" i="3"/>
  <c r="N230" i="3"/>
  <c r="P230" i="3"/>
  <c r="N169" i="3"/>
  <c r="P169" i="3"/>
  <c r="N233" i="3"/>
  <c r="P233" i="3"/>
  <c r="N166" i="3"/>
  <c r="P166" i="3"/>
  <c r="N557" i="3"/>
  <c r="P557" i="3"/>
  <c r="N322" i="3"/>
  <c r="P322" i="3"/>
  <c r="N79" i="3"/>
  <c r="P79" i="3"/>
  <c r="N720" i="3"/>
  <c r="P720" i="3"/>
  <c r="N414" i="3"/>
  <c r="P414" i="3"/>
  <c r="N699" i="3"/>
  <c r="P699" i="3"/>
  <c r="N526" i="3"/>
  <c r="P526" i="3"/>
  <c r="N287" i="3"/>
  <c r="P287" i="3"/>
  <c r="N72" i="3"/>
  <c r="P72" i="3"/>
  <c r="N62" i="3"/>
  <c r="P62" i="3"/>
  <c r="N646" i="3"/>
  <c r="P646" i="3"/>
  <c r="N291" i="3"/>
  <c r="P291" i="3"/>
  <c r="N410" i="3"/>
  <c r="P410" i="3"/>
  <c r="N14" i="3"/>
  <c r="P14" i="3"/>
  <c r="N406" i="3"/>
  <c r="P406" i="3"/>
  <c r="N527" i="3"/>
  <c r="P527" i="3"/>
  <c r="N323" i="3"/>
  <c r="P323" i="3"/>
  <c r="N112" i="3"/>
  <c r="P112" i="3"/>
  <c r="N41" i="3"/>
  <c r="P41" i="3"/>
  <c r="N722" i="3"/>
  <c r="P722" i="3"/>
  <c r="N440" i="3"/>
  <c r="P440" i="3"/>
  <c r="N390" i="3"/>
  <c r="P390" i="3"/>
  <c r="N521" i="3"/>
  <c r="P521" i="3"/>
  <c r="N237" i="3"/>
  <c r="P237" i="3"/>
  <c r="N192" i="3"/>
  <c r="P192" i="3"/>
  <c r="N147" i="3"/>
  <c r="P147" i="3"/>
  <c r="N493" i="3"/>
  <c r="P493" i="3"/>
  <c r="N674" i="3"/>
  <c r="P674" i="3"/>
  <c r="N491" i="3"/>
  <c r="P491" i="3"/>
  <c r="N563" i="3"/>
  <c r="P563" i="3"/>
  <c r="N49" i="3"/>
  <c r="P49" i="3"/>
  <c r="N47" i="3"/>
  <c r="P47" i="3"/>
  <c r="N427" i="3"/>
  <c r="P427" i="3"/>
  <c r="N239" i="3"/>
  <c r="P239" i="3"/>
  <c r="N463" i="3"/>
  <c r="P463" i="3"/>
  <c r="N77" i="3"/>
  <c r="P77" i="3"/>
  <c r="N251" i="3"/>
  <c r="P251" i="3"/>
  <c r="N656" i="3"/>
  <c r="P656" i="3"/>
  <c r="N435" i="3"/>
  <c r="P435" i="3"/>
  <c r="N12" i="3"/>
  <c r="P12" i="3"/>
  <c r="N151" i="3"/>
  <c r="P151" i="3"/>
  <c r="N423" i="3"/>
  <c r="P423" i="3"/>
  <c r="N551" i="3"/>
  <c r="P551" i="3"/>
  <c r="N661" i="3"/>
  <c r="P661" i="3"/>
  <c r="N635" i="3"/>
  <c r="P635" i="3"/>
  <c r="N545" i="3"/>
  <c r="P545" i="3"/>
  <c r="N127" i="3"/>
  <c r="P127" i="3"/>
  <c r="N759" i="3"/>
  <c r="P759" i="3"/>
  <c r="N125" i="3"/>
  <c r="P125" i="3"/>
  <c r="N95" i="3"/>
  <c r="P95" i="3"/>
  <c r="N751" i="3"/>
  <c r="P751" i="3"/>
  <c r="N131" i="3"/>
  <c r="P131" i="3"/>
  <c r="N273" i="3"/>
  <c r="P273" i="3"/>
  <c r="N471" i="3"/>
  <c r="P471" i="3"/>
  <c r="N397" i="3"/>
  <c r="P397" i="3"/>
  <c r="N309" i="3"/>
  <c r="P309" i="3"/>
  <c r="N94" i="3"/>
  <c r="P94" i="3"/>
  <c r="N109" i="3"/>
  <c r="P109" i="3"/>
  <c r="N209" i="3"/>
  <c r="P209" i="3"/>
  <c r="N417" i="3"/>
  <c r="P417" i="3"/>
  <c r="N70" i="3"/>
  <c r="P70" i="3"/>
  <c r="N741" i="3"/>
  <c r="P741" i="3"/>
  <c r="N257" i="3"/>
  <c r="P257" i="3"/>
  <c r="N5" i="3"/>
  <c r="P5" i="3"/>
  <c r="N160" i="3"/>
  <c r="P160" i="3"/>
  <c r="N748" i="3"/>
  <c r="P748" i="3"/>
  <c r="N477" i="3"/>
  <c r="P477" i="3"/>
  <c r="N165" i="3"/>
  <c r="P165" i="3"/>
  <c r="N462" i="3"/>
  <c r="P462" i="3"/>
  <c r="N452" i="3"/>
  <c r="P452" i="3"/>
  <c r="N424" i="3"/>
  <c r="P424" i="3"/>
  <c r="N374" i="3"/>
  <c r="P374" i="3"/>
  <c r="N336" i="3"/>
  <c r="P336" i="3"/>
  <c r="N284" i="3"/>
  <c r="P284" i="3"/>
  <c r="N258" i="3"/>
  <c r="P258" i="3"/>
  <c r="N196" i="3"/>
  <c r="P196" i="3"/>
  <c r="N220" i="3"/>
  <c r="P220" i="3"/>
  <c r="N46" i="3"/>
  <c r="P46" i="3"/>
  <c r="N522" i="3"/>
  <c r="P522" i="3"/>
  <c r="N212" i="3"/>
  <c r="P212" i="3"/>
  <c r="N606" i="3"/>
  <c r="P606" i="3"/>
  <c r="N466" i="3"/>
  <c r="P466" i="3"/>
  <c r="N761" i="3"/>
  <c r="P761" i="3"/>
  <c r="N692" i="3"/>
  <c r="P692" i="3"/>
  <c r="N307" i="3"/>
  <c r="P307" i="3"/>
  <c r="N89" i="3"/>
  <c r="P89" i="3"/>
  <c r="N7" i="3"/>
  <c r="P7" i="3"/>
  <c r="N318" i="3"/>
  <c r="P318" i="3"/>
  <c r="N139" i="3"/>
  <c r="P139" i="3"/>
  <c r="N206" i="3"/>
  <c r="P206" i="3"/>
  <c r="N152" i="3"/>
  <c r="P152" i="3"/>
  <c r="N146" i="3"/>
  <c r="P146" i="3"/>
  <c r="N29" i="3"/>
  <c r="P29" i="3"/>
  <c r="N663" i="3"/>
  <c r="P663" i="3"/>
  <c r="N460" i="3"/>
  <c r="P460" i="3"/>
  <c r="N260" i="3"/>
  <c r="P260" i="3"/>
  <c r="N57" i="3"/>
  <c r="P57" i="3"/>
  <c r="N713" i="3"/>
  <c r="P713" i="3"/>
  <c r="N183" i="3"/>
  <c r="P183" i="3"/>
  <c r="N580" i="3"/>
  <c r="P580" i="3"/>
  <c r="N503" i="3"/>
  <c r="P503" i="3"/>
  <c r="N263" i="3"/>
  <c r="P263" i="3"/>
  <c r="N30" i="3"/>
  <c r="P30" i="3"/>
  <c r="N517" i="3"/>
  <c r="P517" i="3"/>
  <c r="N403" i="3"/>
  <c r="P403" i="3"/>
  <c r="N142" i="3"/>
  <c r="P142" i="3"/>
  <c r="N597" i="3"/>
  <c r="P597" i="3"/>
  <c r="N90" i="3"/>
  <c r="P90" i="3"/>
  <c r="N743" i="3"/>
  <c r="P743" i="3"/>
  <c r="N189" i="3"/>
  <c r="P189" i="3"/>
  <c r="N436" i="3"/>
  <c r="P436" i="3"/>
  <c r="N269" i="3"/>
  <c r="P269" i="3"/>
  <c r="N684" i="3"/>
  <c r="P684" i="3"/>
  <c r="N625" i="3"/>
  <c r="P625" i="3"/>
  <c r="N411" i="3"/>
  <c r="P411" i="3"/>
  <c r="N149" i="3"/>
  <c r="P149" i="3"/>
  <c r="N266" i="3"/>
  <c r="P266" i="3"/>
  <c r="N576" i="3"/>
  <c r="P576" i="3"/>
  <c r="N488" i="3"/>
  <c r="P488" i="3"/>
  <c r="N600" i="3"/>
  <c r="P600" i="3"/>
  <c r="N476" i="3"/>
  <c r="P476" i="3"/>
  <c r="N179" i="3"/>
  <c r="P179" i="3"/>
  <c r="N32" i="3"/>
  <c r="P32" i="3"/>
  <c r="N293" i="3"/>
  <c r="P293" i="3"/>
  <c r="N608" i="3"/>
  <c r="P608" i="3"/>
  <c r="N351" i="3"/>
  <c r="P351" i="3"/>
  <c r="N330" i="3"/>
  <c r="P330" i="3"/>
  <c r="N755" i="3"/>
  <c r="P755" i="3"/>
  <c r="N113" i="3"/>
  <c r="P113" i="3"/>
  <c r="N479" i="3"/>
  <c r="P479" i="3"/>
  <c r="N735" i="3"/>
  <c r="P735" i="3"/>
  <c r="N37" i="3"/>
  <c r="P37" i="3"/>
  <c r="N432" i="3"/>
  <c r="P432" i="3"/>
  <c r="N489" i="3"/>
  <c r="P489" i="3"/>
  <c r="N696" i="3"/>
  <c r="P696" i="3"/>
  <c r="N588" i="3"/>
  <c r="P588" i="3"/>
  <c r="N729" i="3"/>
  <c r="P729" i="3"/>
  <c r="N457" i="3"/>
  <c r="P457" i="3"/>
  <c r="N691" i="3"/>
  <c r="P691" i="3"/>
  <c r="N434" i="3"/>
  <c r="P434" i="3"/>
  <c r="N441" i="3"/>
  <c r="P441" i="3"/>
  <c r="N288" i="3"/>
  <c r="P288" i="3"/>
  <c r="N750" i="3"/>
  <c r="P750" i="3"/>
  <c r="N760" i="3"/>
  <c r="P760" i="3"/>
  <c r="N48" i="3"/>
  <c r="P48" i="3"/>
  <c r="N700" i="3"/>
  <c r="P700" i="3"/>
  <c r="N548" i="3"/>
  <c r="P548" i="3"/>
  <c r="N421" i="3"/>
  <c r="P421" i="3"/>
  <c r="N360" i="3"/>
  <c r="P360" i="3"/>
  <c r="N270" i="3"/>
  <c r="P270" i="3"/>
  <c r="N38" i="3"/>
  <c r="P38" i="3"/>
  <c r="N629" i="3"/>
  <c r="P629" i="3"/>
  <c r="N15" i="3"/>
  <c r="P15" i="3"/>
  <c r="N633" i="3"/>
  <c r="P633" i="3"/>
  <c r="N58" i="3"/>
  <c r="P58" i="3"/>
  <c r="N377" i="3"/>
  <c r="P377" i="3"/>
  <c r="N650" i="3"/>
  <c r="P650" i="3"/>
  <c r="N575" i="3"/>
  <c r="P575" i="3"/>
  <c r="N638" i="3"/>
  <c r="P638" i="3"/>
  <c r="N622" i="3"/>
  <c r="P622" i="3"/>
  <c r="N610" i="3"/>
  <c r="P610" i="3"/>
  <c r="N532" i="3"/>
  <c r="P532" i="3"/>
  <c r="N381" i="3"/>
  <c r="P381" i="3"/>
  <c r="N501" i="3"/>
  <c r="P501" i="3"/>
  <c r="N540" i="3"/>
  <c r="P540" i="3"/>
  <c r="N197" i="3"/>
  <c r="P197" i="3"/>
  <c r="N44" i="3"/>
  <c r="P44" i="3"/>
  <c r="N107" i="3"/>
  <c r="P107" i="3"/>
  <c r="N530" i="3"/>
  <c r="P530" i="3"/>
  <c r="N78" i="3"/>
  <c r="P78" i="3"/>
  <c r="N54" i="3"/>
  <c r="P54" i="3"/>
  <c r="N673" i="3"/>
  <c r="P673" i="3"/>
  <c r="N704" i="3"/>
  <c r="P704" i="3"/>
  <c r="N187" i="3"/>
  <c r="P187" i="3"/>
  <c r="N128" i="3"/>
  <c r="P128" i="3"/>
  <c r="N541" i="3"/>
  <c r="P541" i="3"/>
  <c r="N399" i="3"/>
  <c r="P399" i="3"/>
  <c r="N653" i="3"/>
  <c r="P653" i="3"/>
  <c r="N484" i="3"/>
  <c r="P484" i="3"/>
  <c r="N241" i="3"/>
  <c r="P241" i="3"/>
  <c r="N24" i="3"/>
  <c r="P24" i="3"/>
  <c r="N655" i="3"/>
  <c r="P655" i="3"/>
  <c r="N480" i="3"/>
  <c r="P480" i="3"/>
  <c r="N53" i="3"/>
  <c r="P53" i="3"/>
  <c r="N300" i="3"/>
  <c r="P300" i="3"/>
  <c r="N487" i="3"/>
  <c r="P487" i="3"/>
  <c r="N458" i="3"/>
  <c r="P458" i="3"/>
  <c r="N762" i="3"/>
  <c r="P762" i="3"/>
  <c r="N255" i="3"/>
  <c r="P255" i="3"/>
  <c r="N103" i="3"/>
  <c r="P103" i="3"/>
  <c r="N34" i="3"/>
  <c r="P34" i="3"/>
  <c r="N601" i="3"/>
  <c r="P601" i="3"/>
  <c r="N499" i="3"/>
  <c r="P499" i="3"/>
  <c r="N369" i="3"/>
  <c r="P369" i="3"/>
  <c r="N167" i="3"/>
  <c r="P167" i="3"/>
  <c r="N217" i="3"/>
  <c r="P217" i="3"/>
  <c r="N188" i="3"/>
  <c r="P188" i="3"/>
  <c r="N55" i="3"/>
  <c r="P55" i="3"/>
  <c r="N564" i="3"/>
  <c r="P564" i="3"/>
  <c r="N639" i="3"/>
  <c r="P639" i="3"/>
  <c r="N203" i="3"/>
  <c r="P203" i="3"/>
  <c r="N483" i="3"/>
  <c r="P483" i="3"/>
  <c r="N514" i="3"/>
  <c r="P514" i="3"/>
  <c r="N685" i="3"/>
  <c r="P685" i="3"/>
  <c r="N425" i="3"/>
  <c r="P425" i="3"/>
  <c r="N168" i="3"/>
  <c r="P168" i="3"/>
  <c r="N335" i="3"/>
  <c r="P335" i="3"/>
  <c r="N3" i="3"/>
  <c r="P3" i="3"/>
  <c r="N246" i="3"/>
  <c r="P246" i="3"/>
  <c r="N626" i="3"/>
  <c r="P626" i="3"/>
  <c r="N378" i="3"/>
  <c r="P378" i="3"/>
  <c r="N120" i="3"/>
  <c r="P120" i="3"/>
  <c r="N665" i="3"/>
  <c r="P665" i="3"/>
  <c r="N752" i="3"/>
  <c r="P752" i="3"/>
  <c r="N550" i="3"/>
  <c r="P550" i="3"/>
  <c r="N657" i="3"/>
  <c r="P657" i="3"/>
  <c r="N628" i="3"/>
  <c r="P628" i="3"/>
  <c r="N534" i="3"/>
  <c r="P534" i="3"/>
  <c r="N66" i="3"/>
  <c r="P66" i="3"/>
  <c r="N558" i="3"/>
  <c r="P558" i="3"/>
  <c r="N121" i="3"/>
  <c r="P121" i="3"/>
  <c r="N573" i="3"/>
  <c r="P573" i="3"/>
  <c r="N746" i="3"/>
  <c r="P746" i="3"/>
  <c r="N17" i="3"/>
  <c r="P17" i="3"/>
  <c r="N506" i="3"/>
  <c r="P506" i="3"/>
  <c r="N419" i="3"/>
  <c r="P419" i="3"/>
  <c r="N359" i="3"/>
  <c r="P359" i="3"/>
  <c r="N301" i="3"/>
  <c r="P301" i="3"/>
  <c r="N193" i="3"/>
  <c r="P193" i="3"/>
  <c r="N753" i="3"/>
  <c r="P753" i="3"/>
  <c r="N714" i="3"/>
  <c r="P714" i="3"/>
  <c r="N354" i="3"/>
  <c r="P354" i="3"/>
  <c r="N654" i="3"/>
  <c r="P654" i="3"/>
  <c r="N707" i="3"/>
  <c r="P707" i="3"/>
  <c r="N228" i="3"/>
  <c r="P228" i="3"/>
  <c r="N676" i="3"/>
  <c r="P676" i="3"/>
  <c r="N141" i="3"/>
  <c r="P141" i="3"/>
  <c r="N658" i="3"/>
  <c r="P658" i="3"/>
  <c r="N207" i="3"/>
  <c r="P207" i="3"/>
  <c r="N721" i="3"/>
  <c r="P721" i="3"/>
  <c r="N461" i="3"/>
  <c r="P461" i="3"/>
  <c r="N451" i="3"/>
  <c r="P451" i="3"/>
  <c r="N412" i="3"/>
  <c r="P412" i="3"/>
  <c r="N365" i="3"/>
  <c r="P365" i="3"/>
  <c r="N325" i="3"/>
  <c r="P325" i="3"/>
  <c r="N280" i="3"/>
  <c r="P280" i="3"/>
  <c r="N245" i="3"/>
  <c r="P245" i="3"/>
  <c r="N194" i="3"/>
  <c r="P194" i="3"/>
  <c r="N73" i="3"/>
  <c r="P73" i="3"/>
  <c r="N45" i="3"/>
  <c r="P45" i="3"/>
  <c r="N672" i="3"/>
  <c r="P672" i="3"/>
  <c r="N592" i="3"/>
  <c r="P592" i="3"/>
  <c r="N88" i="3"/>
  <c r="P88" i="3"/>
  <c r="N99" i="3"/>
  <c r="P99" i="3"/>
  <c r="N396" i="3"/>
  <c r="P396" i="3"/>
  <c r="N643" i="3"/>
  <c r="P643" i="3"/>
  <c r="N181" i="3"/>
  <c r="P181" i="3"/>
  <c r="N624" i="3"/>
  <c r="P624" i="3"/>
  <c r="N512" i="3"/>
  <c r="P512" i="3"/>
  <c r="N232" i="3"/>
  <c r="P232" i="3"/>
  <c r="N688" i="3"/>
  <c r="P688" i="3"/>
  <c r="N602" i="3"/>
  <c r="P602" i="3"/>
  <c r="N281" i="3"/>
  <c r="P281" i="3"/>
  <c r="N86" i="3"/>
  <c r="P86" i="3"/>
  <c r="N133" i="3"/>
  <c r="P133" i="3"/>
  <c r="N572" i="3"/>
  <c r="P572" i="3"/>
  <c r="N747" i="3"/>
  <c r="P747" i="3"/>
  <c r="N634" i="3"/>
  <c r="P634" i="3"/>
  <c r="N13" i="3"/>
  <c r="P13" i="3"/>
  <c r="N498" i="3"/>
  <c r="P498" i="3"/>
  <c r="N524" i="3"/>
  <c r="P524" i="3"/>
  <c r="N595" i="3"/>
  <c r="P595" i="3"/>
  <c r="N392" i="3"/>
  <c r="P392" i="3"/>
  <c r="N176" i="3"/>
  <c r="P176" i="3"/>
  <c r="N326" i="3"/>
  <c r="P326" i="3"/>
  <c r="N510" i="3"/>
  <c r="P510" i="3"/>
  <c r="N586" i="3"/>
  <c r="P586" i="3"/>
  <c r="N607" i="3"/>
  <c r="P607" i="3"/>
  <c r="N454" i="3"/>
  <c r="P454" i="3"/>
  <c r="N216" i="3"/>
  <c r="P216" i="3"/>
  <c r="N19" i="3"/>
  <c r="P19" i="3"/>
  <c r="N623" i="3"/>
  <c r="P623" i="3"/>
  <c r="N248" i="3"/>
  <c r="P248" i="3"/>
  <c r="N118" i="3"/>
  <c r="P118" i="3"/>
  <c r="N465" i="3"/>
  <c r="P465" i="3"/>
  <c r="N431" i="3"/>
  <c r="P431" i="3"/>
  <c r="N110" i="3"/>
  <c r="P110" i="3"/>
  <c r="N695" i="3"/>
  <c r="P695" i="3"/>
  <c r="N333" i="3"/>
  <c r="P333" i="3"/>
  <c r="N268" i="3"/>
  <c r="P268" i="3"/>
  <c r="N683" i="3"/>
  <c r="P683" i="3"/>
  <c r="N620" i="3"/>
  <c r="P620" i="3"/>
  <c r="N254" i="3"/>
  <c r="P254" i="3"/>
  <c r="N102" i="3"/>
  <c r="P102" i="3"/>
  <c r="N68" i="3"/>
  <c r="P68" i="3"/>
  <c r="N195" i="3"/>
  <c r="P195" i="3"/>
  <c r="N408" i="3"/>
  <c r="P408" i="3"/>
  <c r="N581" i="3"/>
  <c r="P581" i="3"/>
  <c r="N366" i="3"/>
  <c r="P366" i="3"/>
  <c r="N122" i="3"/>
  <c r="P122" i="3"/>
  <c r="N367" i="3"/>
  <c r="P367" i="3"/>
  <c r="N218" i="3"/>
  <c r="P218" i="3"/>
  <c r="N561" i="3"/>
  <c r="P561" i="3"/>
  <c r="N111" i="3"/>
  <c r="P111" i="3"/>
  <c r="N289" i="3"/>
  <c r="P289" i="3"/>
  <c r="N702" i="3"/>
  <c r="P702" i="3"/>
  <c r="N686" i="3"/>
  <c r="P686" i="3"/>
  <c r="N349" i="3"/>
  <c r="P349" i="3"/>
  <c r="N52" i="3"/>
  <c r="P52" i="3"/>
  <c r="N364" i="3"/>
  <c r="P364" i="3"/>
  <c r="N373" i="3"/>
  <c r="P373" i="3"/>
  <c r="N450" i="3"/>
  <c r="P450" i="3"/>
  <c r="N379" i="3"/>
  <c r="P379" i="3"/>
  <c r="N388" i="3"/>
  <c r="P388" i="3"/>
  <c r="N725" i="3"/>
  <c r="P725" i="3"/>
  <c r="N416" i="3"/>
  <c r="P416" i="3"/>
  <c r="N468" i="3"/>
  <c r="P468" i="3"/>
  <c r="N247" i="3"/>
  <c r="P247" i="3"/>
  <c r="N437" i="3"/>
  <c r="P437" i="3"/>
  <c r="N315" i="3"/>
  <c r="P315" i="3"/>
  <c r="N690" i="3"/>
  <c r="P690" i="3"/>
  <c r="N180" i="3"/>
  <c r="P180" i="3"/>
  <c r="N285" i="3"/>
  <c r="P285" i="3"/>
  <c r="N666" i="3"/>
  <c r="P666" i="3"/>
  <c r="N361" i="3"/>
  <c r="P361" i="3"/>
  <c r="N745" i="3"/>
  <c r="P745" i="3"/>
  <c r="N340" i="3"/>
  <c r="P340" i="3"/>
  <c r="N262" i="3"/>
  <c r="P262" i="3"/>
  <c r="N11" i="3"/>
  <c r="P11" i="3"/>
  <c r="N39" i="3"/>
  <c r="P39" i="3"/>
  <c r="N4" i="3"/>
  <c r="P4" i="3"/>
  <c r="N456" i="3"/>
  <c r="P456" i="3"/>
  <c r="N6" i="3"/>
  <c r="P6" i="3"/>
  <c r="N582" i="3"/>
  <c r="P582" i="3"/>
  <c r="N605" i="3"/>
  <c r="P605" i="3"/>
  <c r="N570" i="3"/>
  <c r="P570" i="3"/>
  <c r="N636" i="3"/>
  <c r="P636" i="3"/>
  <c r="N618" i="3"/>
  <c r="P618" i="3"/>
  <c r="N560" i="3"/>
  <c r="P560" i="3"/>
  <c r="N579" i="3"/>
  <c r="P579" i="3"/>
  <c r="N341" i="3"/>
  <c r="P341" i="3"/>
  <c r="N355" i="3"/>
  <c r="P355" i="3"/>
  <c r="N418" i="3"/>
  <c r="P418" i="3"/>
  <c r="N265" i="3"/>
  <c r="P265" i="3"/>
  <c r="N129" i="3"/>
  <c r="P129" i="3"/>
  <c r="N324" i="3"/>
  <c r="P324" i="3"/>
  <c r="N97" i="3"/>
  <c r="P97" i="3"/>
  <c r="N518" i="3"/>
  <c r="P518" i="3"/>
  <c r="N71" i="3"/>
  <c r="P71" i="3"/>
  <c r="N51" i="3"/>
  <c r="P51" i="3"/>
  <c r="N671" i="3"/>
  <c r="P671" i="3"/>
  <c r="N727" i="3"/>
  <c r="P727" i="3"/>
  <c r="N706" i="3"/>
  <c r="P706" i="3"/>
  <c r="N286" i="3"/>
  <c r="P286" i="3"/>
  <c r="N757" i="3"/>
  <c r="P757" i="3"/>
  <c r="N703" i="3"/>
  <c r="P703" i="3"/>
  <c r="N154" i="3"/>
  <c r="P154" i="3"/>
  <c r="N470" i="3"/>
  <c r="P470" i="3"/>
  <c r="N26" i="3"/>
  <c r="P26" i="3"/>
  <c r="N604" i="3"/>
  <c r="P604" i="3"/>
  <c r="N754" i="3"/>
  <c r="P754" i="3"/>
  <c r="N481" i="3"/>
  <c r="P481" i="3"/>
  <c r="N459" i="3"/>
  <c r="P459" i="3"/>
  <c r="N438" i="3"/>
  <c r="P438" i="3"/>
  <c r="N401" i="3"/>
  <c r="P401" i="3"/>
  <c r="N352" i="3"/>
  <c r="P352" i="3"/>
  <c r="N319" i="3"/>
  <c r="P319" i="3"/>
  <c r="N275" i="3"/>
  <c r="P275" i="3"/>
  <c r="N231" i="3"/>
  <c r="P231" i="3"/>
  <c r="N191" i="3"/>
  <c r="P191" i="3"/>
  <c r="N67" i="3"/>
  <c r="P67" i="3"/>
  <c r="N10" i="3"/>
  <c r="P10" i="3"/>
  <c r="N670" i="3"/>
  <c r="P670" i="3"/>
  <c r="O668" i="3"/>
  <c r="O667" i="3"/>
  <c r="O671" i="3"/>
  <c r="O670" i="3"/>
  <c r="O669" i="3"/>
  <c r="O673" i="3"/>
  <c r="O672" i="3"/>
  <c r="O698" i="3"/>
  <c r="O705" i="3"/>
  <c r="O515" i="3"/>
  <c r="O689" i="3"/>
  <c r="O80" i="3"/>
  <c r="O271" i="3"/>
  <c r="O599" i="3"/>
  <c r="O704" i="3"/>
  <c r="O306" i="3"/>
  <c r="O88" i="3"/>
  <c r="O31" i="3"/>
  <c r="O647" i="3"/>
  <c r="O541" i="3"/>
  <c r="O508" i="3"/>
  <c r="O529" i="3"/>
  <c r="O484" i="3"/>
  <c r="O241" i="3"/>
  <c r="O601" i="3"/>
  <c r="O514" i="3"/>
  <c r="O330" i="3"/>
  <c r="O381" i="3"/>
  <c r="O752" i="3"/>
  <c r="O506" i="3"/>
  <c r="O301" i="3"/>
  <c r="O676" i="3"/>
  <c r="O728" i="3"/>
  <c r="O27" i="3"/>
  <c r="O308" i="3"/>
  <c r="O396" i="3"/>
  <c r="O431" i="3"/>
  <c r="O268" i="3"/>
  <c r="O620" i="3"/>
  <c r="O68" i="3"/>
  <c r="O408" i="3"/>
  <c r="O686" i="3"/>
  <c r="O416" i="3"/>
  <c r="O315" i="3"/>
  <c r="O285" i="3"/>
  <c r="O340" i="3"/>
  <c r="O11" i="3"/>
  <c r="O6" i="3"/>
  <c r="O579" i="3"/>
  <c r="O418" i="3"/>
  <c r="O265" i="3"/>
  <c r="O518" i="3"/>
  <c r="O51" i="3"/>
  <c r="O238" i="3"/>
  <c r="O402" i="3"/>
  <c r="O98" i="3"/>
  <c r="O184" i="3"/>
  <c r="O337" i="3"/>
  <c r="O433" i="3"/>
  <c r="O372" i="3"/>
  <c r="O215" i="3"/>
  <c r="O61" i="3"/>
  <c r="O652" i="3"/>
  <c r="O101" i="3"/>
  <c r="O519" i="3"/>
  <c r="O420" i="3"/>
  <c r="O353" i="3"/>
  <c r="O327" i="3"/>
  <c r="O321" i="3"/>
  <c r="O734" i="3"/>
  <c r="O393" i="3"/>
  <c r="O185" i="3"/>
  <c r="O708" i="3"/>
  <c r="O731" i="3"/>
  <c r="O144" i="3"/>
  <c r="O229" i="3"/>
  <c r="O706" i="3"/>
  <c r="O286" i="3"/>
  <c r="O154" i="3"/>
  <c r="O470" i="3"/>
  <c r="O604" i="3"/>
  <c r="O490" i="3"/>
  <c r="O387" i="3"/>
  <c r="O502" i="3"/>
  <c r="O100" i="3"/>
  <c r="O303" i="3"/>
  <c r="O711" i="3"/>
  <c r="O328" i="3"/>
  <c r="O178" i="3"/>
  <c r="O59" i="3"/>
  <c r="O223" i="3"/>
  <c r="O8" i="3"/>
  <c r="O509" i="3"/>
  <c r="O261" i="3"/>
  <c r="O578" i="3"/>
  <c r="O511" i="3"/>
  <c r="O226" i="3"/>
  <c r="O675" i="3"/>
  <c r="O331" i="3"/>
  <c r="O85" i="3"/>
  <c r="O28" i="3"/>
  <c r="O161" i="3"/>
  <c r="O739" i="3"/>
  <c r="O544" i="3"/>
  <c r="O297" i="3"/>
  <c r="O81" i="3"/>
  <c r="O486" i="3"/>
  <c r="O717" i="3"/>
  <c r="O648" i="3"/>
  <c r="O104" i="3"/>
  <c r="O163" i="3"/>
  <c r="O520" i="3"/>
  <c r="O170" i="3"/>
  <c r="O444" i="3"/>
  <c r="O478" i="3"/>
  <c r="O148" i="3"/>
  <c r="O177" i="3"/>
  <c r="O562" i="3"/>
  <c r="O18" i="3"/>
  <c r="O222" i="3"/>
  <c r="O40" i="3"/>
  <c r="O69" i="3"/>
  <c r="O428" i="3"/>
  <c r="O50" i="3"/>
  <c r="O159" i="3"/>
  <c r="O174" i="3"/>
  <c r="O92" i="3"/>
  <c r="O694" i="3"/>
  <c r="O205" i="3"/>
  <c r="O314" i="3"/>
  <c r="O227" i="3"/>
  <c r="O505" i="3"/>
  <c r="O145" i="3"/>
  <c r="O596" i="3"/>
  <c r="O350" i="3"/>
  <c r="O264" i="3"/>
  <c r="O43" i="3"/>
  <c r="O712" i="3"/>
  <c r="O310" i="3"/>
  <c r="O645" i="3"/>
  <c r="O546" i="3"/>
  <c r="O299" i="3"/>
  <c r="O719" i="3"/>
  <c r="O312" i="3"/>
  <c r="O143" i="3"/>
  <c r="O35" i="3"/>
  <c r="O345" i="3"/>
  <c r="O214" i="3"/>
  <c r="O697" i="3"/>
  <c r="O230" i="3"/>
  <c r="O169" i="3"/>
  <c r="O233" i="3"/>
  <c r="O166" i="3"/>
  <c r="O557" i="3"/>
  <c r="O322" i="3"/>
  <c r="O79" i="3"/>
  <c r="O720" i="3"/>
  <c r="O414" i="3"/>
  <c r="O699" i="3"/>
  <c r="O526" i="3"/>
  <c r="O287" i="3"/>
  <c r="O72" i="3"/>
  <c r="O62" i="3"/>
  <c r="O646" i="3"/>
  <c r="O291" i="3"/>
  <c r="O410" i="3"/>
  <c r="O14" i="3"/>
  <c r="O406" i="3"/>
  <c r="O527" i="3"/>
  <c r="O323" i="3"/>
  <c r="O112" i="3"/>
  <c r="O41" i="3"/>
  <c r="O722" i="3"/>
  <c r="O440" i="3"/>
  <c r="O390" i="3"/>
  <c r="O521" i="3"/>
  <c r="O237" i="3"/>
  <c r="O192" i="3"/>
  <c r="O147" i="3"/>
  <c r="O493" i="3"/>
  <c r="O674" i="3"/>
  <c r="O491" i="3"/>
  <c r="O563" i="3"/>
  <c r="O49" i="3"/>
  <c r="O47" i="3"/>
  <c r="O427" i="3"/>
  <c r="O239" i="3"/>
  <c r="O463" i="3"/>
  <c r="O77" i="3"/>
  <c r="O251" i="3"/>
  <c r="O656" i="3"/>
  <c r="O435" i="3"/>
  <c r="O12" i="3"/>
  <c r="O127" i="3"/>
  <c r="O417" i="3"/>
  <c r="O748" i="3"/>
  <c r="O609" i="3"/>
  <c r="O522" i="3"/>
  <c r="O212" i="3"/>
  <c r="O606" i="3"/>
  <c r="O761" i="3"/>
  <c r="O189" i="3"/>
  <c r="O149" i="3"/>
  <c r="O476" i="3"/>
  <c r="O32" i="3"/>
  <c r="O608" i="3"/>
  <c r="O37" i="3"/>
  <c r="O489" i="3"/>
  <c r="O434" i="3"/>
  <c r="O750" i="3"/>
  <c r="O700" i="3"/>
  <c r="O377" i="3"/>
  <c r="O126" i="3"/>
  <c r="O252" i="3"/>
  <c r="O283" i="3"/>
  <c r="O528" i="3"/>
  <c r="O130" i="3"/>
  <c r="O304" i="3"/>
  <c r="O151" i="3"/>
  <c r="O423" i="3"/>
  <c r="O551" i="3"/>
  <c r="O661" i="3"/>
  <c r="O635" i="3"/>
  <c r="O545" i="3"/>
  <c r="O759" i="3"/>
  <c r="O125" i="3"/>
  <c r="O95" i="3"/>
  <c r="O751" i="3"/>
  <c r="O131" i="3"/>
  <c r="O273" i="3"/>
  <c r="O471" i="3"/>
  <c r="O397" i="3"/>
  <c r="O309" i="3"/>
  <c r="O94" i="3"/>
  <c r="O109" i="3"/>
  <c r="O209" i="3"/>
  <c r="O70" i="3"/>
  <c r="O741" i="3"/>
  <c r="O257" i="3"/>
  <c r="O5" i="3"/>
  <c r="O160" i="3"/>
  <c r="O477" i="3"/>
  <c r="O165" i="3"/>
  <c r="O462" i="3"/>
  <c r="O452" i="3"/>
  <c r="O424" i="3"/>
  <c r="O374" i="3"/>
  <c r="O336" i="3"/>
  <c r="O284" i="3"/>
  <c r="O258" i="3"/>
  <c r="O196" i="3"/>
  <c r="O220" i="3"/>
  <c r="O46" i="3"/>
  <c r="O466" i="3"/>
  <c r="O692" i="3"/>
  <c r="O307" i="3"/>
  <c r="O89" i="3"/>
  <c r="O7" i="3"/>
  <c r="O318" i="3"/>
  <c r="O139" i="3"/>
  <c r="O206" i="3"/>
  <c r="O152" i="3"/>
  <c r="O146" i="3"/>
  <c r="O29" i="3"/>
  <c r="O663" i="3"/>
  <c r="O460" i="3"/>
  <c r="O260" i="3"/>
  <c r="O57" i="3"/>
  <c r="O713" i="3"/>
  <c r="O183" i="3"/>
  <c r="O580" i="3"/>
  <c r="O503" i="3"/>
  <c r="O263" i="3"/>
  <c r="O30" i="3"/>
  <c r="O517" i="3"/>
  <c r="O403" i="3"/>
  <c r="O142" i="3"/>
  <c r="O597" i="3"/>
  <c r="O90" i="3"/>
  <c r="O743" i="3"/>
  <c r="O436" i="3"/>
  <c r="O269" i="3"/>
  <c r="O684" i="3"/>
  <c r="O625" i="3"/>
  <c r="O411" i="3"/>
  <c r="O266" i="3"/>
  <c r="O576" i="3"/>
  <c r="O488" i="3"/>
  <c r="O600" i="3"/>
  <c r="O179" i="3"/>
  <c r="O293" i="3"/>
  <c r="O351" i="3"/>
  <c r="O755" i="3"/>
  <c r="O113" i="3"/>
  <c r="O479" i="3"/>
  <c r="O735" i="3"/>
  <c r="O432" i="3"/>
  <c r="O696" i="3"/>
  <c r="O588" i="3"/>
  <c r="O729" i="3"/>
  <c r="O457" i="3"/>
  <c r="O691" i="3"/>
  <c r="O441" i="3"/>
  <c r="O288" i="3"/>
  <c r="O760" i="3"/>
  <c r="O48" i="3"/>
  <c r="O548" i="3"/>
  <c r="O421" i="3"/>
  <c r="O360" i="3"/>
  <c r="O270" i="3"/>
  <c r="O38" i="3"/>
  <c r="O629" i="3"/>
  <c r="O15" i="3"/>
  <c r="O633" i="3"/>
  <c r="O58" i="3"/>
  <c r="O650" i="3"/>
  <c r="O575" i="3"/>
  <c r="O638" i="3"/>
  <c r="O610" i="3"/>
  <c r="O501" i="3"/>
  <c r="O540" i="3"/>
  <c r="O44" i="3"/>
  <c r="O530" i="3"/>
  <c r="O25" i="3"/>
  <c r="O455" i="3"/>
  <c r="O592" i="3"/>
  <c r="O718" i="3"/>
  <c r="O603" i="3"/>
  <c r="O2" i="3"/>
  <c r="O187" i="3"/>
  <c r="O99" i="3"/>
  <c r="O128" i="3"/>
  <c r="O399" i="3"/>
  <c r="O186" i="3"/>
  <c r="O106" i="3"/>
  <c r="O653" i="3"/>
  <c r="O24" i="3"/>
  <c r="O655" i="3"/>
  <c r="O480" i="3"/>
  <c r="O53" i="3"/>
  <c r="O300" i="3"/>
  <c r="O487" i="3"/>
  <c r="O458" i="3"/>
  <c r="O762" i="3"/>
  <c r="O255" i="3"/>
  <c r="O103" i="3"/>
  <c r="O34" i="3"/>
  <c r="O499" i="3"/>
  <c r="O369" i="3"/>
  <c r="O167" i="3"/>
  <c r="O217" i="3"/>
  <c r="O188" i="3"/>
  <c r="O55" i="3"/>
  <c r="O564" i="3"/>
  <c r="O639" i="3"/>
  <c r="O203" i="3"/>
  <c r="O483" i="3"/>
  <c r="O685" i="3"/>
  <c r="O425" i="3"/>
  <c r="O168" i="3"/>
  <c r="O335" i="3"/>
  <c r="O3" i="3"/>
  <c r="O246" i="3"/>
  <c r="O626" i="3"/>
  <c r="O120" i="3"/>
  <c r="O665" i="3"/>
  <c r="O550" i="3"/>
  <c r="O657" i="3"/>
  <c r="O534" i="3"/>
  <c r="O66" i="3"/>
  <c r="O558" i="3"/>
  <c r="O573" i="3"/>
  <c r="O17" i="3"/>
  <c r="O419" i="3"/>
  <c r="O714" i="3"/>
  <c r="O654" i="3"/>
  <c r="O228" i="3"/>
  <c r="O141" i="3"/>
  <c r="O658" i="3"/>
  <c r="O207" i="3"/>
  <c r="O721" i="3"/>
  <c r="O643" i="3"/>
  <c r="O181" i="3"/>
  <c r="O624" i="3"/>
  <c r="O512" i="3"/>
  <c r="O232" i="3"/>
  <c r="O688" i="3"/>
  <c r="O602" i="3"/>
  <c r="O281" i="3"/>
  <c r="O86" i="3"/>
  <c r="O133" i="3"/>
  <c r="O572" i="3"/>
  <c r="O747" i="3"/>
  <c r="O634" i="3"/>
  <c r="O13" i="3"/>
  <c r="O498" i="3"/>
  <c r="O524" i="3"/>
  <c r="O595" i="3"/>
  <c r="O392" i="3"/>
  <c r="O176" i="3"/>
  <c r="O326" i="3"/>
  <c r="O510" i="3"/>
  <c r="O586" i="3"/>
  <c r="O607" i="3"/>
  <c r="O454" i="3"/>
  <c r="O216" i="3"/>
  <c r="O19" i="3"/>
  <c r="O623" i="3"/>
  <c r="O248" i="3"/>
  <c r="O118" i="3"/>
  <c r="O465" i="3"/>
  <c r="O110" i="3"/>
  <c r="O254" i="3"/>
  <c r="O102" i="3"/>
  <c r="O195" i="3"/>
  <c r="O581" i="3"/>
  <c r="O366" i="3"/>
  <c r="O122" i="3"/>
  <c r="O561" i="3"/>
  <c r="O111" i="3"/>
  <c r="O702" i="3"/>
  <c r="O349" i="3"/>
  <c r="O364" i="3"/>
  <c r="O373" i="3"/>
  <c r="O468" i="3"/>
  <c r="O247" i="3"/>
  <c r="O690" i="3"/>
  <c r="O180" i="3"/>
  <c r="O361" i="3"/>
  <c r="O745" i="3"/>
  <c r="O262" i="3"/>
  <c r="O582" i="3"/>
  <c r="O341" i="3"/>
  <c r="O355" i="3"/>
  <c r="O324" i="3"/>
  <c r="O332" i="3"/>
  <c r="O733" i="3"/>
  <c r="O386" i="3"/>
  <c r="O467" i="3"/>
  <c r="O82" i="3"/>
  <c r="O236" i="3"/>
  <c r="O611" i="3"/>
  <c r="O235" i="3"/>
  <c r="O75" i="3"/>
  <c r="O679" i="3"/>
  <c r="O398" i="3"/>
  <c r="O500" i="3"/>
  <c r="O537" i="3"/>
  <c r="O632" i="3"/>
  <c r="O358" i="3"/>
  <c r="O507" i="3"/>
  <c r="O577" i="3"/>
  <c r="O362" i="3"/>
  <c r="O150" i="3"/>
  <c r="O389" i="3"/>
  <c r="O473" i="3"/>
  <c r="O348" i="3"/>
  <c r="O587" i="3"/>
  <c r="O164" i="3"/>
  <c r="O282" i="3"/>
  <c r="O715" i="3"/>
  <c r="O208" i="3"/>
  <c r="O593" i="3"/>
  <c r="O590" i="3"/>
  <c r="O724" i="3"/>
  <c r="O213" i="3"/>
  <c r="O535" i="3"/>
  <c r="O464" i="3"/>
  <c r="O278" i="3"/>
  <c r="O342" i="3"/>
  <c r="O449" i="3"/>
  <c r="O574" i="3"/>
  <c r="O619" i="3"/>
  <c r="O539" i="3"/>
  <c r="O20" i="3"/>
  <c r="O554" i="3"/>
  <c r="O727" i="3"/>
  <c r="O26" i="3"/>
  <c r="O754" i="3"/>
  <c r="O730" i="3"/>
  <c r="O681" i="3"/>
  <c r="O116" i="3"/>
  <c r="O221" i="3"/>
  <c r="O693" i="3"/>
  <c r="O338" i="3"/>
  <c r="O422" i="3"/>
  <c r="O224" i="3"/>
  <c r="O64" i="3"/>
  <c r="O292" i="3"/>
  <c r="O368" i="3"/>
  <c r="O642" i="3"/>
  <c r="O516" i="3"/>
  <c r="O277" i="3"/>
  <c r="O357" i="3"/>
  <c r="O496" i="3"/>
  <c r="O21" i="3"/>
  <c r="O346" i="3"/>
  <c r="O119" i="3"/>
  <c r="O343" i="3"/>
  <c r="O407" i="3"/>
  <c r="O482" i="3"/>
  <c r="O583" i="3"/>
  <c r="O391" i="3"/>
  <c r="O153" i="3"/>
  <c r="O736" i="3"/>
  <c r="O448" i="3"/>
  <c r="O115" i="3"/>
  <c r="O568" i="3"/>
  <c r="O42" i="3"/>
  <c r="O617" i="3"/>
  <c r="O302" i="3"/>
  <c r="O225" i="3"/>
  <c r="O664" i="3"/>
  <c r="O651" i="3"/>
  <c r="O385" i="3"/>
  <c r="O22" i="3"/>
  <c r="O74" i="3"/>
  <c r="O267" i="3"/>
  <c r="O567" i="3"/>
  <c r="O469" i="3"/>
  <c r="O525" i="3"/>
  <c r="O329" i="3"/>
  <c r="O36" i="3"/>
  <c r="O356" i="3"/>
  <c r="O523" i="3"/>
  <c r="O137" i="3"/>
  <c r="O279" i="3"/>
  <c r="O272" i="3"/>
  <c r="O404" i="3"/>
  <c r="O33" i="3"/>
  <c r="O413" i="3"/>
  <c r="O495" i="3"/>
  <c r="O716" i="3"/>
  <c r="O637" i="3"/>
  <c r="O710" i="3"/>
  <c r="O250" i="3"/>
  <c r="O504" i="3"/>
  <c r="O347" i="3"/>
  <c r="O93" i="3"/>
  <c r="O234" i="3"/>
  <c r="O363" i="3"/>
  <c r="O382" i="3"/>
  <c r="O556" i="3"/>
  <c r="O298" i="3"/>
  <c r="O105" i="3"/>
  <c r="O659" i="3"/>
  <c r="O296" i="3"/>
  <c r="O108" i="3"/>
  <c r="O677" i="3"/>
  <c r="O211" i="3"/>
  <c r="O701" i="3"/>
  <c r="O311" i="3"/>
  <c r="O569" i="3"/>
  <c r="O60" i="3"/>
  <c r="O430" i="3"/>
  <c r="O494" i="3"/>
  <c r="O429" i="3"/>
  <c r="O394" i="3"/>
  <c r="O243" i="3"/>
  <c r="O200" i="3"/>
  <c r="O158" i="3"/>
  <c r="O531" i="3"/>
  <c r="O742" i="3"/>
  <c r="O533" i="3"/>
  <c r="O723" i="3"/>
  <c r="O190" i="3"/>
  <c r="O565" i="3"/>
  <c r="O242" i="3"/>
  <c r="O678" i="3"/>
  <c r="O135" i="3"/>
  <c r="O294" i="3"/>
  <c r="O16" i="3"/>
  <c r="O249" i="3"/>
  <c r="O117" i="3"/>
  <c r="O204" i="3"/>
  <c r="O566" i="3"/>
  <c r="O709" i="3"/>
  <c r="O589" i="3"/>
  <c r="O549" i="3"/>
  <c r="O446" i="3"/>
  <c r="O756" i="3"/>
  <c r="O156" i="3"/>
  <c r="O56" i="3"/>
  <c r="O758" i="3"/>
  <c r="O738" i="3"/>
  <c r="O621" i="3"/>
  <c r="O475" i="3"/>
  <c r="O405" i="3"/>
  <c r="O313" i="3"/>
  <c r="O202" i="3"/>
  <c r="O124" i="3"/>
  <c r="O726" i="3"/>
  <c r="O630" i="3"/>
  <c r="O138" i="3"/>
  <c r="O749" i="3"/>
  <c r="O682" i="3"/>
  <c r="O114" i="3"/>
  <c r="O380" i="3"/>
  <c r="O334" i="3"/>
  <c r="O513" i="3"/>
  <c r="O543" i="3"/>
  <c r="O472" i="3"/>
  <c r="O453" i="3"/>
  <c r="O426" i="3"/>
  <c r="O384" i="3"/>
  <c r="O339" i="3"/>
  <c r="O317" i="3"/>
  <c r="O274" i="3"/>
  <c r="O198" i="3"/>
  <c r="O171" i="3"/>
  <c r="O91" i="3"/>
  <c r="O9" i="3"/>
  <c r="O622" i="3"/>
  <c r="O532" i="3"/>
  <c r="O197" i="3"/>
  <c r="O107" i="3"/>
  <c r="O78" i="3"/>
  <c r="O54" i="3"/>
  <c r="O378" i="3"/>
  <c r="O628" i="3"/>
  <c r="O121" i="3"/>
  <c r="O746" i="3"/>
  <c r="O359" i="3"/>
  <c r="O193" i="3"/>
  <c r="O753" i="3"/>
  <c r="O354" i="3"/>
  <c r="O707" i="3"/>
  <c r="O461" i="3"/>
  <c r="O451" i="3"/>
  <c r="O412" i="3"/>
  <c r="O365" i="3"/>
  <c r="O325" i="3"/>
  <c r="O280" i="3"/>
  <c r="O245" i="3"/>
  <c r="O194" i="3"/>
  <c r="O73" i="3"/>
  <c r="O45" i="3"/>
  <c r="O695" i="3"/>
  <c r="O333" i="3"/>
  <c r="O683" i="3"/>
  <c r="O367" i="3"/>
  <c r="O218" i="3"/>
  <c r="O289" i="3"/>
  <c r="O52" i="3"/>
  <c r="O450" i="3"/>
  <c r="O379" i="3"/>
  <c r="O388" i="3"/>
  <c r="O725" i="3"/>
  <c r="O437" i="3"/>
  <c r="O666" i="3"/>
  <c r="O39" i="3"/>
  <c r="O4" i="3"/>
  <c r="O456" i="3"/>
  <c r="O605" i="3"/>
  <c r="O570" i="3"/>
  <c r="O636" i="3"/>
  <c r="O618" i="3"/>
  <c r="O560" i="3"/>
  <c r="O129" i="3"/>
  <c r="O97" i="3"/>
  <c r="O71" i="3"/>
  <c r="O409" i="3"/>
  <c r="O155" i="3"/>
  <c r="O157" i="3"/>
  <c r="O680" i="3"/>
  <c r="O585" i="3"/>
  <c r="O614" i="3"/>
  <c r="O439" i="3"/>
  <c r="O259" i="3"/>
  <c r="O172" i="3"/>
  <c r="O744" i="3"/>
  <c r="O613" i="3"/>
  <c r="O376" i="3"/>
  <c r="O571" i="3"/>
  <c r="O132" i="3"/>
  <c r="O474" i="3"/>
  <c r="O395" i="3"/>
  <c r="O371" i="3"/>
  <c r="O594" i="3"/>
  <c r="O553" i="3"/>
  <c r="O447" i="3"/>
  <c r="O256" i="3"/>
  <c r="O87" i="3"/>
  <c r="O305" i="3"/>
  <c r="O740" i="3"/>
  <c r="O497" i="3"/>
  <c r="O415" i="3"/>
  <c r="O316" i="3"/>
  <c r="O276" i="3"/>
  <c r="O175" i="3"/>
  <c r="O757" i="3"/>
  <c r="O703" i="3"/>
  <c r="O481" i="3"/>
  <c r="O459" i="3"/>
  <c r="O438" i="3"/>
  <c r="O401" i="3"/>
  <c r="O352" i="3"/>
  <c r="O319" i="3"/>
  <c r="O275" i="3"/>
  <c r="O231" i="3"/>
  <c r="O191" i="3"/>
  <c r="O67" i="3"/>
  <c r="O10" i="3"/>
  <c r="O662" i="3"/>
  <c r="O552" i="3"/>
  <c r="O253" i="3"/>
  <c r="O244" i="3"/>
  <c r="O96" i="3"/>
  <c r="O542" i="3"/>
  <c r="O182" i="3"/>
  <c r="O219" i="3"/>
  <c r="O240" i="3"/>
  <c r="O375" i="3"/>
  <c r="O173" i="3"/>
  <c r="O136" i="3"/>
  <c r="O443" i="3"/>
  <c r="O559" i="3"/>
  <c r="O140" i="3"/>
  <c r="O732" i="3"/>
  <c r="O598" i="3"/>
  <c r="O641" i="3"/>
  <c r="O631" i="3"/>
  <c r="O616" i="3"/>
  <c r="O547" i="3"/>
  <c r="O295" i="3"/>
  <c r="O383" i="3"/>
  <c r="O83" i="3"/>
  <c r="O660" i="3"/>
  <c r="O63" i="3"/>
  <c r="O644" i="3"/>
  <c r="O538" i="3"/>
  <c r="O290" i="3"/>
  <c r="O210" i="3"/>
  <c r="O199" i="3"/>
  <c r="O442" i="3"/>
  <c r="O84" i="3"/>
  <c r="O649" i="3"/>
  <c r="O162" i="3"/>
  <c r="O763" i="3"/>
  <c r="O445" i="3"/>
  <c r="O320" i="3"/>
  <c r="O737" i="3"/>
  <c r="O555" i="3"/>
  <c r="O23" i="3"/>
  <c r="O687" i="3"/>
  <c r="O400" i="3"/>
  <c r="O485" i="3"/>
  <c r="O584" i="3"/>
  <c r="O640" i="3"/>
  <c r="O627" i="3"/>
  <c r="O615" i="3"/>
  <c r="O536" i="3"/>
  <c r="O492" i="3"/>
  <c r="O134" i="3"/>
  <c r="O591" i="3"/>
  <c r="O370" i="3"/>
  <c r="O201" i="3"/>
  <c r="O65" i="3"/>
  <c r="O123" i="3"/>
  <c r="O612" i="3"/>
  <c r="O344" i="3"/>
  <c r="O76" i="3"/>
</calcChain>
</file>

<file path=xl/sharedStrings.xml><?xml version="1.0" encoding="utf-8"?>
<sst xmlns="http://schemas.openxmlformats.org/spreadsheetml/2006/main" count="5384" uniqueCount="2934">
  <si>
    <t>1g.mid.mp3</t>
  </si>
  <si>
    <t>1r.mid.mp3</t>
  </si>
  <si>
    <t>2g.mid.mp3</t>
  </si>
  <si>
    <t>2r.mid.mp3</t>
  </si>
  <si>
    <t>3g.mid.mp3</t>
  </si>
  <si>
    <t>3r.mid.mp3</t>
  </si>
  <si>
    <t>4g.mid.mp3</t>
  </si>
  <si>
    <t>4r.mid.mp3</t>
  </si>
  <si>
    <t>5r.mid.mp3</t>
  </si>
  <si>
    <t>6g.mid.mp3</t>
  </si>
  <si>
    <t>6r.mid.mp3</t>
  </si>
  <si>
    <t>7g.mid.mp3</t>
  </si>
  <si>
    <t>8g.mid.mp3</t>
  </si>
  <si>
    <t>9g.mid.mp3</t>
  </si>
  <si>
    <t>10g.mid.mp3</t>
  </si>
  <si>
    <t>11r.mid.mp3</t>
  </si>
  <si>
    <t>15g.mid.mp3</t>
  </si>
  <si>
    <t>15r.mid.mp3</t>
  </si>
  <si>
    <t>16g.mid.mp3</t>
  </si>
  <si>
    <t>16r.mid.mp3</t>
  </si>
  <si>
    <t>17g.mid.mp3</t>
  </si>
  <si>
    <t>17r.mid.mp3</t>
  </si>
  <si>
    <t>18g.mid.mp3</t>
  </si>
  <si>
    <t>18r.mid.mp3</t>
  </si>
  <si>
    <t>19g.mid.mp3</t>
  </si>
  <si>
    <t>19r.mid.mp3</t>
  </si>
  <si>
    <t>20r.mid.mp3</t>
  </si>
  <si>
    <t>21g.mid.mp3</t>
  </si>
  <si>
    <t>22g.mid.mp3</t>
  </si>
  <si>
    <t>23g.mid.mp3</t>
  </si>
  <si>
    <t>24g.mid.mp3</t>
  </si>
  <si>
    <t>25g.mid.mp3</t>
  </si>
  <si>
    <t>26g.mid.mp3</t>
  </si>
  <si>
    <t>26r.mid.mp3</t>
  </si>
  <si>
    <t>27g.mid.mp3</t>
  </si>
  <si>
    <t>27r.mid.mp3</t>
  </si>
  <si>
    <t>28g.mid.mp3</t>
  </si>
  <si>
    <t>28r.mid.mp3</t>
  </si>
  <si>
    <t>29g.mid.mp3</t>
  </si>
  <si>
    <t>29g.mp3</t>
  </si>
  <si>
    <t>29r.mid.mp3</t>
  </si>
  <si>
    <t>30g.mid.mp3</t>
  </si>
  <si>
    <t>31g.mid.mp3</t>
  </si>
  <si>
    <t>31r.mid.mp3</t>
  </si>
  <si>
    <t>32g.mid.mp3</t>
  </si>
  <si>
    <t>32r.mid.mp3</t>
  </si>
  <si>
    <t>33g.mid.mp3</t>
  </si>
  <si>
    <t>33r.mid.mp3</t>
  </si>
  <si>
    <t>34g.mid.mp3</t>
  </si>
  <si>
    <t>35g.mid.mp3</t>
  </si>
  <si>
    <t>36r.mid.mp3</t>
  </si>
  <si>
    <t>37g.mid.mp3</t>
  </si>
  <si>
    <t>37r.mid.mp3</t>
  </si>
  <si>
    <t>38g.mid.mp3</t>
  </si>
  <si>
    <t>38r.mid.mp3</t>
  </si>
  <si>
    <t>40g.mid.mp3</t>
  </si>
  <si>
    <t>40r.mid.mp3</t>
  </si>
  <si>
    <t>41g.mid.mp3</t>
  </si>
  <si>
    <t>42g.mid.mp3</t>
  </si>
  <si>
    <t>43g.mid.mp3</t>
  </si>
  <si>
    <t>43r.mid.mp3</t>
  </si>
  <si>
    <t>44g.mid.mp3</t>
  </si>
  <si>
    <t>44r.mid.mp3</t>
  </si>
  <si>
    <t>45r.mid.mp3</t>
  </si>
  <si>
    <t>46g.mid.mp3</t>
  </si>
  <si>
    <t>46r.mid.mp3</t>
  </si>
  <si>
    <t>47g.mid.mp3</t>
  </si>
  <si>
    <t>47r.mid.mp3</t>
  </si>
  <si>
    <t>48r.mid.mp3</t>
  </si>
  <si>
    <t>49r.mid.mp3</t>
  </si>
  <si>
    <t>50g.mid.mp3</t>
  </si>
  <si>
    <t>50r.mid.mp3</t>
  </si>
  <si>
    <t>51g.mid.mp3</t>
  </si>
  <si>
    <t>52g.mid.mp3</t>
  </si>
  <si>
    <t>54g.mid.mp3</t>
  </si>
  <si>
    <t>55g.mid.mp3</t>
  </si>
  <si>
    <t>55r.mid.mp3</t>
  </si>
  <si>
    <t>56g.mid.mp3</t>
  </si>
  <si>
    <t>56r.mid.mp3</t>
  </si>
  <si>
    <t>57r.mid.mp3</t>
  </si>
  <si>
    <t>58r.mid.mp3</t>
  </si>
  <si>
    <t>59g.mid.mp3</t>
  </si>
  <si>
    <t>59r.mid.mp3</t>
  </si>
  <si>
    <t>60g.mid.mp3</t>
  </si>
  <si>
    <t>61g.mid.mp3</t>
  </si>
  <si>
    <t>62g.mid.mp3</t>
  </si>
  <si>
    <t>63g.mid.mp3</t>
  </si>
  <si>
    <t>64g.mid.mp3</t>
  </si>
  <si>
    <t>65g.mid.mp3</t>
  </si>
  <si>
    <t>66g.mid.mp3</t>
  </si>
  <si>
    <t>67g.mid.mp3</t>
  </si>
  <si>
    <t>68g.mid.mp3</t>
  </si>
  <si>
    <t>69g.mid.mp3</t>
  </si>
  <si>
    <t>70g.mid.mp3</t>
  </si>
  <si>
    <t>72g.mid.mp3</t>
  </si>
  <si>
    <t>73g.mid.mp3</t>
  </si>
  <si>
    <t>74g.mid.mp3</t>
  </si>
  <si>
    <t>75r.mid.mp3</t>
  </si>
  <si>
    <t>76g.mid.mp3</t>
  </si>
  <si>
    <t>77g.mid.mp3</t>
  </si>
  <si>
    <t>81r.mid.mp3</t>
  </si>
  <si>
    <t>85r.mid.mp3</t>
  </si>
  <si>
    <t>89r.mid.mp3</t>
  </si>
  <si>
    <t>90g.mid.mp3</t>
  </si>
  <si>
    <t>90r.mid.mp3</t>
  </si>
  <si>
    <t>91r.mid.mp3</t>
  </si>
  <si>
    <t>92r.mid.mp3</t>
  </si>
  <si>
    <t>94g.mid.mp3</t>
  </si>
  <si>
    <t>96r.mid.mp3</t>
  </si>
  <si>
    <t>106g.mid.mp3</t>
  </si>
  <si>
    <t>107g.mid.mp3</t>
  </si>
  <si>
    <t>108g.mid.mp3</t>
  </si>
  <si>
    <t>110g.mid.mp3</t>
  </si>
  <si>
    <t>111g.mid.mp3</t>
  </si>
  <si>
    <t>111r.mid.mp3</t>
  </si>
  <si>
    <t>112r.mid.mp3</t>
  </si>
  <si>
    <t>113g.mid.mp3</t>
  </si>
  <si>
    <t>113r.mid.mp3</t>
  </si>
  <si>
    <t>114r.mid.mp3</t>
  </si>
  <si>
    <t>115r.mid.mp3</t>
  </si>
  <si>
    <t>119g.mid.mp3</t>
  </si>
  <si>
    <t>121r.mid.mp3</t>
  </si>
  <si>
    <t>125g.mid.mp3</t>
  </si>
  <si>
    <t>125r.mid.mp3</t>
  </si>
  <si>
    <t>126r.mid.mp3</t>
  </si>
  <si>
    <t>127r.mid.mp3</t>
  </si>
  <si>
    <t>128r.mid.mp3</t>
  </si>
  <si>
    <t>129r.mid.mp3</t>
  </si>
  <si>
    <t>130g.mid.mp3</t>
  </si>
  <si>
    <t>130r.mid.mp3</t>
  </si>
  <si>
    <t>132g.mid.mp3</t>
  </si>
  <si>
    <t>133g.mid.mp3</t>
  </si>
  <si>
    <t>134g.mid.mp3</t>
  </si>
  <si>
    <t>134r.mid.mp3</t>
  </si>
  <si>
    <t>135g.mid.mp3</t>
  </si>
  <si>
    <t>135r.mid.mp3</t>
  </si>
  <si>
    <t>136r.mid.mp3</t>
  </si>
  <si>
    <t>137g.mid.mp3</t>
  </si>
  <si>
    <t>137r.mid.mp3</t>
  </si>
  <si>
    <t>138g.mid.mp3</t>
  </si>
  <si>
    <t>138r.mid.mp3</t>
  </si>
  <si>
    <t>139g.mid.mp3</t>
  </si>
  <si>
    <t>140g.mid.mp3</t>
  </si>
  <si>
    <t>141g.mid.mp3</t>
  </si>
  <si>
    <t>142g.mid.mp3</t>
  </si>
  <si>
    <t>142r.mid.mp3</t>
  </si>
  <si>
    <t>143g.mid.mp3</t>
  </si>
  <si>
    <t>144g.mid.mp3</t>
  </si>
  <si>
    <t>145g.mid.mp3</t>
  </si>
  <si>
    <t>146g.mid.mp3</t>
  </si>
  <si>
    <t>147g.mid.mp3</t>
  </si>
  <si>
    <t>148g.mid.mp3</t>
  </si>
  <si>
    <t>149g.mid.mp3</t>
  </si>
  <si>
    <t>150g.mid.mp3</t>
  </si>
  <si>
    <t>150r.mid.mp3</t>
  </si>
  <si>
    <t>151g.mid.mp3</t>
  </si>
  <si>
    <t>151r.mid.mp3</t>
  </si>
  <si>
    <t>152g.mid.mp3</t>
  </si>
  <si>
    <t>152r.mid.mp3</t>
  </si>
  <si>
    <t>153g.mid.mp3</t>
  </si>
  <si>
    <t>153r.mid.mp3</t>
  </si>
  <si>
    <t>154g.mid.mp3</t>
  </si>
  <si>
    <t>154r.mid.mp3</t>
  </si>
  <si>
    <t>155g.mid.mp3</t>
  </si>
  <si>
    <t>155r.mid.mp3</t>
  </si>
  <si>
    <t>156r.mid.mp3</t>
  </si>
  <si>
    <t>157g.mid.mp3</t>
  </si>
  <si>
    <t>157r.mid.mp3</t>
  </si>
  <si>
    <t>158g.mid.mp3</t>
  </si>
  <si>
    <t>158r.mid.mp3</t>
  </si>
  <si>
    <t>159g.mid.mp3</t>
  </si>
  <si>
    <t>159r.mid.mp3</t>
  </si>
  <si>
    <t>160r.mid.mp3</t>
  </si>
  <si>
    <t>161r.mid.mp3</t>
  </si>
  <si>
    <t>162g.mid.mp3</t>
  </si>
  <si>
    <t>162r.mid.mp3</t>
  </si>
  <si>
    <t>163g.mid.mp3</t>
  </si>
  <si>
    <t>163r.mid.mp3</t>
  </si>
  <si>
    <t>164g.mid.mp3</t>
  </si>
  <si>
    <t>164r.mid.mp3</t>
  </si>
  <si>
    <t>165g.mid.mp3</t>
  </si>
  <si>
    <t>166g.mid.mp3</t>
  </si>
  <si>
    <t>167r.mid.mp3</t>
  </si>
  <si>
    <t>168g.mid.mp3</t>
  </si>
  <si>
    <t>168r.mid.mp3</t>
  </si>
  <si>
    <t>169g.mid.mp3</t>
  </si>
  <si>
    <t>169r.mid.mp3</t>
  </si>
  <si>
    <t>170g.mid.mp3</t>
  </si>
  <si>
    <t>170r.mid.mp3</t>
  </si>
  <si>
    <t>171g.mid.mp3</t>
  </si>
  <si>
    <t>171r.mid.mp3</t>
  </si>
  <si>
    <t>172r.mid.mp3</t>
  </si>
  <si>
    <t>175r.mid.mp3</t>
  </si>
  <si>
    <t>176r.mid.mp3</t>
  </si>
  <si>
    <t>184g.mid.mp3</t>
  </si>
  <si>
    <t>197r.mid.mp3</t>
  </si>
  <si>
    <t>199r.mid.mp3</t>
  </si>
  <si>
    <t>200r.mid.mp3</t>
  </si>
  <si>
    <t>201r.mid.mp3</t>
  </si>
  <si>
    <t>202r.mid.mp3</t>
  </si>
  <si>
    <t>203r.mid.mp3</t>
  </si>
  <si>
    <t>206g.mid.mp3</t>
  </si>
  <si>
    <t>206r.mid.mp3</t>
  </si>
  <si>
    <t>207r.mid.mp3</t>
  </si>
  <si>
    <t>208r.mid.mp3</t>
  </si>
  <si>
    <t>209r.mid.mp3</t>
  </si>
  <si>
    <t>210r.mid.mp3</t>
  </si>
  <si>
    <t>211r.mid.mp3</t>
  </si>
  <si>
    <t>215g.mid.mp3</t>
  </si>
  <si>
    <t>216g.mid.mp3</t>
  </si>
  <si>
    <t>216r.mid.mp3</t>
  </si>
  <si>
    <t>217g.mid.mp3</t>
  </si>
  <si>
    <t>217r.mid.mp3</t>
  </si>
  <si>
    <t>218r.mid.mp3</t>
  </si>
  <si>
    <t>219g.mid.mp3</t>
  </si>
  <si>
    <t>219r.mid.mp3</t>
  </si>
  <si>
    <t>220g.mid.mp3</t>
  </si>
  <si>
    <t>220r.mid.mp3</t>
  </si>
  <si>
    <t>221g.mid.mp3</t>
  </si>
  <si>
    <t>221r.mid.mp3</t>
  </si>
  <si>
    <t>222g.mid.mp3</t>
  </si>
  <si>
    <t>222r.mid.mp3</t>
  </si>
  <si>
    <t>223g.mid.mp3</t>
  </si>
  <si>
    <t>223r.mid.mp3</t>
  </si>
  <si>
    <t>224g.mid.mp3</t>
  </si>
  <si>
    <t>224r.mid.mp3</t>
  </si>
  <si>
    <t>225g.mid.mp3</t>
  </si>
  <si>
    <t>225r.mid.mp3</t>
  </si>
  <si>
    <t>226r.mid.mp3</t>
  </si>
  <si>
    <t>227r.mid.mp3</t>
  </si>
  <si>
    <t>228r.mid.mp3</t>
  </si>
  <si>
    <t>229r.mid.mp3</t>
  </si>
  <si>
    <t>230r.mid.mp3</t>
  </si>
  <si>
    <t>231r.mid.mp3</t>
  </si>
  <si>
    <t>232r.mid.mp3</t>
  </si>
  <si>
    <t>233r.mid.mp3</t>
  </si>
  <si>
    <t>239r.mid.mp3</t>
  </si>
  <si>
    <t>240r.mid.mp3</t>
  </si>
  <si>
    <t>241r.mid.mp3</t>
  </si>
  <si>
    <t>242r.mid.mp3</t>
  </si>
  <si>
    <t>251r.mid.mp3</t>
  </si>
  <si>
    <t>259r.mid.mp3</t>
  </si>
  <si>
    <t>260r.mid.mp3</t>
  </si>
  <si>
    <t>265g.mid.mp3</t>
  </si>
  <si>
    <t>266g.mid.mp3</t>
  </si>
  <si>
    <t>268g.mid.mp3</t>
  </si>
  <si>
    <t>269g.mid.mp3</t>
  </si>
  <si>
    <t>270g.mid.mp3</t>
  </si>
  <si>
    <t>272g.mid.mp3</t>
  </si>
  <si>
    <t>273g.mid.mp3</t>
  </si>
  <si>
    <t>273r.mid.mp3</t>
  </si>
  <si>
    <t>276r.mid.mp3</t>
  </si>
  <si>
    <t>281g.mid.mp3</t>
  </si>
  <si>
    <t>282g.mid.mp3</t>
  </si>
  <si>
    <t>283g.mid.mp3</t>
  </si>
  <si>
    <t>289g.mid.mp3</t>
  </si>
  <si>
    <t>290g.mid.mp3</t>
  </si>
  <si>
    <t>291g.mid.mp3</t>
  </si>
  <si>
    <t>292g.mid.mp3</t>
  </si>
  <si>
    <t>293g.mid.mp3</t>
  </si>
  <si>
    <t>294g.mid.mp3</t>
  </si>
  <si>
    <t>295g.mid.mp3</t>
  </si>
  <si>
    <t>296g.mid.mp3</t>
  </si>
  <si>
    <t>297g.mid.mp3</t>
  </si>
  <si>
    <t>301g.mid.mp3</t>
  </si>
  <si>
    <t>313g.mid.mp3</t>
  </si>
  <si>
    <t>314g.mid.mp3</t>
  </si>
  <si>
    <t>317g.mid.mp3</t>
  </si>
  <si>
    <t>318g.mid.mp3</t>
  </si>
  <si>
    <t>319g.mid.mp3</t>
  </si>
  <si>
    <t>320g.mid.mp3</t>
  </si>
  <si>
    <t>321g.mid.mp3</t>
  </si>
  <si>
    <t>322g.mid.mp3</t>
  </si>
  <si>
    <t>323g.mid.mp3</t>
  </si>
  <si>
    <t>324g.mid.mp3</t>
  </si>
  <si>
    <t>325g.mid.mp3</t>
  </si>
  <si>
    <t>326g.mid.mp3</t>
  </si>
  <si>
    <t>327g.mid.mp3</t>
  </si>
  <si>
    <t>328g.mid.mp3</t>
  </si>
  <si>
    <t>329g.mid.mp3</t>
  </si>
  <si>
    <t>330g.mid.mp3</t>
  </si>
  <si>
    <t>333g.mid.mp3</t>
  </si>
  <si>
    <t>336g.mid.mp3</t>
  </si>
  <si>
    <t>341g.mid.mp3</t>
  </si>
  <si>
    <t>342g.mid.mp3</t>
  </si>
  <si>
    <t>344g.mid.mp3</t>
  </si>
  <si>
    <t>345g.mid.mp3</t>
  </si>
  <si>
    <t>346g.mid.mp3</t>
  </si>
  <si>
    <t>347g.mid.mp3</t>
  </si>
  <si>
    <t>349g.mid.mp3</t>
  </si>
  <si>
    <t>350g.mid.mp3</t>
  </si>
  <si>
    <t>354g.mid.mp3</t>
  </si>
  <si>
    <t>355g.mid.mp3</t>
  </si>
  <si>
    <t>413.mid.mp3</t>
  </si>
  <si>
    <t>414.mid.mp3</t>
  </si>
  <si>
    <t>415g.mid.mp3</t>
  </si>
  <si>
    <t>416g.mid.mp3</t>
  </si>
  <si>
    <t>420g.mid.mp3</t>
  </si>
  <si>
    <t>421g.mid.mp3</t>
  </si>
  <si>
    <t>422g.mid.mp3</t>
  </si>
  <si>
    <t>423g.mid.mp3</t>
  </si>
  <si>
    <t>424g.mid.mp3</t>
  </si>
  <si>
    <t>425g.mid.mp3</t>
  </si>
  <si>
    <t>426g.mid.mp3</t>
  </si>
  <si>
    <t>442g.mid.mp3</t>
  </si>
  <si>
    <t>443g.mid.mp3</t>
  </si>
  <si>
    <t>444g.mid.mp3</t>
  </si>
  <si>
    <t>446g.mid.mp3</t>
  </si>
  <si>
    <t>452g.mid.mp3</t>
  </si>
  <si>
    <t>465g.mid.mp3</t>
  </si>
  <si>
    <t>466g.mid.mp3</t>
  </si>
  <si>
    <t>467g.mid.mp3</t>
  </si>
  <si>
    <t>505g.mid.mp3</t>
  </si>
  <si>
    <t>tune_no</t>
  </si>
  <si>
    <t>tune_name</t>
  </si>
  <si>
    <t>tune_meter</t>
  </si>
  <si>
    <t>alt_meter</t>
  </si>
  <si>
    <t>tune_book</t>
  </si>
  <si>
    <t>tune_author</t>
  </si>
  <si>
    <t>file_name</t>
  </si>
  <si>
    <t>note</t>
  </si>
  <si>
    <t>tune_pk</t>
  </si>
  <si>
    <t>Allendale</t>
  </si>
  <si>
    <t>8.8.7.7.</t>
  </si>
  <si>
    <t>LFTB</t>
  </si>
  <si>
    <t>Miss B. Joseph</t>
  </si>
  <si>
    <t>413.mid</t>
  </si>
  <si>
    <t>Anameno</t>
  </si>
  <si>
    <t>6.5.11.6.5.11.</t>
  </si>
  <si>
    <t>T. Collins</t>
  </si>
  <si>
    <t>182g.mid</t>
  </si>
  <si>
    <t>Ascalon</t>
  </si>
  <si>
    <t>6.6.8.6.6.8.</t>
  </si>
  <si>
    <t>German Melody</t>
  </si>
  <si>
    <t>211.mid</t>
  </si>
  <si>
    <t>Ashcombe</t>
  </si>
  <si>
    <t>R.A. Evershead</t>
  </si>
  <si>
    <t>183g.mid</t>
  </si>
  <si>
    <t>Blessed Hope</t>
  </si>
  <si>
    <t>6.4.6.4.</t>
  </si>
  <si>
    <t>American</t>
  </si>
  <si>
    <t>169g.mid</t>
  </si>
  <si>
    <t>Celeste</t>
  </si>
  <si>
    <t>8.8.8.8.</t>
  </si>
  <si>
    <t>Unknown</t>
  </si>
  <si>
    <t>420g.mid</t>
  </si>
  <si>
    <t>Christian's Goodnight</t>
  </si>
  <si>
    <t>10.10.10.6.</t>
  </si>
  <si>
    <t>Ira D. Sankey</t>
  </si>
  <si>
    <t>467g.mid</t>
  </si>
  <si>
    <t>Confianza</t>
  </si>
  <si>
    <t>C. Leflaive</t>
  </si>
  <si>
    <t>421g.mid</t>
  </si>
  <si>
    <t>Cypress</t>
  </si>
  <si>
    <t>4.8.4.8.8.</t>
  </si>
  <si>
    <t>164g.mid</t>
  </si>
  <si>
    <t>David</t>
  </si>
  <si>
    <t>From Handel</t>
  </si>
  <si>
    <t>422g.mid</t>
  </si>
  <si>
    <t>Deboroah</t>
  </si>
  <si>
    <t>6.4.6.4.6.4.6.4.</t>
  </si>
  <si>
    <t>172g.mid</t>
  </si>
  <si>
    <t>Draw Me Nearer</t>
  </si>
  <si>
    <t>10.7.10.7. Chorus 11.7.11.7.</t>
  </si>
  <si>
    <t>W.H. Doane</t>
  </si>
  <si>
    <t>459g.mid</t>
  </si>
  <si>
    <t>Drumduan</t>
  </si>
  <si>
    <t>Gordon Millar</t>
  </si>
  <si>
    <t>212.mid</t>
  </si>
  <si>
    <t>Evening Blessing</t>
  </si>
  <si>
    <t>8.7.8.7.</t>
  </si>
  <si>
    <t>414.mid</t>
  </si>
  <si>
    <t>Groomsport</t>
  </si>
  <si>
    <t>10.10.10.2.</t>
  </si>
  <si>
    <t>465g.mid</t>
  </si>
  <si>
    <t>Ilford</t>
  </si>
  <si>
    <t>8.7.8.7.8.7.7.</t>
  </si>
  <si>
    <t>Anonymous</t>
  </si>
  <si>
    <t>370g.mid</t>
  </si>
  <si>
    <t>It is Well</t>
  </si>
  <si>
    <t>11.8.11.9.</t>
  </si>
  <si>
    <t>P.P. Bliss</t>
  </si>
  <si>
    <t>513g.mid</t>
  </si>
  <si>
    <t>8.8.8.8.4.4.6.</t>
  </si>
  <si>
    <t>E. Carren</t>
  </si>
  <si>
    <t>424g.mid</t>
  </si>
  <si>
    <t>Leoni</t>
  </si>
  <si>
    <t>6.6.8.4.6.6.8.4.</t>
  </si>
  <si>
    <t>Hebrew Melody</t>
  </si>
  <si>
    <t>208g.mid</t>
  </si>
  <si>
    <t>Lilies</t>
  </si>
  <si>
    <t>5.4.5.4.5.4.5.4.</t>
  </si>
  <si>
    <t>166g.mid</t>
  </si>
  <si>
    <t>Lord Jesus Come</t>
  </si>
  <si>
    <t>4.6.8.8.4.</t>
  </si>
  <si>
    <t>162g.mid</t>
  </si>
  <si>
    <t>Luther</t>
  </si>
  <si>
    <t>Martin Luther</t>
  </si>
  <si>
    <t>371g.mid</t>
  </si>
  <si>
    <t>Man of Sorrows</t>
  </si>
  <si>
    <t>7.7.7.8.</t>
  </si>
  <si>
    <t>281g.mid</t>
  </si>
  <si>
    <t>Maryfield</t>
  </si>
  <si>
    <t>8.7.8.7.4.4.7. Iambic</t>
  </si>
  <si>
    <t>356.mid</t>
  </si>
  <si>
    <t>Moscow</t>
  </si>
  <si>
    <t>6.6.4.6.6.6.4.</t>
  </si>
  <si>
    <t>F. Giardini</t>
  </si>
  <si>
    <t>185g.mid</t>
  </si>
  <si>
    <t>Nain</t>
  </si>
  <si>
    <t>Dr. Lowell Mason</t>
  </si>
  <si>
    <t>170g.mid</t>
  </si>
  <si>
    <t>Park Street</t>
  </si>
  <si>
    <t>171g.mid</t>
  </si>
  <si>
    <t>Perpetura</t>
  </si>
  <si>
    <t>8.8.8.6.</t>
  </si>
  <si>
    <t>419g.mid</t>
  </si>
  <si>
    <t>8.8.4.8.8.4.</t>
  </si>
  <si>
    <t>400g.mid</t>
  </si>
  <si>
    <t>Priory</t>
  </si>
  <si>
    <t>210g.mid</t>
  </si>
  <si>
    <t>Revelation</t>
  </si>
  <si>
    <t>165g.mid</t>
  </si>
  <si>
    <t>Sandon</t>
  </si>
  <si>
    <t>10.4.10.4.10.10.</t>
  </si>
  <si>
    <t>458g.mid</t>
  </si>
  <si>
    <t>Semper Fidelis</t>
  </si>
  <si>
    <t>C.T. Lambert</t>
  </si>
  <si>
    <t>423g.mid</t>
  </si>
  <si>
    <t>Shoshannim</t>
  </si>
  <si>
    <t>7.7.8.7.</t>
  </si>
  <si>
    <t>283g.mid</t>
  </si>
  <si>
    <t>Sidcup</t>
  </si>
  <si>
    <t>163g.mid</t>
  </si>
  <si>
    <t>Stockholm</t>
  </si>
  <si>
    <t>5.5.4.5.5.4.</t>
  </si>
  <si>
    <t>168g.mid</t>
  </si>
  <si>
    <t>Studley</t>
  </si>
  <si>
    <t>10.10.4.10.10.4.</t>
  </si>
  <si>
    <t>Mrs. D.L. Johnston</t>
  </si>
  <si>
    <t>464g.mid</t>
  </si>
  <si>
    <t>Swiss Tune</t>
  </si>
  <si>
    <t>401g.mid</t>
  </si>
  <si>
    <t>Sir Joseph Barnby</t>
  </si>
  <si>
    <t>466g.mid</t>
  </si>
  <si>
    <t>The Path Divine (Camacha)</t>
  </si>
  <si>
    <t>6.4.6.4.6.6.6.4.</t>
  </si>
  <si>
    <t>B. Mansell Ramsey</t>
  </si>
  <si>
    <t>181g.mid</t>
  </si>
  <si>
    <t>The Way of Peace</t>
  </si>
  <si>
    <t>P. Aven</t>
  </si>
  <si>
    <t>514g.mid</t>
  </si>
  <si>
    <t>A. Legge</t>
  </si>
  <si>
    <t>167g.mid</t>
  </si>
  <si>
    <t>Timberscombe</t>
  </si>
  <si>
    <t>282g.mid</t>
  </si>
  <si>
    <t>Waiting Time</t>
  </si>
  <si>
    <t>184g.mid</t>
  </si>
  <si>
    <t>Abercorn</t>
  </si>
  <si>
    <t>LFTBs</t>
  </si>
  <si>
    <t>John Mason</t>
  </si>
  <si>
    <t>67r.mid</t>
  </si>
  <si>
    <t>Abi-ezer</t>
  </si>
  <si>
    <t>6.6.6.6.6.6.6.6.</t>
  </si>
  <si>
    <t>Miss E.C. Shanks</t>
  </si>
  <si>
    <t>78r.mid</t>
  </si>
  <si>
    <t>Adelaide</t>
  </si>
  <si>
    <t>7.6.7.6.7.6.7.6.</t>
  </si>
  <si>
    <t>97r.mid</t>
  </si>
  <si>
    <t>Adeney</t>
  </si>
  <si>
    <t>8.7.8.7.4.7.</t>
  </si>
  <si>
    <t>John G. Deayton</t>
  </si>
  <si>
    <t>171r.mid</t>
  </si>
  <si>
    <t>12.13.12.10.</t>
  </si>
  <si>
    <t>285r.mid</t>
  </si>
  <si>
    <t>Adrian</t>
  </si>
  <si>
    <t>8.7.8.7.8.7.8.7.</t>
  </si>
  <si>
    <t>Sir Robert P. Stewart</t>
  </si>
  <si>
    <t>181r.mid</t>
  </si>
  <si>
    <t>Agabus</t>
  </si>
  <si>
    <t>7.7.7.7.8.8.</t>
  </si>
  <si>
    <t>120r.mid</t>
  </si>
  <si>
    <t>Albercroft</t>
  </si>
  <si>
    <t>8.6.8.6.8.8.</t>
  </si>
  <si>
    <t>140r.mid</t>
  </si>
  <si>
    <t>All Hail!</t>
  </si>
  <si>
    <t>C.M.</t>
  </si>
  <si>
    <t>1r.mid</t>
  </si>
  <si>
    <t>All in All</t>
  </si>
  <si>
    <t>Sir George C. Martin</t>
  </si>
  <si>
    <t>61r.mid</t>
  </si>
  <si>
    <t>Alpha</t>
  </si>
  <si>
    <t>9.8.9.8.</t>
  </si>
  <si>
    <t>219r.mid</t>
  </si>
  <si>
    <t>Alverstoke</t>
  </si>
  <si>
    <t>11.10.11.10.</t>
  </si>
  <si>
    <t>261r.mid</t>
  </si>
  <si>
    <t>Anastasis</t>
  </si>
  <si>
    <t>8.7.8.7.7.7.</t>
  </si>
  <si>
    <t>8.7.8.7.4.4.7.</t>
  </si>
  <si>
    <t>180r.mid</t>
  </si>
  <si>
    <t>Angel's Story</t>
  </si>
  <si>
    <t>Dr. A.H. Mann</t>
  </si>
  <si>
    <t>98r.mid</t>
  </si>
  <si>
    <t>Annabelle</t>
  </si>
  <si>
    <t>John B. Parker</t>
  </si>
  <si>
    <t>220r.mid</t>
  </si>
  <si>
    <t>Anticipation</t>
  </si>
  <si>
    <t>262r.mid</t>
  </si>
  <si>
    <t>11.11.11.11. Trochaic</t>
  </si>
  <si>
    <t>D.A.J. Burling</t>
  </si>
  <si>
    <t>278r.mid</t>
  </si>
  <si>
    <t>Ardingley</t>
  </si>
  <si>
    <t>M. Colley</t>
  </si>
  <si>
    <t>2r.mid</t>
  </si>
  <si>
    <t>Arizona</t>
  </si>
  <si>
    <t>L.M.</t>
  </si>
  <si>
    <t>Dr. R.H. Earnshaw</t>
  </si>
  <si>
    <t>26r.mid</t>
  </si>
  <si>
    <t>Arnon</t>
  </si>
  <si>
    <t>8.8.8.8.6.</t>
  </si>
  <si>
    <t>206r.mid</t>
  </si>
  <si>
    <t>Arundel</t>
  </si>
  <si>
    <t>8.5.8.3.</t>
  </si>
  <si>
    <t>K.D. Clarke</t>
  </si>
  <si>
    <t>125r.mid</t>
  </si>
  <si>
    <t>Ascending</t>
  </si>
  <si>
    <t>8.8.6.8.8.6.</t>
  </si>
  <si>
    <t>Peter Blanche</t>
  </si>
  <si>
    <t>197r.mid</t>
  </si>
  <si>
    <t>Aser</t>
  </si>
  <si>
    <t>A. Johannson</t>
  </si>
  <si>
    <t>3r.mid</t>
  </si>
  <si>
    <t>Asher</t>
  </si>
  <si>
    <t>14.14.4.7.8.</t>
  </si>
  <si>
    <t>292r.mid</t>
  </si>
  <si>
    <t>Auckland (Rest)</t>
  </si>
  <si>
    <t>Bishop Handley Moule</t>
  </si>
  <si>
    <t>4r.mid</t>
  </si>
  <si>
    <t>Author of Life</t>
  </si>
  <si>
    <t>6.6.6.6.8.8.</t>
  </si>
  <si>
    <t>Sir John Stainer</t>
  </si>
  <si>
    <t>80r.mid</t>
  </si>
  <si>
    <t>11.10.11.10. Dactylic</t>
  </si>
  <si>
    <t>F.H. Parkes</t>
  </si>
  <si>
    <t>268r.mid</t>
  </si>
  <si>
    <t>Bangor</t>
  </si>
  <si>
    <t>27r.mid</t>
  </si>
  <si>
    <t>Barnet</t>
  </si>
  <si>
    <t>E.J. Judd</t>
  </si>
  <si>
    <t>141r.mid</t>
  </si>
  <si>
    <t>Barton</t>
  </si>
  <si>
    <t>243r.mid</t>
  </si>
  <si>
    <t>Basileos</t>
  </si>
  <si>
    <t>8.8.8.8.8.8.</t>
  </si>
  <si>
    <t>211r.mid</t>
  </si>
  <si>
    <t>Bath-Barah</t>
  </si>
  <si>
    <t>81r.mid</t>
  </si>
  <si>
    <t>Beechknowe</t>
  </si>
  <si>
    <t>H. de la Haye Blackith</t>
  </si>
  <si>
    <t>221r.mid</t>
  </si>
  <si>
    <t>Belgrave</t>
  </si>
  <si>
    <t>William Horsley</t>
  </si>
  <si>
    <t>5r.mid</t>
  </si>
  <si>
    <t>Berea</t>
  </si>
  <si>
    <t>126r.mid</t>
  </si>
  <si>
    <t>Beth-Aven</t>
  </si>
  <si>
    <t>28r.mid</t>
  </si>
  <si>
    <t>Bishopthorpe</t>
  </si>
  <si>
    <t>Jeremiah Clark</t>
  </si>
  <si>
    <t>6r.mid</t>
  </si>
  <si>
    <t>Blackwood</t>
  </si>
  <si>
    <t>Miss. E.C. Shanks</t>
  </si>
  <si>
    <t>151r.mid</t>
  </si>
  <si>
    <t>Blairgowrie</t>
  </si>
  <si>
    <t>Dr. J.B. Dykes</t>
  </si>
  <si>
    <t>99r.mid</t>
  </si>
  <si>
    <t>Bodewan</t>
  </si>
  <si>
    <t>C.M.D.</t>
  </si>
  <si>
    <t>A.G. Bagnall</t>
  </si>
  <si>
    <t>21r.mid</t>
  </si>
  <si>
    <t>Bradford</t>
  </si>
  <si>
    <t>10.10.10.10.</t>
  </si>
  <si>
    <t>248r.mid</t>
  </si>
  <si>
    <t>Broadmead</t>
  </si>
  <si>
    <t>Eric Burgess</t>
  </si>
  <si>
    <t>22r.mid</t>
  </si>
  <si>
    <t>Broadwaters</t>
  </si>
  <si>
    <t>14.14.14.14.</t>
  </si>
  <si>
    <t>294r.mid</t>
  </si>
  <si>
    <t>Brooksby</t>
  </si>
  <si>
    <t>279r.mid</t>
  </si>
  <si>
    <t>Brunton Street</t>
  </si>
  <si>
    <t>204r.mid</t>
  </si>
  <si>
    <t>Bude</t>
  </si>
  <si>
    <t>8.7.8.7.8.7.8.7.7.7.</t>
  </si>
  <si>
    <t>192r.mid</t>
  </si>
  <si>
    <t>Builth</t>
  </si>
  <si>
    <t>D. Jenkins</t>
  </si>
  <si>
    <t>68r.mid</t>
  </si>
  <si>
    <t>Caersalem</t>
  </si>
  <si>
    <t>Robert Edwards</t>
  </si>
  <si>
    <t>172r.mid</t>
  </si>
  <si>
    <t>Repeat 5th line of each verse 3 times</t>
  </si>
  <si>
    <t>Callum</t>
  </si>
  <si>
    <t>170r.mid</t>
  </si>
  <si>
    <t>Camlet</t>
  </si>
  <si>
    <t>222r.mid</t>
  </si>
  <si>
    <t>Cana</t>
  </si>
  <si>
    <t>23r.mid</t>
  </si>
  <si>
    <t>Cathcart</t>
  </si>
  <si>
    <t>8.6.8.4.</t>
  </si>
  <si>
    <t>134r.mid</t>
  </si>
  <si>
    <t>Celebration</t>
  </si>
  <si>
    <t>142r.mid</t>
  </si>
  <si>
    <t>Chasid</t>
  </si>
  <si>
    <t>29r.mid</t>
  </si>
  <si>
    <t>Chebar</t>
  </si>
  <si>
    <t>Henry Smart</t>
  </si>
  <si>
    <t>100r.mid</t>
  </si>
  <si>
    <t>Cheshunt</t>
  </si>
  <si>
    <t>121r.mid</t>
  </si>
  <si>
    <t>Cissbury</t>
  </si>
  <si>
    <t>S.M.</t>
  </si>
  <si>
    <t>Miss A.E. Houseman</t>
  </si>
  <si>
    <t>43r.mid</t>
  </si>
  <si>
    <t>Clementswood</t>
  </si>
  <si>
    <t>A.L. Bloomingfield</t>
  </si>
  <si>
    <t>127r.mid</t>
  </si>
  <si>
    <t>Cleveland</t>
  </si>
  <si>
    <t>8.6.8.8.6.8.8.</t>
  </si>
  <si>
    <t>148r.mid</t>
  </si>
  <si>
    <t>Clifton Hampten</t>
  </si>
  <si>
    <t>Miss La Thangue</t>
  </si>
  <si>
    <t>82r.mid</t>
  </si>
  <si>
    <t>Colwyn</t>
  </si>
  <si>
    <t>101r.mid</t>
  </si>
  <si>
    <t>Come</t>
  </si>
  <si>
    <t>H.F. Morley</t>
  </si>
  <si>
    <t>62r.mid</t>
  </si>
  <si>
    <t>Comfort</t>
  </si>
  <si>
    <t>8.8.11.8.</t>
  </si>
  <si>
    <t>John. F. Harvey</t>
  </si>
  <si>
    <t>217r.mid</t>
  </si>
  <si>
    <t>Concordia</t>
  </si>
  <si>
    <t>173r.mid</t>
  </si>
  <si>
    <t>Repeat 5th and 6th lines of each verse</t>
  </si>
  <si>
    <t>Conisborough</t>
  </si>
  <si>
    <t>Wilfred Sanderson</t>
  </si>
  <si>
    <t>263r.mid</t>
  </si>
  <si>
    <t>Coniston</t>
  </si>
  <si>
    <t>249r.mid</t>
  </si>
  <si>
    <t>8.7.8.7. Iambic</t>
  </si>
  <si>
    <t>167r.mid</t>
  </si>
  <si>
    <t>Cromer</t>
  </si>
  <si>
    <t>69r.mid</t>
  </si>
  <si>
    <t>Crummock</t>
  </si>
  <si>
    <t>Dr. Alan Clarke</t>
  </si>
  <si>
    <t>193r.mid</t>
  </si>
  <si>
    <t>Culzean</t>
  </si>
  <si>
    <t>63r.mid</t>
  </si>
  <si>
    <t>Dalmeny</t>
  </si>
  <si>
    <t>295r.mid</t>
  </si>
  <si>
    <t>Damascus</t>
  </si>
  <si>
    <t>S.M.D.</t>
  </si>
  <si>
    <t>51r.mid</t>
  </si>
  <si>
    <t>Dartry</t>
  </si>
  <si>
    <t>244r.mid</t>
  </si>
  <si>
    <t>Dawning</t>
  </si>
  <si>
    <t>11.11.11.11.</t>
  </si>
  <si>
    <t>John F. Harvey</t>
  </si>
  <si>
    <t>276r.mid</t>
  </si>
  <si>
    <t>Dayspring</t>
  </si>
  <si>
    <t>135r.mid</t>
  </si>
  <si>
    <t>Denton</t>
  </si>
  <si>
    <t>250r.mid</t>
  </si>
  <si>
    <t>Derry</t>
  </si>
  <si>
    <t>223r.mid</t>
  </si>
  <si>
    <t>Derwent</t>
  </si>
  <si>
    <t>C.L. Naylor</t>
  </si>
  <si>
    <t>128r.mid</t>
  </si>
  <si>
    <t>Copyright.  By permission of the Methodist Youth Department.</t>
  </si>
  <si>
    <t>Dorea</t>
  </si>
  <si>
    <t>207r.mid</t>
  </si>
  <si>
    <t>Drumbathie</t>
  </si>
  <si>
    <t>11.10.11.10.9.11.</t>
  </si>
  <si>
    <t>275r.mid</t>
  </si>
  <si>
    <t>Dunure</t>
  </si>
  <si>
    <t>9.9.6.6.6.4.</t>
  </si>
  <si>
    <t>239r.mid</t>
  </si>
  <si>
    <t>Eastbourne</t>
  </si>
  <si>
    <t>30r.mid</t>
  </si>
  <si>
    <t>Ecce Homo</t>
  </si>
  <si>
    <t>31r.mid</t>
  </si>
  <si>
    <t>Edinburgh</t>
  </si>
  <si>
    <t>218r.mid</t>
  </si>
  <si>
    <t>Edinor</t>
  </si>
  <si>
    <t>168r.mid</t>
  </si>
  <si>
    <t>Eilden</t>
  </si>
  <si>
    <t>Arthur Skrede</t>
  </si>
  <si>
    <t>251r.mid</t>
  </si>
  <si>
    <t>Harmonized by Klaus Otsby</t>
  </si>
  <si>
    <t>El Elyon</t>
  </si>
  <si>
    <t>54r.mid</t>
  </si>
  <si>
    <t>Elaine</t>
  </si>
  <si>
    <t>269r.mid</t>
  </si>
  <si>
    <t>Elam</t>
  </si>
  <si>
    <t>6.6.8.4.</t>
  </si>
  <si>
    <t>89r.mid</t>
  </si>
  <si>
    <t>Eli</t>
  </si>
  <si>
    <t>286r.mid</t>
  </si>
  <si>
    <t>Entreaty</t>
  </si>
  <si>
    <t>152r.mid</t>
  </si>
  <si>
    <t>Ephesus</t>
  </si>
  <si>
    <t>11r.mid</t>
  </si>
  <si>
    <t>Ercuis</t>
  </si>
  <si>
    <t>224r.mid</t>
  </si>
  <si>
    <t>Eternal Love</t>
  </si>
  <si>
    <t>H. Earnest Nichol</t>
  </si>
  <si>
    <t>264r.mid</t>
  </si>
  <si>
    <t>Eternal, Immortal</t>
  </si>
  <si>
    <t>225r.mid</t>
  </si>
  <si>
    <t>Eternity</t>
  </si>
  <si>
    <t>70r.mid</t>
  </si>
  <si>
    <t>Eucharistica</t>
  </si>
  <si>
    <t>J.W. Elliott</t>
  </si>
  <si>
    <t>182r.mid</t>
  </si>
  <si>
    <t>Extolment</t>
  </si>
  <si>
    <t>144r.mid</t>
  </si>
  <si>
    <t>Farne</t>
  </si>
  <si>
    <t>208r.mid</t>
  </si>
  <si>
    <t>Father, Now in Adoration</t>
  </si>
  <si>
    <t>Douglas T. Holding</t>
  </si>
  <si>
    <t>183r.mid</t>
  </si>
  <si>
    <t>Featherstone</t>
  </si>
  <si>
    <t>145r.mid</t>
  </si>
  <si>
    <t>Firstborn</t>
  </si>
  <si>
    <t>Daniel F. Dupont</t>
  </si>
  <si>
    <t>177r.mid</t>
  </si>
  <si>
    <t>Flowing Stream</t>
  </si>
  <si>
    <t>24r.mid</t>
  </si>
  <si>
    <t>Footprints</t>
  </si>
  <si>
    <t>184r.mid</t>
  </si>
  <si>
    <t>Forest Hill</t>
  </si>
  <si>
    <t>8.5.8.5.</t>
  </si>
  <si>
    <t>P.S. Pope</t>
  </si>
  <si>
    <t>130r.mid</t>
  </si>
  <si>
    <t>Foyle</t>
  </si>
  <si>
    <t>252r.mid</t>
  </si>
  <si>
    <t>Framlingham</t>
  </si>
  <si>
    <t>Miss Grace D. Wightman</t>
  </si>
  <si>
    <t>270r.mid</t>
  </si>
  <si>
    <t>Frankincense</t>
  </si>
  <si>
    <t>71r.mid</t>
  </si>
  <si>
    <t>Gerizim</t>
  </si>
  <si>
    <t>102r.mid</t>
  </si>
  <si>
    <t>German Tunes (1952) No. 135</t>
  </si>
  <si>
    <t>32r.mid</t>
  </si>
  <si>
    <t>German Tunes (1952) No. 143</t>
  </si>
  <si>
    <t>33r.mid</t>
  </si>
  <si>
    <t>German Tunes (1952) No.148</t>
  </si>
  <si>
    <t>R. Arras</t>
  </si>
  <si>
    <t>212r.mid</t>
  </si>
  <si>
    <t>German Tunes (1952) No.219</t>
  </si>
  <si>
    <t>265r.mid</t>
  </si>
  <si>
    <t>German Tunes (1952) No.222</t>
  </si>
  <si>
    <t>266r.mid</t>
  </si>
  <si>
    <t>German Tunes (1952) No.37</t>
  </si>
  <si>
    <t>J. Michael Haydn</t>
  </si>
  <si>
    <t>103r.mid</t>
  </si>
  <si>
    <t>German Tunes (1952) No.38</t>
  </si>
  <si>
    <t>104r.mid</t>
  </si>
  <si>
    <t>German Tunes (1952) No.41</t>
  </si>
  <si>
    <t>105r.mid</t>
  </si>
  <si>
    <t>German Tunes (1952) No.46</t>
  </si>
  <si>
    <t>7.7.7.7.7.7.</t>
  </si>
  <si>
    <t>Wilh. Moritz Vogel</t>
  </si>
  <si>
    <t>116r.mid</t>
  </si>
  <si>
    <t>Gihon</t>
  </si>
  <si>
    <t>199r.mid</t>
  </si>
  <si>
    <t>Gittit</t>
  </si>
  <si>
    <t>8.5.8.5.8.5.8.5.</t>
  </si>
  <si>
    <t>131r.mid</t>
  </si>
  <si>
    <t>Gloria</t>
  </si>
  <si>
    <t>287r.mid</t>
  </si>
  <si>
    <t>Glorious</t>
  </si>
  <si>
    <t>7.7.7.7.</t>
  </si>
  <si>
    <t>112r.mid</t>
  </si>
  <si>
    <t>Goodrest</t>
  </si>
  <si>
    <t>8.4.8.4.8.8.8.4.</t>
  </si>
  <si>
    <t>C.E. Kettle</t>
  </si>
  <si>
    <t>124r.mid</t>
  </si>
  <si>
    <t>Gopsal</t>
  </si>
  <si>
    <t>Georg Friedrich Handel</t>
  </si>
  <si>
    <t>83r.mid</t>
  </si>
  <si>
    <t>Granville</t>
  </si>
  <si>
    <t>200r.mid</t>
  </si>
  <si>
    <t>Grenville</t>
  </si>
  <si>
    <t>293r.mid</t>
  </si>
  <si>
    <t>Gwilym</t>
  </si>
  <si>
    <t>Dr. Caradog Roberts</t>
  </si>
  <si>
    <t>185r.mid</t>
  </si>
  <si>
    <t>Copyright.  By permission of the Union of Welsh Independents</t>
  </si>
  <si>
    <t>Hadley</t>
  </si>
  <si>
    <t>44r.mid</t>
  </si>
  <si>
    <t>Happy Song</t>
  </si>
  <si>
    <t>288r.mid</t>
  </si>
  <si>
    <t>Harbour Head</t>
  </si>
  <si>
    <t>Simon Flett</t>
  </si>
  <si>
    <t>Haverstock Hill</t>
  </si>
  <si>
    <t>T.E. Perkins</t>
  </si>
  <si>
    <t>72r.mid</t>
  </si>
  <si>
    <t>Hiding in Thee</t>
  </si>
  <si>
    <t>277r.mid</t>
  </si>
  <si>
    <t>Holy Cross</t>
  </si>
  <si>
    <t>A.H. Brown</t>
  </si>
  <si>
    <t>136r.mid</t>
  </si>
  <si>
    <t>I Am Praying For You</t>
  </si>
  <si>
    <t>271r.mid</t>
  </si>
  <si>
    <t>I Came a Wanderer</t>
  </si>
  <si>
    <t>25r.mid</t>
  </si>
  <si>
    <t>In Memoriam</t>
  </si>
  <si>
    <t>186r.mid</t>
  </si>
  <si>
    <t>Copyright. By permission of the Unioin of Welsh Independents</t>
  </si>
  <si>
    <t>In the Midst</t>
  </si>
  <si>
    <t>W.P.</t>
  </si>
  <si>
    <t>201r.mid</t>
  </si>
  <si>
    <t>Inscrutable</t>
  </si>
  <si>
    <t>60r.mid</t>
  </si>
  <si>
    <t>Jedidja</t>
  </si>
  <si>
    <t>106r.mid</t>
  </si>
  <si>
    <t>Jedutun</t>
  </si>
  <si>
    <t>45r.mid</t>
  </si>
  <si>
    <t>15r.mid</t>
  </si>
  <si>
    <t>Jewish Melody</t>
  </si>
  <si>
    <t>187r.mid</t>
  </si>
  <si>
    <t>John</t>
  </si>
  <si>
    <t>D.G. Spary</t>
  </si>
  <si>
    <t>113r.mid</t>
  </si>
  <si>
    <t>Joyful Sound</t>
  </si>
  <si>
    <t>Royston Lewis</t>
  </si>
  <si>
    <t>205r.mid</t>
  </si>
  <si>
    <t>Walter R.F. Hope</t>
  </si>
  <si>
    <t>84r.mid</t>
  </si>
  <si>
    <t>Julian</t>
  </si>
  <si>
    <t>L.M.D.</t>
  </si>
  <si>
    <t>F.C. Maker</t>
  </si>
  <si>
    <t>41r.mid</t>
  </si>
  <si>
    <t>Jura</t>
  </si>
  <si>
    <t>S.J. Vail</t>
  </si>
  <si>
    <t>178r.mid</t>
  </si>
  <si>
    <t>Repeat last line of each verse</t>
  </si>
  <si>
    <t>Kelvin</t>
  </si>
  <si>
    <t>107r.mid</t>
  </si>
  <si>
    <t>Kenaz</t>
  </si>
  <si>
    <t>114r.mid</t>
  </si>
  <si>
    <t>Keturah</t>
  </si>
  <si>
    <t>Miss A.H. Lee</t>
  </si>
  <si>
    <t>179r.mid</t>
  </si>
  <si>
    <t>Kingsthorpe</t>
  </si>
  <si>
    <t>226r.mid</t>
  </si>
  <si>
    <t>Lasus</t>
  </si>
  <si>
    <t>35r.mid</t>
  </si>
  <si>
    <t>Lavrock</t>
  </si>
  <si>
    <t>174r.mid</t>
  </si>
  <si>
    <t>Repeat 5th line of each verse</t>
  </si>
  <si>
    <t>Light</t>
  </si>
  <si>
    <t>H. Ford Benson</t>
  </si>
  <si>
    <t>75r.mid</t>
  </si>
  <si>
    <t>Linnwood</t>
  </si>
  <si>
    <t>Alastair Millar</t>
  </si>
  <si>
    <t>64r.mid</t>
  </si>
  <si>
    <t>Little Langdale</t>
  </si>
  <si>
    <t>46r.mid</t>
  </si>
  <si>
    <t>Llef</t>
  </si>
  <si>
    <t>Griffiths H. Jones</t>
  </si>
  <si>
    <t>36r.mid</t>
  </si>
  <si>
    <t>Logos</t>
  </si>
  <si>
    <t>9.8.9.8.9.8.9.8.</t>
  </si>
  <si>
    <t>234r.mid</t>
  </si>
  <si>
    <t>Love's Appeal</t>
  </si>
  <si>
    <t>10.10.10.10. Dactylic</t>
  </si>
  <si>
    <t>259r.mid</t>
  </si>
  <si>
    <t>Love's Return</t>
  </si>
  <si>
    <t>246r.mid</t>
  </si>
  <si>
    <t>Magdalena</t>
  </si>
  <si>
    <t>7.6.7.6.</t>
  </si>
  <si>
    <t>96r.mid</t>
  </si>
  <si>
    <t>Mansewood</t>
  </si>
  <si>
    <t>235r.mid</t>
  </si>
  <si>
    <t>Marion</t>
  </si>
  <si>
    <t>289r.mid</t>
  </si>
  <si>
    <t>Marston</t>
  </si>
  <si>
    <t>Mrs. A.L. Bloomfield</t>
  </si>
  <si>
    <t>253r.mid</t>
  </si>
  <si>
    <t>Maschil</t>
  </si>
  <si>
    <t>153r.mid</t>
  </si>
  <si>
    <t>Maze Hill</t>
  </si>
  <si>
    <t>Charles Nixon</t>
  </si>
  <si>
    <t>85r.mid</t>
  </si>
  <si>
    <t>Meira</t>
  </si>
  <si>
    <t>37r.mid</t>
  </si>
  <si>
    <t>Memucan</t>
  </si>
  <si>
    <t>7.6.7.6.8.8.</t>
  </si>
  <si>
    <t>111r.mid</t>
  </si>
  <si>
    <t>Meredith</t>
  </si>
  <si>
    <t>8.7.8.7. Dactylic</t>
  </si>
  <si>
    <t>Mrs. C.T. McCorkell</t>
  </si>
  <si>
    <t>163r.mid</t>
  </si>
  <si>
    <t>Misericordia</t>
  </si>
  <si>
    <t>202r.mid</t>
  </si>
  <si>
    <t>Mithcah</t>
  </si>
  <si>
    <t>12.11.12.11.</t>
  </si>
  <si>
    <t>6.6.6.5.6.6.6.5.</t>
  </si>
  <si>
    <t>283r.mid</t>
  </si>
  <si>
    <t>Modena</t>
  </si>
  <si>
    <t>J.V. Roberts</t>
  </si>
  <si>
    <t>175r.mid</t>
  </si>
  <si>
    <t>Monica</t>
  </si>
  <si>
    <t>N. Whitbouro</t>
  </si>
  <si>
    <t>146r.mid</t>
  </si>
  <si>
    <t>Monifieth</t>
  </si>
  <si>
    <t>176r.mid</t>
  </si>
  <si>
    <t>254r.mid</t>
  </si>
  <si>
    <t>Mourne</t>
  </si>
  <si>
    <t>118r.mid</t>
  </si>
  <si>
    <t>My Willing People</t>
  </si>
  <si>
    <t>Miss Norah Nilsson</t>
  </si>
  <si>
    <t>169r.mid</t>
  </si>
  <si>
    <t>Norfolk</t>
  </si>
  <si>
    <t>154r.mid</t>
  </si>
  <si>
    <t>Norfolk Park</t>
  </si>
  <si>
    <t>Henry Coward</t>
  </si>
  <si>
    <t>280r.mid</t>
  </si>
  <si>
    <t>Nymphe</t>
  </si>
  <si>
    <t>213r.mid</t>
  </si>
  <si>
    <t>O Solemn Hour!</t>
  </si>
  <si>
    <t>149r.mid</t>
  </si>
  <si>
    <t>O the Love!</t>
  </si>
  <si>
    <t>194r.mid</t>
  </si>
  <si>
    <t>Oakleigh</t>
  </si>
  <si>
    <t>65r.mid</t>
  </si>
  <si>
    <t>Omega</t>
  </si>
  <si>
    <t>227r.mid</t>
  </si>
  <si>
    <t>Omnipotent</t>
  </si>
  <si>
    <t>55r.mid</t>
  </si>
  <si>
    <t>Only a Touch</t>
  </si>
  <si>
    <t>267r.mid</t>
  </si>
  <si>
    <t>Only Waiting</t>
  </si>
  <si>
    <t>188r.mid</t>
  </si>
  <si>
    <t>Ootha</t>
  </si>
  <si>
    <t>296r.mid</t>
  </si>
  <si>
    <t>Our Leader</t>
  </si>
  <si>
    <t>Jacob Hoff</t>
  </si>
  <si>
    <t>214r.mid</t>
  </si>
  <si>
    <t>Oxford</t>
  </si>
  <si>
    <t>Mrs. Daphne M. Morren</t>
  </si>
  <si>
    <t>Paignton</t>
  </si>
  <si>
    <t>A.B. Skeffington</t>
  </si>
  <si>
    <t>76r.mid</t>
  </si>
  <si>
    <t>Parclete</t>
  </si>
  <si>
    <t>284r.mid</t>
  </si>
  <si>
    <t>Park Langley</t>
  </si>
  <si>
    <t>Rev. E.H. Gladstone Sargent</t>
  </si>
  <si>
    <t>236r.mid</t>
  </si>
  <si>
    <t>Patience</t>
  </si>
  <si>
    <t>Miss F.R. Jones</t>
  </si>
  <si>
    <t>47r.mid</t>
  </si>
  <si>
    <t>Peace Eternal</t>
  </si>
  <si>
    <t>228r.mid</t>
  </si>
  <si>
    <t>German Tunes (1952) No. 163</t>
  </si>
  <si>
    <t>Peel Castle</t>
  </si>
  <si>
    <t>255r.mid</t>
  </si>
  <si>
    <t>Pekah</t>
  </si>
  <si>
    <t>77r.mid</t>
  </si>
  <si>
    <t>Philologus</t>
  </si>
  <si>
    <t>42r.mid</t>
  </si>
  <si>
    <t>Plumstead</t>
  </si>
  <si>
    <t>16r.mid</t>
  </si>
  <si>
    <t>Portnockie</t>
  </si>
  <si>
    <t>198r.mid</t>
  </si>
  <si>
    <t>115r.mid</t>
  </si>
  <si>
    <t>Prenton</t>
  </si>
  <si>
    <t>56r.mid</t>
  </si>
  <si>
    <t>Quartus</t>
  </si>
  <si>
    <t>189r.mid</t>
  </si>
  <si>
    <t>Quo Vadis</t>
  </si>
  <si>
    <t>17r.mid</t>
  </si>
  <si>
    <t>Rachie</t>
  </si>
  <si>
    <t>281r.mid</t>
  </si>
  <si>
    <t>Radlett</t>
  </si>
  <si>
    <t>T.L. Edwards</t>
  </si>
  <si>
    <t>245r.mid</t>
  </si>
  <si>
    <t>Rapture</t>
  </si>
  <si>
    <t>156r.mid</t>
  </si>
  <si>
    <t>Reapers</t>
  </si>
  <si>
    <t>J.B.O. Clemm</t>
  </si>
  <si>
    <t>190r.mid</t>
  </si>
  <si>
    <t>Refulgence</t>
  </si>
  <si>
    <t>108r.mid</t>
  </si>
  <si>
    <t>Regina</t>
  </si>
  <si>
    <t>18r.mid</t>
  </si>
  <si>
    <t>Rejoicing</t>
  </si>
  <si>
    <t>229r.mid</t>
  </si>
  <si>
    <t>Response</t>
  </si>
  <si>
    <t>C. Jarres</t>
  </si>
  <si>
    <t>230r.mid</t>
  </si>
  <si>
    <t>Resurrection</t>
  </si>
  <si>
    <t>157r.mid</t>
  </si>
  <si>
    <t>Retreat</t>
  </si>
  <si>
    <t>Dr. Thomas Hastings</t>
  </si>
  <si>
    <t>38r.mid</t>
  </si>
  <si>
    <t>Revival</t>
  </si>
  <si>
    <t>52r.mid</t>
  </si>
  <si>
    <t>Riposo</t>
  </si>
  <si>
    <t>158r.mid</t>
  </si>
  <si>
    <t>Rivermede</t>
  </si>
  <si>
    <t>159r.mid</t>
  </si>
  <si>
    <t>Rock of Ages</t>
  </si>
  <si>
    <t>119r.mid</t>
  </si>
  <si>
    <t>Rothley</t>
  </si>
  <si>
    <t>Sir John Goss</t>
  </si>
  <si>
    <t>137r.mid</t>
  </si>
  <si>
    <t>Rotterdam</t>
  </si>
  <si>
    <t>B. Tours</t>
  </si>
  <si>
    <t>109r.mid</t>
  </si>
  <si>
    <t>Rozel</t>
  </si>
  <si>
    <t>David H. Bance</t>
  </si>
  <si>
    <t>209r.mid</t>
  </si>
  <si>
    <t>Russian Air</t>
  </si>
  <si>
    <t>237r.mid</t>
  </si>
  <si>
    <t>215r.mid</t>
  </si>
  <si>
    <t>Saffron Walden</t>
  </si>
  <si>
    <t>Dr. Herbert Mahon</t>
  </si>
  <si>
    <t>160r.mid</t>
  </si>
  <si>
    <t>Copyright.  By permission of Mrs. Jacinth Morton</t>
  </si>
  <si>
    <t>203r.mid</t>
  </si>
  <si>
    <t>Salva Festa Dies</t>
  </si>
  <si>
    <t>282r.mid</t>
  </si>
  <si>
    <t>Salvator</t>
  </si>
  <si>
    <t>272r.mid</t>
  </si>
  <si>
    <t>Saviour of Sinners</t>
  </si>
  <si>
    <t>8.7.8.7. Dactylic Chorus 5.7.8.7.</t>
  </si>
  <si>
    <t>165r.mid</t>
  </si>
  <si>
    <t>Scotstoun</t>
  </si>
  <si>
    <t>240r.mid</t>
  </si>
  <si>
    <t>Serenity</t>
  </si>
  <si>
    <t>C. Bryan</t>
  </si>
  <si>
    <t>49r.mid</t>
  </si>
  <si>
    <t>Shamgar</t>
  </si>
  <si>
    <t>231r.mid</t>
  </si>
  <si>
    <t>Shannon</t>
  </si>
  <si>
    <t>74r.mid</t>
  </si>
  <si>
    <t>Silla</t>
  </si>
  <si>
    <t>Paul Gerard</t>
  </si>
  <si>
    <t>256r.mid</t>
  </si>
  <si>
    <t>Silver Hill</t>
  </si>
  <si>
    <t>39r.mid</t>
  </si>
  <si>
    <t>Copyright.  By permission of Geo. Taylor, The Cross Printing Works, Stainland</t>
  </si>
  <si>
    <t>Slane</t>
  </si>
  <si>
    <t>Irish Folk Melody</t>
  </si>
  <si>
    <t>260r.mid</t>
  </si>
  <si>
    <t>Harmonized by L.L. Dix</t>
  </si>
  <si>
    <t>Southampton</t>
  </si>
  <si>
    <t>7.7.8.7.7.7.8.7.</t>
  </si>
  <si>
    <t>123r.mid</t>
  </si>
  <si>
    <t>Sovereignty</t>
  </si>
  <si>
    <t>A.W. Michael Rooke</t>
  </si>
  <si>
    <t>95r.mid</t>
  </si>
  <si>
    <t>Spanish Air</t>
  </si>
  <si>
    <t>232r.mid</t>
  </si>
  <si>
    <t>Speak to Me, Lord</t>
  </si>
  <si>
    <t>W.H. Jude</t>
  </si>
  <si>
    <t>257r.mid</t>
  </si>
  <si>
    <t>Splendor</t>
  </si>
  <si>
    <t>57r.mid</t>
  </si>
  <si>
    <t>Springing Fountain</t>
  </si>
  <si>
    <t>210r.mid</t>
  </si>
  <si>
    <t>Springing Well</t>
  </si>
  <si>
    <t>164r.mid</t>
  </si>
  <si>
    <t>St. Alban</t>
  </si>
  <si>
    <t>19r.mid</t>
  </si>
  <si>
    <t>S. Flood Jones</t>
  </si>
  <si>
    <t>161r.mid</t>
  </si>
  <si>
    <t>St. Ives</t>
  </si>
  <si>
    <t>C. Green</t>
  </si>
  <si>
    <t>94r.mid</t>
  </si>
  <si>
    <t>St. John</t>
  </si>
  <si>
    <t>J. Baptiste Calkin</t>
  </si>
  <si>
    <t>86r.mid</t>
  </si>
  <si>
    <t>St. Paul's</t>
  </si>
  <si>
    <t>48r.mid</t>
  </si>
  <si>
    <t>Star of Bethlehem</t>
  </si>
  <si>
    <t>297r.mid</t>
  </si>
  <si>
    <t>Stuartholme</t>
  </si>
  <si>
    <t>C.T. McCorkell</t>
  </si>
  <si>
    <t>238r.mid</t>
  </si>
  <si>
    <t>Subjection</t>
  </si>
  <si>
    <t>79r.mid</t>
  </si>
  <si>
    <t>Summit</t>
  </si>
  <si>
    <t>58r.mid</t>
  </si>
  <si>
    <t>Supreme</t>
  </si>
  <si>
    <t>20r.mid</t>
  </si>
  <si>
    <t>Sydney</t>
  </si>
  <si>
    <t>9.9.9.9.</t>
  </si>
  <si>
    <t>242r.mid</t>
  </si>
  <si>
    <t>Taanach</t>
  </si>
  <si>
    <t>166r.mid</t>
  </si>
  <si>
    <t>Tempestas</t>
  </si>
  <si>
    <t>Thomas Langton</t>
  </si>
  <si>
    <t>66r.mid</t>
  </si>
  <si>
    <t>Tence</t>
  </si>
  <si>
    <t>290r.mid</t>
  </si>
  <si>
    <t>The Hebrew Bondman</t>
  </si>
  <si>
    <t>8.7.8.7.8.7.8.7. Iambic</t>
  </si>
  <si>
    <t>191r.mid</t>
  </si>
  <si>
    <t>The Pleading Voice</t>
  </si>
  <si>
    <t>Mrs. Clara H. Scott</t>
  </si>
  <si>
    <t>132r.mid</t>
  </si>
  <si>
    <t>The Saviour's Praise</t>
  </si>
  <si>
    <t>8.7.8.5.</t>
  </si>
  <si>
    <t>J.R.</t>
  </si>
  <si>
    <t>150r.mid</t>
  </si>
  <si>
    <t>Then Shall My Heart Keep Singing</t>
  </si>
  <si>
    <t>W.A. Ogden</t>
  </si>
  <si>
    <t>147r.mid</t>
  </si>
  <si>
    <t>Thomas</t>
  </si>
  <si>
    <t>241r.mid</t>
  </si>
  <si>
    <t>Tiphsah</t>
  </si>
  <si>
    <t>195r.mid</t>
  </si>
  <si>
    <t>Tola</t>
  </si>
  <si>
    <t>233r.mid</t>
  </si>
  <si>
    <t>Torquay</t>
  </si>
  <si>
    <t>87r.mid</t>
  </si>
  <si>
    <t>Totteridge</t>
  </si>
  <si>
    <t>291r.mid</t>
  </si>
  <si>
    <t>Trenwood</t>
  </si>
  <si>
    <t>D.J. Sims</t>
  </si>
  <si>
    <t>40r.mid</t>
  </si>
  <si>
    <t>88r.mid</t>
  </si>
  <si>
    <t>Tryst</t>
  </si>
  <si>
    <t>73r.mid</t>
  </si>
  <si>
    <t>Upward</t>
  </si>
  <si>
    <t>Mrs. J.A. Lambert</t>
  </si>
  <si>
    <t>50r.mid</t>
  </si>
  <si>
    <t>Valencia</t>
  </si>
  <si>
    <t>Mrs. R.A. Arnot</t>
  </si>
  <si>
    <t>258r.mid</t>
  </si>
  <si>
    <t>Valete</t>
  </si>
  <si>
    <t>Sir Arthur S. Sullivan</t>
  </si>
  <si>
    <t>216r.mid</t>
  </si>
  <si>
    <t>Vater Der Herrlichkeit</t>
  </si>
  <si>
    <t>247r.mid</t>
  </si>
  <si>
    <t>German Tunes (1952) No. 197</t>
  </si>
  <si>
    <t>Verbum Pacis (Lomas)</t>
  </si>
  <si>
    <t>George Lomas</t>
  </si>
  <si>
    <t>90r.mid</t>
  </si>
  <si>
    <t>Verbum Pacis (Monk)</t>
  </si>
  <si>
    <t>Dr. W.H. Monk</t>
  </si>
  <si>
    <t>91r.mid</t>
  </si>
  <si>
    <t>Vida Immortal</t>
  </si>
  <si>
    <t>Spanish Tune</t>
  </si>
  <si>
    <t>273r.mid</t>
  </si>
  <si>
    <t>Whetstone</t>
  </si>
  <si>
    <t>110r.mid</t>
  </si>
  <si>
    <t>Willoughby</t>
  </si>
  <si>
    <t>59r.mid</t>
  </si>
  <si>
    <t>Winchester</t>
  </si>
  <si>
    <t>133r.mid</t>
  </si>
  <si>
    <t>Winifred</t>
  </si>
  <si>
    <t>162r.mid</t>
  </si>
  <si>
    <t>Winter Solstice</t>
  </si>
  <si>
    <t>Charles Vincent</t>
  </si>
  <si>
    <t>92r.mid</t>
  </si>
  <si>
    <t>Woldingham</t>
  </si>
  <si>
    <t>53r.mid</t>
  </si>
  <si>
    <t>Wonderous Story</t>
  </si>
  <si>
    <t>196r.mid</t>
  </si>
  <si>
    <t>Woodbank</t>
  </si>
  <si>
    <t>8.6.8.6.8.6.</t>
  </si>
  <si>
    <t>139r.mid</t>
  </si>
  <si>
    <t>Wreford</t>
  </si>
  <si>
    <t>Rev. E.S. Carter</t>
  </si>
  <si>
    <t>138r.mid</t>
  </si>
  <si>
    <t>Wyken</t>
  </si>
  <si>
    <t>129r.mid</t>
  </si>
  <si>
    <t>Zacher</t>
  </si>
  <si>
    <t>274r.mid</t>
  </si>
  <si>
    <t>Arlington</t>
  </si>
  <si>
    <t>Dr. T. Arne</t>
  </si>
  <si>
    <t>3g.mid</t>
  </si>
  <si>
    <t>Arnold</t>
  </si>
  <si>
    <t>Dr. S. Arnold</t>
  </si>
  <si>
    <t>4g.mid</t>
  </si>
  <si>
    <t>Ballerma</t>
  </si>
  <si>
    <t>R. Simpson</t>
  </si>
  <si>
    <t>6g.mid</t>
  </si>
  <si>
    <t>Oldham Street (Trinity)</t>
  </si>
  <si>
    <t>Howgate</t>
  </si>
  <si>
    <t>47g.mid</t>
  </si>
  <si>
    <t>Orlington</t>
  </si>
  <si>
    <t>J. Campbell</t>
  </si>
  <si>
    <t>48g.mid</t>
  </si>
  <si>
    <t>Remember Me</t>
  </si>
  <si>
    <t>Asa Hull</t>
  </si>
  <si>
    <t>50g.mid</t>
  </si>
  <si>
    <t>The Cross</t>
  </si>
  <si>
    <t>From Mendelssohn</t>
  </si>
  <si>
    <t>72g.mid</t>
  </si>
  <si>
    <t>Tiverton</t>
  </si>
  <si>
    <t>J. Grigg</t>
  </si>
  <si>
    <t>73g.mid</t>
  </si>
  <si>
    <t>Tottenham</t>
  </si>
  <si>
    <t>T. Greatorex</t>
  </si>
  <si>
    <t>74g.mid</t>
  </si>
  <si>
    <t>Lux Mundi</t>
  </si>
  <si>
    <t>81g.mid</t>
  </si>
  <si>
    <t>Alfriston</t>
  </si>
  <si>
    <t>89g.mid</t>
  </si>
  <si>
    <t>Alstone</t>
  </si>
  <si>
    <t>90g.mid</t>
  </si>
  <si>
    <t>Angelus</t>
  </si>
  <si>
    <t>G. Joseph</t>
  </si>
  <si>
    <t>91g.mid</t>
  </si>
  <si>
    <t>Brookfield</t>
  </si>
  <si>
    <t>94g.mid</t>
  </si>
  <si>
    <t>Carey's</t>
  </si>
  <si>
    <t>Henry Carey</t>
  </si>
  <si>
    <t>95g.mid</t>
  </si>
  <si>
    <t>Deep Harmony</t>
  </si>
  <si>
    <t>Handel Parker</t>
  </si>
  <si>
    <t>96g.mid</t>
  </si>
  <si>
    <t>Duke Street</t>
  </si>
  <si>
    <t>John Hatton</t>
  </si>
  <si>
    <t>97g.mid</t>
  </si>
  <si>
    <t>Eden</t>
  </si>
  <si>
    <t>100g.mid</t>
  </si>
  <si>
    <t>Gethsemene</t>
  </si>
  <si>
    <t>W.B. Bradbury</t>
  </si>
  <si>
    <t>101g.mid</t>
  </si>
  <si>
    <t>Heimath</t>
  </si>
  <si>
    <t>103g.mid</t>
  </si>
  <si>
    <t>Holley</t>
  </si>
  <si>
    <t>G. Hews</t>
  </si>
  <si>
    <t>104g.mid</t>
  </si>
  <si>
    <t>Pentecost</t>
  </si>
  <si>
    <t>W. Boyd</t>
  </si>
  <si>
    <t>113g.mid</t>
  </si>
  <si>
    <t>Rimington</t>
  </si>
  <si>
    <t>F. Duckworth</t>
  </si>
  <si>
    <t>115g.mid</t>
  </si>
  <si>
    <t>Rockingham</t>
  </si>
  <si>
    <t>Dr. Edward Miller</t>
  </si>
  <si>
    <t>116g.mid</t>
  </si>
  <si>
    <t>St. Clement</t>
  </si>
  <si>
    <t>117g.mid</t>
  </si>
  <si>
    <t>Swabia</t>
  </si>
  <si>
    <t>From 'Spiess's Gesangbuch'</t>
  </si>
  <si>
    <t>154g.mid</t>
  </si>
  <si>
    <t>Trentham</t>
  </si>
  <si>
    <t>R. Jackson</t>
  </si>
  <si>
    <t>155g.mid</t>
  </si>
  <si>
    <t>Venice</t>
  </si>
  <si>
    <t>W. Amps</t>
  </si>
  <si>
    <t>157g.mid</t>
  </si>
  <si>
    <t>176g.mid</t>
  </si>
  <si>
    <t>Lowry</t>
  </si>
  <si>
    <t>R. Lowry</t>
  </si>
  <si>
    <t>178g.mid</t>
  </si>
  <si>
    <t>Fairford</t>
  </si>
  <si>
    <t>197g.mid</t>
  </si>
  <si>
    <t>Mighty One</t>
  </si>
  <si>
    <t>G. F. Root</t>
  </si>
  <si>
    <t>200g.mid</t>
  </si>
  <si>
    <t>215g.mid</t>
  </si>
  <si>
    <t>Fountain Street</t>
  </si>
  <si>
    <t>216g.mid</t>
  </si>
  <si>
    <t>Kocher</t>
  </si>
  <si>
    <t>217g.mid</t>
  </si>
  <si>
    <t>Rutherford</t>
  </si>
  <si>
    <t>7.6.7.6.7.6.7.5.</t>
  </si>
  <si>
    <t>Chretien D'Urhan</t>
  </si>
  <si>
    <t>226g.mid</t>
  </si>
  <si>
    <t>Aurelia</t>
  </si>
  <si>
    <t>231g.mid</t>
  </si>
  <si>
    <t>Friend Unfailing</t>
  </si>
  <si>
    <t>From Beethoven</t>
  </si>
  <si>
    <t>242g.mid</t>
  </si>
  <si>
    <t>Greenland</t>
  </si>
  <si>
    <t>245g.mid</t>
  </si>
  <si>
    <t>Holmbridge</t>
  </si>
  <si>
    <t>246g.mid</t>
  </si>
  <si>
    <t>Brandenburg</t>
  </si>
  <si>
    <t>265g.mid</t>
  </si>
  <si>
    <t>Buckland</t>
  </si>
  <si>
    <t>266g.mid</t>
  </si>
  <si>
    <t>Redhead No. 76</t>
  </si>
  <si>
    <t>Richard Redhead</t>
  </si>
  <si>
    <t>275g.mid</t>
  </si>
  <si>
    <t>Hart's</t>
  </si>
  <si>
    <t>B. Milgrove</t>
  </si>
  <si>
    <t>268g.mid</t>
  </si>
  <si>
    <t>273g.mid</t>
  </si>
  <si>
    <t>Wells</t>
  </si>
  <si>
    <t>D. Bortnianski</t>
  </si>
  <si>
    <t>280g.mid</t>
  </si>
  <si>
    <t>Baden</t>
  </si>
  <si>
    <t>From Spohr</t>
  </si>
  <si>
    <t>305g.mid</t>
  </si>
  <si>
    <t>Waltham</t>
  </si>
  <si>
    <t>T. Willey</t>
  </si>
  <si>
    <t>310g.mid</t>
  </si>
  <si>
    <t>Crucifixion</t>
  </si>
  <si>
    <t>311g.mid</t>
  </si>
  <si>
    <t>Newton Ferns</t>
  </si>
  <si>
    <t>Samuel Smith</t>
  </si>
  <si>
    <t>329g.mid</t>
  </si>
  <si>
    <t>330g.mid</t>
  </si>
  <si>
    <t>Placida</t>
  </si>
  <si>
    <t>From 'Geistliche Leider'</t>
  </si>
  <si>
    <t>331g.mid</t>
  </si>
  <si>
    <t>Redhead No. 46</t>
  </si>
  <si>
    <t>333g.mid</t>
  </si>
  <si>
    <t>Rhineland</t>
  </si>
  <si>
    <t>334g.mid</t>
  </si>
  <si>
    <t>Romanza</t>
  </si>
  <si>
    <t>336g.mid</t>
  </si>
  <si>
    <t>Living Spring</t>
  </si>
  <si>
    <t>349g.mid</t>
  </si>
  <si>
    <t>Oslo</t>
  </si>
  <si>
    <t>Norwegian Air</t>
  </si>
  <si>
    <t>350g.mid</t>
  </si>
  <si>
    <t>Jevington</t>
  </si>
  <si>
    <t>351g.mid</t>
  </si>
  <si>
    <t>Kensington New</t>
  </si>
  <si>
    <t>J. Tilleard</t>
  </si>
  <si>
    <t>358g.mid</t>
  </si>
  <si>
    <t>Friendship</t>
  </si>
  <si>
    <t>381g.mid</t>
  </si>
  <si>
    <t>Kenelgin</t>
  </si>
  <si>
    <t>387g.mid</t>
  </si>
  <si>
    <t>Northampton</t>
  </si>
  <si>
    <t>390g.mid</t>
  </si>
  <si>
    <t>Room for Jesus</t>
  </si>
  <si>
    <t>C.C. Williams</t>
  </si>
  <si>
    <t>393g.mid</t>
  </si>
  <si>
    <t>Aldwyn</t>
  </si>
  <si>
    <t>396g.mid</t>
  </si>
  <si>
    <t>Dartford</t>
  </si>
  <si>
    <t>403g.mid</t>
  </si>
  <si>
    <t>Melita</t>
  </si>
  <si>
    <t>434g.mid</t>
  </si>
  <si>
    <t>Eirene</t>
  </si>
  <si>
    <t>442g.mid</t>
  </si>
  <si>
    <t>Petrograd</t>
  </si>
  <si>
    <t>D. Otsing</t>
  </si>
  <si>
    <t>447g.mid</t>
  </si>
  <si>
    <t>Brackley</t>
  </si>
  <si>
    <t>Miss M. Grugeon</t>
  </si>
  <si>
    <t>454g.mid</t>
  </si>
  <si>
    <t>Come unto Me</t>
  </si>
  <si>
    <t>478g.mid</t>
  </si>
  <si>
    <t>Deramore</t>
  </si>
  <si>
    <t>480g.mid</t>
  </si>
  <si>
    <t>Eventide</t>
  </si>
  <si>
    <t>484g.mid</t>
  </si>
  <si>
    <t>Mercedem</t>
  </si>
  <si>
    <t>493g.mid</t>
  </si>
  <si>
    <t>J. Langran</t>
  </si>
  <si>
    <t>497g.mid</t>
  </si>
  <si>
    <t>Speranza</t>
  </si>
  <si>
    <t>499g.mid</t>
  </si>
  <si>
    <t>Moment by Moment</t>
  </si>
  <si>
    <t>Mrs. Mary W. Moody</t>
  </si>
  <si>
    <t>505g.mid</t>
  </si>
  <si>
    <t>Berlin</t>
  </si>
  <si>
    <t>516g.mid</t>
  </si>
  <si>
    <t>Boyle Street</t>
  </si>
  <si>
    <t>Mrs. E. Ellis</t>
  </si>
  <si>
    <t>522g.mid</t>
  </si>
  <si>
    <t>O Quanta Qualia</t>
  </si>
  <si>
    <t>La Feillee Methode</t>
  </si>
  <si>
    <t>526g.mid</t>
  </si>
  <si>
    <t>Bury Thy Sorrow</t>
  </si>
  <si>
    <t>533g.mid</t>
  </si>
  <si>
    <t>Lyndhurst</t>
  </si>
  <si>
    <t>541g.mid</t>
  </si>
  <si>
    <t>J. Neander</t>
  </si>
  <si>
    <t>551g.mid</t>
  </si>
  <si>
    <t>Abridge</t>
  </si>
  <si>
    <t>Isaac Smith</t>
  </si>
  <si>
    <t>1g.mid</t>
  </si>
  <si>
    <t>Acton</t>
  </si>
  <si>
    <t>2g.mid</t>
  </si>
  <si>
    <t>Barrow</t>
  </si>
  <si>
    <t>7g.mid</t>
  </si>
  <si>
    <t>Beatitudo</t>
  </si>
  <si>
    <t>8g.mid</t>
  </si>
  <si>
    <t>Bedford</t>
  </si>
  <si>
    <t>W. Wheale</t>
  </si>
  <si>
    <t>9g.mid</t>
  </si>
  <si>
    <t>S. Webbe</t>
  </si>
  <si>
    <t>10g.mid</t>
  </si>
  <si>
    <t>Day Dawn</t>
  </si>
  <si>
    <t>15g.mid</t>
  </si>
  <si>
    <t>Sir John Stevenson</t>
  </si>
  <si>
    <t>16g.mid</t>
  </si>
  <si>
    <t>From 'Scottish Psalter'</t>
  </si>
  <si>
    <t>17g.mid</t>
  </si>
  <si>
    <t>Eagley</t>
  </si>
  <si>
    <t>J. Walch</t>
  </si>
  <si>
    <t>18g.mid</t>
  </si>
  <si>
    <t>Mary</t>
  </si>
  <si>
    <t>82g.mid</t>
  </si>
  <si>
    <t>None But Christ Can Satisfy!</t>
  </si>
  <si>
    <t>J. McGranahan</t>
  </si>
  <si>
    <t>83g.mid</t>
  </si>
  <si>
    <t>102g.mid</t>
  </si>
  <si>
    <t>Homage</t>
  </si>
  <si>
    <t>105g.mid</t>
  </si>
  <si>
    <t>Keble</t>
  </si>
  <si>
    <t>106g.mid</t>
  </si>
  <si>
    <t>Luther's Chant</t>
  </si>
  <si>
    <t>107g.mid</t>
  </si>
  <si>
    <t>Mainzer</t>
  </si>
  <si>
    <t>J. Mainzer</t>
  </si>
  <si>
    <t>108g.mid</t>
  </si>
  <si>
    <t>Mrs. H.V. Ground</t>
  </si>
  <si>
    <t>126g.mid</t>
  </si>
  <si>
    <t>Hayes</t>
  </si>
  <si>
    <t>127g.mid</t>
  </si>
  <si>
    <t>Saved By Grace</t>
  </si>
  <si>
    <t>128g.mid</t>
  </si>
  <si>
    <t>Blessed Assurance</t>
  </si>
  <si>
    <t>P.M.</t>
  </si>
  <si>
    <t>129g.mid</t>
  </si>
  <si>
    <t>Huddersfield</t>
  </si>
  <si>
    <t>From 'Williams Psalmody'</t>
  </si>
  <si>
    <t>138g.mid</t>
  </si>
  <si>
    <t>Leipzig</t>
  </si>
  <si>
    <t>139g.mid</t>
  </si>
  <si>
    <t>Moreland</t>
  </si>
  <si>
    <t>From 'Melodies and Chants'</t>
  </si>
  <si>
    <t>140g.mid</t>
  </si>
  <si>
    <t>Earl of Mornington</t>
  </si>
  <si>
    <t>141g.mid</t>
  </si>
  <si>
    <t>Mudstone</t>
  </si>
  <si>
    <t>David Johnson</t>
  </si>
  <si>
    <t>142g.mid</t>
  </si>
  <si>
    <t>Mullaghmore</t>
  </si>
  <si>
    <t>J. Steven</t>
  </si>
  <si>
    <t>143g.mid</t>
  </si>
  <si>
    <t>My Beloved</t>
  </si>
  <si>
    <t>144g.mid</t>
  </si>
  <si>
    <t>Repose</t>
  </si>
  <si>
    <t>P. Blanche</t>
  </si>
  <si>
    <t>145g.mid</t>
  </si>
  <si>
    <t>St. Michael</t>
  </si>
  <si>
    <t>150g.mid</t>
  </si>
  <si>
    <t>Silchester</t>
  </si>
  <si>
    <t>Dr. H.A.C. Malan</t>
  </si>
  <si>
    <t>151g.mid</t>
  </si>
  <si>
    <t>Solyma</t>
  </si>
  <si>
    <t>152g.mid</t>
  </si>
  <si>
    <t>Summerfield</t>
  </si>
  <si>
    <t>153g.mid</t>
  </si>
  <si>
    <t>158g.mid</t>
  </si>
  <si>
    <t>Zurich</t>
  </si>
  <si>
    <t>J.G. Nageli</t>
  </si>
  <si>
    <t>159g.mid</t>
  </si>
  <si>
    <t>Diademata</t>
  </si>
  <si>
    <t>Sir George J. Elvey</t>
  </si>
  <si>
    <t>160g.mid</t>
  </si>
  <si>
    <t>Lathbury</t>
  </si>
  <si>
    <t>173g.mid</t>
  </si>
  <si>
    <t>Light After Darkness</t>
  </si>
  <si>
    <t>174g.mid</t>
  </si>
  <si>
    <t>Olivet</t>
  </si>
  <si>
    <t>186g.mid</t>
  </si>
  <si>
    <t>Abbott's Wood</t>
  </si>
  <si>
    <t>Mrs. Dent</t>
  </si>
  <si>
    <t>187g.mid</t>
  </si>
  <si>
    <t>From Haydn</t>
  </si>
  <si>
    <t>188g.mid</t>
  </si>
  <si>
    <t>Invitation</t>
  </si>
  <si>
    <t>191g.mid</t>
  </si>
  <si>
    <t>Nun Danket</t>
  </si>
  <si>
    <t>J. Cruger</t>
  </si>
  <si>
    <t>192g.mid</t>
  </si>
  <si>
    <t>Darwall's 148th</t>
  </si>
  <si>
    <t>J. Darwall</t>
  </si>
  <si>
    <t>195g.mid</t>
  </si>
  <si>
    <t>203g.mid</t>
  </si>
  <si>
    <t>The Gospel of Thy Grace</t>
  </si>
  <si>
    <t>204g.mid</t>
  </si>
  <si>
    <t>Endbach</t>
  </si>
  <si>
    <t>7.4.7.4.7.4.7.4.</t>
  </si>
  <si>
    <t>F. Silcher</t>
  </si>
  <si>
    <t>213g.mid</t>
  </si>
  <si>
    <t>Guidance</t>
  </si>
  <si>
    <t>G. Millar</t>
  </si>
  <si>
    <t>214g.mid</t>
  </si>
  <si>
    <t>223g.mid</t>
  </si>
  <si>
    <t>From Weber</t>
  </si>
  <si>
    <t>224g.mid</t>
  </si>
  <si>
    <t>West View</t>
  </si>
  <si>
    <t>P.S. Pugh</t>
  </si>
  <si>
    <t>225g.mid</t>
  </si>
  <si>
    <t>Confidence</t>
  </si>
  <si>
    <t>232g.mid</t>
  </si>
  <si>
    <t>Cruger</t>
  </si>
  <si>
    <t>233g.mid</t>
  </si>
  <si>
    <t>236g.mid</t>
  </si>
  <si>
    <t>Eaton Square</t>
  </si>
  <si>
    <t>237g.mid</t>
  </si>
  <si>
    <t>Ewing</t>
  </si>
  <si>
    <t>A. Ewing</t>
  </si>
  <si>
    <t>240g.mid</t>
  </si>
  <si>
    <t>Farewell</t>
  </si>
  <si>
    <t>241g.mid</t>
  </si>
  <si>
    <t>Lancashire</t>
  </si>
  <si>
    <t>248g.mid</t>
  </si>
  <si>
    <t>Petition</t>
  </si>
  <si>
    <t>252g.mid</t>
  </si>
  <si>
    <t>St. Christopher</t>
  </si>
  <si>
    <t>256g.mid</t>
  </si>
  <si>
    <t>St. Denis</t>
  </si>
  <si>
    <t>From 'Calcotts Psalm and Hymn Tunes'</t>
  </si>
  <si>
    <t>257g.mid</t>
  </si>
  <si>
    <t>The Cross of Jesus</t>
  </si>
  <si>
    <t>260g.mid</t>
  </si>
  <si>
    <t>The Glory Shines</t>
  </si>
  <si>
    <t>Miss. S.M. Walker</t>
  </si>
  <si>
    <t>261g.mid</t>
  </si>
  <si>
    <t>Innocents</t>
  </si>
  <si>
    <t>269g.mid</t>
  </si>
  <si>
    <t>Monkland</t>
  </si>
  <si>
    <t>J. Wilkes</t>
  </si>
  <si>
    <t>270g.mid</t>
  </si>
  <si>
    <t>Mozart</t>
  </si>
  <si>
    <t>From Mozart</t>
  </si>
  <si>
    <t>271g.mid</t>
  </si>
  <si>
    <t>St. Bees</t>
  </si>
  <si>
    <t>272g.mid</t>
  </si>
  <si>
    <t>Bishopgarth</t>
  </si>
  <si>
    <t>284g.mid</t>
  </si>
  <si>
    <t>Cyprus</t>
  </si>
  <si>
    <t>Greek Melody</t>
  </si>
  <si>
    <t>285g.mid</t>
  </si>
  <si>
    <t>Southgate</t>
  </si>
  <si>
    <t>288g.mid</t>
  </si>
  <si>
    <t>Bredbury</t>
  </si>
  <si>
    <t>J. Page</t>
  </si>
  <si>
    <t>289g.mid</t>
  </si>
  <si>
    <t>Bullinger</t>
  </si>
  <si>
    <t>Dr. E. W. Bullinger</t>
  </si>
  <si>
    <t>290g.mid</t>
  </si>
  <si>
    <t>Filey</t>
  </si>
  <si>
    <t>295g.mid</t>
  </si>
  <si>
    <t>296g.mid</t>
  </si>
  <si>
    <t>Unbounded Love</t>
  </si>
  <si>
    <t>297g.mid</t>
  </si>
  <si>
    <t>The Bride</t>
  </si>
  <si>
    <t>J. Revell</t>
  </si>
  <si>
    <t>300g.mid</t>
  </si>
  <si>
    <t>St. Cuthbert</t>
  </si>
  <si>
    <t>301g.mid</t>
  </si>
  <si>
    <t>Substitution</t>
  </si>
  <si>
    <t>302g.mid</t>
  </si>
  <si>
    <t>Palmyra</t>
  </si>
  <si>
    <t>J. Summers</t>
  </si>
  <si>
    <t>307g.mid</t>
  </si>
  <si>
    <t>Supremacy</t>
  </si>
  <si>
    <t>N. Tomblin</t>
  </si>
  <si>
    <t>308g.mid</t>
  </si>
  <si>
    <t>Berechiah</t>
  </si>
  <si>
    <t>317g.mid</t>
  </si>
  <si>
    <t>Brightness</t>
  </si>
  <si>
    <t>Mrs. W. Jones</t>
  </si>
  <si>
    <t>318g.mid</t>
  </si>
  <si>
    <t>Crimea Street</t>
  </si>
  <si>
    <t>319g.mid</t>
  </si>
  <si>
    <t>Cross of Jesus</t>
  </si>
  <si>
    <t>320g.mid</t>
  </si>
  <si>
    <t>Hallsberg</t>
  </si>
  <si>
    <t>325g.mid</t>
  </si>
  <si>
    <t>Hananiah</t>
  </si>
  <si>
    <t>326g.mid</t>
  </si>
  <si>
    <t>327g.mid</t>
  </si>
  <si>
    <t>Marching</t>
  </si>
  <si>
    <t>M. Shaw</t>
  </si>
  <si>
    <t>328g.mid</t>
  </si>
  <si>
    <t>Sharon</t>
  </si>
  <si>
    <t>Dr. W. Boyce</t>
  </si>
  <si>
    <t>341g.mid</t>
  </si>
  <si>
    <t>Sicilian Mariners</t>
  </si>
  <si>
    <t>Old Sicilian Melody</t>
  </si>
  <si>
    <t>342g.mid</t>
  </si>
  <si>
    <t>Dr. H.J. Gauntlett</t>
  </si>
  <si>
    <t>343g.mid</t>
  </si>
  <si>
    <t>Showers of Blessing</t>
  </si>
  <si>
    <t>353g.mid</t>
  </si>
  <si>
    <t>Brisbane</t>
  </si>
  <si>
    <t>T. Walford Rofe</t>
  </si>
  <si>
    <t>354g.mid</t>
  </si>
  <si>
    <t>Dominus Regit Me</t>
  </si>
  <si>
    <t>355g.mid</t>
  </si>
  <si>
    <t>Mannheim</t>
  </si>
  <si>
    <t>Dr. F. Filitz</t>
  </si>
  <si>
    <t>360g.mid</t>
  </si>
  <si>
    <t>Olivers</t>
  </si>
  <si>
    <t>T. Olivers</t>
  </si>
  <si>
    <t>361g.mid</t>
  </si>
  <si>
    <t>364g.mid</t>
  </si>
  <si>
    <t>Unser Herrscher</t>
  </si>
  <si>
    <t>365g.mid</t>
  </si>
  <si>
    <t>Jera</t>
  </si>
  <si>
    <t>368g.mid</t>
  </si>
  <si>
    <t>Lord of Glory</t>
  </si>
  <si>
    <t>369g.mid</t>
  </si>
  <si>
    <t>From 'Precious Saviour'</t>
  </si>
  <si>
    <t>374g.mid</t>
  </si>
  <si>
    <t>Blaenwern</t>
  </si>
  <si>
    <t>375g.mid</t>
  </si>
  <si>
    <t>Even So</t>
  </si>
  <si>
    <t>517g.mid</t>
  </si>
  <si>
    <t>Heavenly Glory</t>
  </si>
  <si>
    <t>518g.mid</t>
  </si>
  <si>
    <t>Pilgrims</t>
  </si>
  <si>
    <t>531g.mid</t>
  </si>
  <si>
    <t>Bow Street</t>
  </si>
  <si>
    <t>532g.mid</t>
  </si>
  <si>
    <t>Eastgate</t>
  </si>
  <si>
    <t>R. Bennett</t>
  </si>
  <si>
    <t>19g.mid</t>
  </si>
  <si>
    <t>Evan</t>
  </si>
  <si>
    <t>20g.mid</t>
  </si>
  <si>
    <t>Farrant</t>
  </si>
  <si>
    <t>R. Farrant</t>
  </si>
  <si>
    <t>21g.mid</t>
  </si>
  <si>
    <t>Home</t>
  </si>
  <si>
    <t>27g.mid</t>
  </si>
  <si>
    <t>French</t>
  </si>
  <si>
    <t>22g.mid</t>
  </si>
  <si>
    <t>Horsley</t>
  </si>
  <si>
    <t>W. Horsely</t>
  </si>
  <si>
    <t>28g.mid</t>
  </si>
  <si>
    <t>Ignatius</t>
  </si>
  <si>
    <t>29g.mid</t>
  </si>
  <si>
    <t>Irish</t>
  </si>
  <si>
    <t>30g.mid</t>
  </si>
  <si>
    <t>Jackson's</t>
  </si>
  <si>
    <t>T. Jackson</t>
  </si>
  <si>
    <t>31g.mid</t>
  </si>
  <si>
    <t>Jubilant</t>
  </si>
  <si>
    <t>32g.mid</t>
  </si>
  <si>
    <t>Kilmarnock</t>
  </si>
  <si>
    <t>Niel Dougall</t>
  </si>
  <si>
    <t>33g.mid</t>
  </si>
  <si>
    <t>Leichester</t>
  </si>
  <si>
    <t>W. Hurst</t>
  </si>
  <si>
    <t>34g.mid</t>
  </si>
  <si>
    <t>51g.mid</t>
  </si>
  <si>
    <t>Richmond</t>
  </si>
  <si>
    <t>T. Haweis</t>
  </si>
  <si>
    <t>52g.mid</t>
  </si>
  <si>
    <t>Royal Fort</t>
  </si>
  <si>
    <t>E.J. Orchard</t>
  </si>
  <si>
    <t>53g.mid</t>
  </si>
  <si>
    <t>54g.mid</t>
  </si>
  <si>
    <t>Samuel Stanley</t>
  </si>
  <si>
    <t>75g.mid</t>
  </si>
  <si>
    <t>Mrs. M.S. Cooper</t>
  </si>
  <si>
    <t>77g.mid</t>
  </si>
  <si>
    <t>Wiltshire</t>
  </si>
  <si>
    <t>Sir George T. Smart</t>
  </si>
  <si>
    <t>76g.mid</t>
  </si>
  <si>
    <t>St. Matthew</t>
  </si>
  <si>
    <t>Dr. W. Croft</t>
  </si>
  <si>
    <t>84g.mid</t>
  </si>
  <si>
    <t>The Home</t>
  </si>
  <si>
    <t>Miss S.N. Walker</t>
  </si>
  <si>
    <t>85g.mid</t>
  </si>
  <si>
    <t>Maryton</t>
  </si>
  <si>
    <t>109g.mid</t>
  </si>
  <si>
    <t>110g.mid</t>
  </si>
  <si>
    <t>From 'Genevan Psalter'</t>
  </si>
  <si>
    <t>111g.mid</t>
  </si>
  <si>
    <t>Ombersley</t>
  </si>
  <si>
    <t>112g.mid</t>
  </si>
  <si>
    <t>Austin</t>
  </si>
  <si>
    <t>130g.mid</t>
  </si>
  <si>
    <t>Bexhill</t>
  </si>
  <si>
    <t>From Swedish</t>
  </si>
  <si>
    <t>131g.mid</t>
  </si>
  <si>
    <t>R. Harrison</t>
  </si>
  <si>
    <t>132g.mid</t>
  </si>
  <si>
    <t>Carlisle</t>
  </si>
  <si>
    <t>C. Lockhart</t>
  </si>
  <si>
    <t>133g.mid</t>
  </si>
  <si>
    <t>Clarendon</t>
  </si>
  <si>
    <t>189g.mid</t>
  </si>
  <si>
    <t>Jehovah Tsidkenu</t>
  </si>
  <si>
    <t>H. Bennett</t>
  </si>
  <si>
    <t>190g.mid</t>
  </si>
  <si>
    <t>Exeter</t>
  </si>
  <si>
    <t>196g.mid</t>
  </si>
  <si>
    <t>Easton</t>
  </si>
  <si>
    <t>W. Easton</t>
  </si>
  <si>
    <t>206g.mid</t>
  </si>
  <si>
    <t>German Tunes (1952) No. 41</t>
  </si>
  <si>
    <t>244g.mid</t>
  </si>
  <si>
    <t>Ellerton (Craster)</t>
  </si>
  <si>
    <t>321g.mid</t>
  </si>
  <si>
    <t>Exultation</t>
  </si>
  <si>
    <t>322g.mid</t>
  </si>
  <si>
    <t>German Evening Hymn</t>
  </si>
  <si>
    <t>From German</t>
  </si>
  <si>
    <t>323g.mid</t>
  </si>
  <si>
    <t>Gotha</t>
  </si>
  <si>
    <t>324g.mid</t>
  </si>
  <si>
    <t>Spes Mea in Deo</t>
  </si>
  <si>
    <t>500g.mid</t>
  </si>
  <si>
    <t>The Shadow of His Wings</t>
  </si>
  <si>
    <t>501g.mid</t>
  </si>
  <si>
    <t>It Passeth Knowledge</t>
  </si>
  <si>
    <t>10.10.10.10.4.</t>
  </si>
  <si>
    <t>506g.mid</t>
  </si>
  <si>
    <t>Evesham</t>
  </si>
  <si>
    <t>10.10.10.10.10.10.</t>
  </si>
  <si>
    <t>507g.mid</t>
  </si>
  <si>
    <t>Longstaff</t>
  </si>
  <si>
    <t>535g.mid</t>
  </si>
  <si>
    <t>St. Denio</t>
  </si>
  <si>
    <t>Welch Hymn Melody</t>
  </si>
  <si>
    <t>536g.mid</t>
  </si>
  <si>
    <t>To God Be the Glory</t>
  </si>
  <si>
    <t>537g.mid</t>
  </si>
  <si>
    <t>Elim</t>
  </si>
  <si>
    <t>Miss Davis</t>
  </si>
  <si>
    <t>538g.mid</t>
  </si>
  <si>
    <t>Detroit</t>
  </si>
  <si>
    <t>545g.mid</t>
  </si>
  <si>
    <t>Nicea</t>
  </si>
  <si>
    <t>546g.mid</t>
  </si>
  <si>
    <t>Ingleside</t>
  </si>
  <si>
    <t>Josiah Booth</t>
  </si>
  <si>
    <t>553g.mid</t>
  </si>
  <si>
    <t>554g.mid</t>
  </si>
  <si>
    <t>German Tunes (1952) No.65</t>
  </si>
  <si>
    <t>23g.mid</t>
  </si>
  <si>
    <t>Gerontius</t>
  </si>
  <si>
    <t>24g.mid</t>
  </si>
  <si>
    <t>Glasgow</t>
  </si>
  <si>
    <t>John Holden</t>
  </si>
  <si>
    <t>25g.mid</t>
  </si>
  <si>
    <t>Golden Key</t>
  </si>
  <si>
    <t>J.R. Sweney</t>
  </si>
  <si>
    <t>26g.mid</t>
  </si>
  <si>
    <t>Lloyd</t>
  </si>
  <si>
    <t>35g.mid</t>
  </si>
  <si>
    <t>Lydia</t>
  </si>
  <si>
    <t>T. Philips</t>
  </si>
  <si>
    <t>36g.mid</t>
  </si>
  <si>
    <t>Martyrdom</t>
  </si>
  <si>
    <t>H. Wilson</t>
  </si>
  <si>
    <t>37g.mid</t>
  </si>
  <si>
    <t>Merton</t>
  </si>
  <si>
    <t>38g.mid</t>
  </si>
  <si>
    <t>Miles' Lane</t>
  </si>
  <si>
    <t>W. Shrubsole</t>
  </si>
  <si>
    <t>39g.mid</t>
  </si>
  <si>
    <t>40g.mid</t>
  </si>
  <si>
    <t>Name of Jesus</t>
  </si>
  <si>
    <t>41g.mid</t>
  </si>
  <si>
    <t>Nativity</t>
  </si>
  <si>
    <t>H. Lahee</t>
  </si>
  <si>
    <t>42g.mid</t>
  </si>
  <si>
    <t>Newcastle</t>
  </si>
  <si>
    <t>Henry K. Morley</t>
  </si>
  <si>
    <t>43g.mid</t>
  </si>
  <si>
    <t>Repeat 3rd line of each verse</t>
  </si>
  <si>
    <t>Norge</t>
  </si>
  <si>
    <t>44g.mid</t>
  </si>
  <si>
    <t>Northrop</t>
  </si>
  <si>
    <t>A. Northrop</t>
  </si>
  <si>
    <t>45g.mid</t>
  </si>
  <si>
    <t>Repeat last line 3 times</t>
  </si>
  <si>
    <t>Nottingham</t>
  </si>
  <si>
    <t>Jeremiah Clarke</t>
  </si>
  <si>
    <t>46g.mid</t>
  </si>
  <si>
    <t>St. Andrew</t>
  </si>
  <si>
    <t>From 'New Harmony of Sion'</t>
  </si>
  <si>
    <t>55g.mid</t>
  </si>
  <si>
    <t>St. Anne</t>
  </si>
  <si>
    <t>56g.mid</t>
  </si>
  <si>
    <t>St. Bernard</t>
  </si>
  <si>
    <t>J. Richardson</t>
  </si>
  <si>
    <t>57g.mid</t>
  </si>
  <si>
    <t>Irish Traditional Melody</t>
  </si>
  <si>
    <t>58g.mid</t>
  </si>
  <si>
    <t>St. Fulbert</t>
  </si>
  <si>
    <t>59g.mid</t>
  </si>
  <si>
    <t>St. Leonard</t>
  </si>
  <si>
    <t>60g.mid</t>
  </si>
  <si>
    <t>St. Paul</t>
  </si>
  <si>
    <t>61g.mid</t>
  </si>
  <si>
    <t>St. Peter</t>
  </si>
  <si>
    <t>62g.mid</t>
  </si>
  <si>
    <t>St. Saviour</t>
  </si>
  <si>
    <t>63g.mid</t>
  </si>
  <si>
    <t>St. Stephen</t>
  </si>
  <si>
    <t>W. Jones</t>
  </si>
  <si>
    <t>64g.mid</t>
  </si>
  <si>
    <t>Salzburg</t>
  </si>
  <si>
    <t>65g.mid</t>
  </si>
  <si>
    <t>Sawley</t>
  </si>
  <si>
    <t>66g.mid</t>
  </si>
  <si>
    <t>Sheffield</t>
  </si>
  <si>
    <t>W. Mather</t>
  </si>
  <si>
    <t>67g.mid</t>
  </si>
  <si>
    <t>Southwell</t>
  </si>
  <si>
    <t>H.S. Irons</t>
  </si>
  <si>
    <t>68g.mid</t>
  </si>
  <si>
    <t>Spohr</t>
  </si>
  <si>
    <t>69g.mid</t>
  </si>
  <si>
    <t>Stracathro</t>
  </si>
  <si>
    <t>C. Hutcheson</t>
  </si>
  <si>
    <t>70g.mid</t>
  </si>
  <si>
    <t>Vox Dilecti</t>
  </si>
  <si>
    <t>86g.mid</t>
  </si>
  <si>
    <t>Abends</t>
  </si>
  <si>
    <t>Sir Herbert S. Oakeley</t>
  </si>
  <si>
    <t>87g.mid</t>
  </si>
  <si>
    <t>R. Thornton</t>
  </si>
  <si>
    <t>88g.mid</t>
  </si>
  <si>
    <t>Tallis's Canon</t>
  </si>
  <si>
    <t>T. Tallis</t>
  </si>
  <si>
    <t>119g.mid</t>
  </si>
  <si>
    <t>Thou Remainest</t>
  </si>
  <si>
    <t>W. Pinsen</t>
  </si>
  <si>
    <t>120g.mid</t>
  </si>
  <si>
    <t>Walton</t>
  </si>
  <si>
    <t>121g.mid</t>
  </si>
  <si>
    <t>Wareham</t>
  </si>
  <si>
    <t>W. Knapp</t>
  </si>
  <si>
    <t>122g.mid</t>
  </si>
  <si>
    <t>Warrington</t>
  </si>
  <si>
    <t>123g.mid</t>
  </si>
  <si>
    <t>Whitburn</t>
  </si>
  <si>
    <t>H. Baker</t>
  </si>
  <si>
    <t>124g.mid</t>
  </si>
  <si>
    <t>Winchester New</t>
  </si>
  <si>
    <t>Crasselius</t>
  </si>
  <si>
    <t>125g.mid</t>
  </si>
  <si>
    <t>Crotch's Chant</t>
  </si>
  <si>
    <t>Dr. W. Crotch</t>
  </si>
  <si>
    <t>134g.mid</t>
  </si>
  <si>
    <t>Franconia</t>
  </si>
  <si>
    <t>135g.mid</t>
  </si>
  <si>
    <t>Grace</t>
  </si>
  <si>
    <t>137g.mid</t>
  </si>
  <si>
    <t>Rhodes</t>
  </si>
  <si>
    <t>Dr. C. Warwich Jordan</t>
  </si>
  <si>
    <t>146g.mid</t>
  </si>
  <si>
    <t>Ripon</t>
  </si>
  <si>
    <t>147g.mid</t>
  </si>
  <si>
    <t>Robinson's Chant</t>
  </si>
  <si>
    <t>J. Robinson</t>
  </si>
  <si>
    <t>148g.mid</t>
  </si>
  <si>
    <t>St. George</t>
  </si>
  <si>
    <t>149g.mid</t>
  </si>
  <si>
    <t>St. Edmund</t>
  </si>
  <si>
    <t>179g.mid</t>
  </si>
  <si>
    <t>Summer Land</t>
  </si>
  <si>
    <t>180g.mid</t>
  </si>
  <si>
    <t>The Blessed Home</t>
  </si>
  <si>
    <t>193g.mid</t>
  </si>
  <si>
    <t>Christchurch</t>
  </si>
  <si>
    <t>Dr. C. Steggall</t>
  </si>
  <si>
    <t>194g.mid</t>
  </si>
  <si>
    <t>Millenium</t>
  </si>
  <si>
    <t>201g.mid</t>
  </si>
  <si>
    <t>Safe Home</t>
  </si>
  <si>
    <t>202g.mid</t>
  </si>
  <si>
    <t>Pastor</t>
  </si>
  <si>
    <t>Melchior Vulpiius</t>
  </si>
  <si>
    <t>219g.mid</t>
  </si>
  <si>
    <t>220g.mid</t>
  </si>
  <si>
    <t>St. Alphege</t>
  </si>
  <si>
    <t>221g.mid</t>
  </si>
  <si>
    <t>St. Philip</t>
  </si>
  <si>
    <t>222g.mid</t>
  </si>
  <si>
    <t>Ajeleth-Shahar</t>
  </si>
  <si>
    <t>W.C. Fursland</t>
  </si>
  <si>
    <t>228g.mid</t>
  </si>
  <si>
    <t>Alford</t>
  </si>
  <si>
    <t>229g.mid</t>
  </si>
  <si>
    <t>Day of Rest</t>
  </si>
  <si>
    <t>234g.mid</t>
  </si>
  <si>
    <t>Dresden</t>
  </si>
  <si>
    <t>235g.mid</t>
  </si>
  <si>
    <t>Ellacombe</t>
  </si>
  <si>
    <t>From 'Kochers Zionsharfe'</t>
  </si>
  <si>
    <t>238g.mid</t>
  </si>
  <si>
    <t>Eltham</t>
  </si>
  <si>
    <t>239g.mid</t>
  </si>
  <si>
    <t>Lorraine</t>
  </si>
  <si>
    <t>Mrs. F. Houghton</t>
  </si>
  <si>
    <t>249g.mid</t>
  </si>
  <si>
    <t>Missionary</t>
  </si>
  <si>
    <t>250g.mid</t>
  </si>
  <si>
    <t>251g.mid</t>
  </si>
  <si>
    <t>Rest and Home</t>
  </si>
  <si>
    <t>254g.mid</t>
  </si>
  <si>
    <t>Robe of Righteousness</t>
  </si>
  <si>
    <t>255g.mid</t>
  </si>
  <si>
    <t>St. Theodulph</t>
  </si>
  <si>
    <t>M. Teschner</t>
  </si>
  <si>
    <t>258g.mid</t>
  </si>
  <si>
    <t>Swansea</t>
  </si>
  <si>
    <t>Henri F. Hemy</t>
  </si>
  <si>
    <t>259g.mid</t>
  </si>
  <si>
    <t>Missionary Prayer</t>
  </si>
  <si>
    <t>263g.mid</t>
  </si>
  <si>
    <t>St. Anatolius</t>
  </si>
  <si>
    <t>Arthur H. Brown</t>
  </si>
  <si>
    <t>264g.mid</t>
  </si>
  <si>
    <t>Trusting Jesus</t>
  </si>
  <si>
    <t>7.7.7.7.7.7.7.7.</t>
  </si>
  <si>
    <t>278g.mid</t>
  </si>
  <si>
    <t>All Is Well</t>
  </si>
  <si>
    <t>286g.mid</t>
  </si>
  <si>
    <t>All Saints</t>
  </si>
  <si>
    <t>Geistreiches Gesangbuch</t>
  </si>
  <si>
    <t>366g.mid</t>
  </si>
  <si>
    <t>Evening Prayer</t>
  </si>
  <si>
    <t>367g.mid</t>
  </si>
  <si>
    <t>O How He Loves</t>
  </si>
  <si>
    <t>H.P. Main</t>
  </si>
  <si>
    <t>287g.mid</t>
  </si>
  <si>
    <t>Cairnbrook</t>
  </si>
  <si>
    <t>Dr. E. Prout</t>
  </si>
  <si>
    <t>291g.mid</t>
  </si>
  <si>
    <t>Come Thou Weary</t>
  </si>
  <si>
    <t>292g.mid</t>
  </si>
  <si>
    <t>Stephanos</t>
  </si>
  <si>
    <t>Sir Henry W. Baker</t>
  </si>
  <si>
    <t>293g.mid</t>
  </si>
  <si>
    <t>Victor</t>
  </si>
  <si>
    <t>294g.mid</t>
  </si>
  <si>
    <t>Hallelujah</t>
  </si>
  <si>
    <t>298g.mid</t>
  </si>
  <si>
    <t>My Father Knoweth</t>
  </si>
  <si>
    <t>J.H. Burke</t>
  </si>
  <si>
    <t>299g.mid</t>
  </si>
  <si>
    <t>Quis Seperabit</t>
  </si>
  <si>
    <t>8.6.8.6.8.6.8.6.8.6.</t>
  </si>
  <si>
    <t>304g.mid</t>
  </si>
  <si>
    <t>Alba</t>
  </si>
  <si>
    <t>313g.mid</t>
  </si>
  <si>
    <t>All For Jesus</t>
  </si>
  <si>
    <t>314g.mid</t>
  </si>
  <si>
    <t>Alma</t>
  </si>
  <si>
    <t>315g.mid</t>
  </si>
  <si>
    <t>Beaumaris</t>
  </si>
  <si>
    <t>316g.mid</t>
  </si>
  <si>
    <t>Stuttgart</t>
  </si>
  <si>
    <t>German</t>
  </si>
  <si>
    <t>344g.mid</t>
  </si>
  <si>
    <t>Shades of Evening</t>
  </si>
  <si>
    <t>D.E. Jones</t>
  </si>
  <si>
    <t>345g.mid</t>
  </si>
  <si>
    <t>Thou Art Worthy</t>
  </si>
  <si>
    <t>346g.mid</t>
  </si>
  <si>
    <t>Warren Vale</t>
  </si>
  <si>
    <t>Miss H.M. Faulkner</t>
  </si>
  <si>
    <t>347g.mid</t>
  </si>
  <si>
    <t>J. Hughes</t>
  </si>
  <si>
    <t>357g.mid</t>
  </si>
  <si>
    <t>Praise My Soul</t>
  </si>
  <si>
    <t>362g.mid</t>
  </si>
  <si>
    <t>Regent Square</t>
  </si>
  <si>
    <t>363g.mid</t>
  </si>
  <si>
    <t>Austria</t>
  </si>
  <si>
    <t>372g.mid</t>
  </si>
  <si>
    <t>Benediction</t>
  </si>
  <si>
    <t>373g.mid</t>
  </si>
  <si>
    <t>Call Them In</t>
  </si>
  <si>
    <t>376g.mid</t>
  </si>
  <si>
    <t>Converse</t>
  </si>
  <si>
    <t>C.C. Converse</t>
  </si>
  <si>
    <t>377g.mid</t>
  </si>
  <si>
    <t>Deerhurst</t>
  </si>
  <si>
    <t>378g.mid</t>
  </si>
  <si>
    <t>Downham</t>
  </si>
  <si>
    <t>379g.mid</t>
  </si>
  <si>
    <t>Hyfrydol</t>
  </si>
  <si>
    <t>382g.mid</t>
  </si>
  <si>
    <t>In The Secret Of His Presence</t>
  </si>
  <si>
    <t>383g.mid</t>
  </si>
  <si>
    <t>Jesus' Call</t>
  </si>
  <si>
    <t>384g.mid</t>
  </si>
  <si>
    <t>Jesus Only</t>
  </si>
  <si>
    <t>385g.mid</t>
  </si>
  <si>
    <t>J. Zundel</t>
  </si>
  <si>
    <t>388g.mid</t>
  </si>
  <si>
    <t>Lux Eoi</t>
  </si>
  <si>
    <t>389g.mid</t>
  </si>
  <si>
    <t>Tell Me the Story</t>
  </si>
  <si>
    <t>394g.mid</t>
  </si>
  <si>
    <t>Waiting for the Morning</t>
  </si>
  <si>
    <t>G.F. Root</t>
  </si>
  <si>
    <t>395g.mid</t>
  </si>
  <si>
    <t>Seeds of Kindness</t>
  </si>
  <si>
    <t>398g.mid</t>
  </si>
  <si>
    <t>Source of Blessing</t>
  </si>
  <si>
    <t>Miss Dorothea Markham</t>
  </si>
  <si>
    <t>399g.mid</t>
  </si>
  <si>
    <t>Eternal Praise</t>
  </si>
  <si>
    <t>404g.mid</t>
  </si>
  <si>
    <t>Hull</t>
  </si>
  <si>
    <t>S. Chandler</t>
  </si>
  <si>
    <t>405g.mid</t>
  </si>
  <si>
    <t>Pembroke</t>
  </si>
  <si>
    <t>J. Foster</t>
  </si>
  <si>
    <t>408g.mid</t>
  </si>
  <si>
    <t>A. Radiger</t>
  </si>
  <si>
    <t>410g.mid</t>
  </si>
  <si>
    <t>Ravendale</t>
  </si>
  <si>
    <t>W. Stokes</t>
  </si>
  <si>
    <t>411g.mid</t>
  </si>
  <si>
    <t>Reuben</t>
  </si>
  <si>
    <t>S. Wakely</t>
  </si>
  <si>
    <t>412g.mid</t>
  </si>
  <si>
    <t>Praise the Saviour</t>
  </si>
  <si>
    <t>8.8.8.5. Trochaic</t>
  </si>
  <si>
    <t>415g.mid</t>
  </si>
  <si>
    <t>Ilsley</t>
  </si>
  <si>
    <t>416g.mid</t>
  </si>
  <si>
    <t>417g.mid</t>
  </si>
  <si>
    <t>418g.mid</t>
  </si>
  <si>
    <t>Gift Unspeakable</t>
  </si>
  <si>
    <t>426g.mid</t>
  </si>
  <si>
    <t>St. Margaret</t>
  </si>
  <si>
    <t>427g.mid</t>
  </si>
  <si>
    <t>428g.mid</t>
  </si>
  <si>
    <t>Bowmanville</t>
  </si>
  <si>
    <t>429g.mid</t>
  </si>
  <si>
    <t>Creation</t>
  </si>
  <si>
    <t>430g.mid</t>
  </si>
  <si>
    <t>Euphony</t>
  </si>
  <si>
    <t>H. Dennis</t>
  </si>
  <si>
    <t>431g.mid</t>
  </si>
  <si>
    <t>Gardenstown</t>
  </si>
  <si>
    <t>432g.mid</t>
  </si>
  <si>
    <t>Quemerford</t>
  </si>
  <si>
    <t>435g.mid</t>
  </si>
  <si>
    <t>436g.mid</t>
  </si>
  <si>
    <t>St. Matthias</t>
  </si>
  <si>
    <t>439g.mid</t>
  </si>
  <si>
    <t>Stella</t>
  </si>
  <si>
    <t>Old English Melody</t>
  </si>
  <si>
    <t>440g.mid</t>
  </si>
  <si>
    <t>There is Rest</t>
  </si>
  <si>
    <t>443g.mid</t>
  </si>
  <si>
    <t>Praise and Glory</t>
  </si>
  <si>
    <t>444g.mid</t>
  </si>
  <si>
    <t>Rachel</t>
  </si>
  <si>
    <t>445g.mid</t>
  </si>
  <si>
    <t>St. Sulien</t>
  </si>
  <si>
    <t>Edward Arthur</t>
  </si>
  <si>
    <t>446g.mid</t>
  </si>
  <si>
    <t>Willenhall</t>
  </si>
  <si>
    <t>R.A. Evershed</t>
  </si>
  <si>
    <t>449g.mid</t>
  </si>
  <si>
    <t>Almost Persuaded</t>
  </si>
  <si>
    <t>450g.mid</t>
  </si>
  <si>
    <t>Collingwood</t>
  </si>
  <si>
    <t>451g.mid</t>
  </si>
  <si>
    <t>Elland</t>
  </si>
  <si>
    <t>452g.mid</t>
  </si>
  <si>
    <t>E. Burgess</t>
  </si>
  <si>
    <t>453g.mid</t>
  </si>
  <si>
    <t>Lamorna</t>
  </si>
  <si>
    <t>456g.mid</t>
  </si>
  <si>
    <t>Lux Benigna</t>
  </si>
  <si>
    <t>457g.mid</t>
  </si>
  <si>
    <t>Horeb</t>
  </si>
  <si>
    <t>10.8.10.7.8.13.</t>
  </si>
  <si>
    <t>460g.mid</t>
  </si>
  <si>
    <t>Jesus is Calling</t>
  </si>
  <si>
    <t>461g.mid</t>
  </si>
  <si>
    <t>Erica</t>
  </si>
  <si>
    <t>462g.mid</t>
  </si>
  <si>
    <t>A Little While</t>
  </si>
  <si>
    <t>468g.mid</t>
  </si>
  <si>
    <t>Abide With Me</t>
  </si>
  <si>
    <t>469g.mid</t>
  </si>
  <si>
    <t>Alvesta</t>
  </si>
  <si>
    <t>470g.mid</t>
  </si>
  <si>
    <t>Autumn</t>
  </si>
  <si>
    <t>471g.mid</t>
  </si>
  <si>
    <t>Aziel</t>
  </si>
  <si>
    <t>472g.mid</t>
  </si>
  <si>
    <t>Ballyclare</t>
  </si>
  <si>
    <t>473g.mid</t>
  </si>
  <si>
    <t>Belfast</t>
  </si>
  <si>
    <t>474g.mid</t>
  </si>
  <si>
    <t>Beverley</t>
  </si>
  <si>
    <t>475g.mid</t>
  </si>
  <si>
    <t>Bexley</t>
  </si>
  <si>
    <t>476g.mid</t>
  </si>
  <si>
    <t>Birmingham</t>
  </si>
  <si>
    <t>From 'A Selection of Psalm Tunes'</t>
  </si>
  <si>
    <t>477g.mid</t>
  </si>
  <si>
    <t>Ellers</t>
  </si>
  <si>
    <t>482g.mid</t>
  </si>
  <si>
    <t>Ernan</t>
  </si>
  <si>
    <t>483g.mid</t>
  </si>
  <si>
    <t>Glenartney</t>
  </si>
  <si>
    <t>486g.mid</t>
  </si>
  <si>
    <t>He Loved Me</t>
  </si>
  <si>
    <t>487g.mid</t>
  </si>
  <si>
    <t>Heavenly Garden (Litany)</t>
  </si>
  <si>
    <t>488g.mid</t>
  </si>
  <si>
    <t>Hold Thou My Hand</t>
  </si>
  <si>
    <t>489g.mid</t>
  </si>
  <si>
    <t>In Hope</t>
  </si>
  <si>
    <t>490g.mid</t>
  </si>
  <si>
    <t>Laus Patri</t>
  </si>
  <si>
    <t>491g.mid</t>
  </si>
  <si>
    <t>C. Goudimel</t>
  </si>
  <si>
    <t>502g.mid</t>
  </si>
  <si>
    <t>Trimley</t>
  </si>
  <si>
    <t>From 'Geisliche Lied'</t>
  </si>
  <si>
    <t>503g.mid</t>
  </si>
  <si>
    <t>The Master's Return</t>
  </si>
  <si>
    <t>508g.mid</t>
  </si>
  <si>
    <t>Unde Et Memores</t>
  </si>
  <si>
    <t>509g.mid</t>
  </si>
  <si>
    <t>Yorkshire</t>
  </si>
  <si>
    <t>510g.mid</t>
  </si>
  <si>
    <t>Hanover</t>
  </si>
  <si>
    <t>10.10.11.11.</t>
  </si>
  <si>
    <t>511g.mid</t>
  </si>
  <si>
    <t>Haughton</t>
  </si>
  <si>
    <t>512g.mid</t>
  </si>
  <si>
    <t>O Perfect Love</t>
  </si>
  <si>
    <t>519g.mid</t>
  </si>
  <si>
    <t>Rhys</t>
  </si>
  <si>
    <t>520g.mid</t>
  </si>
  <si>
    <t>Doranne</t>
  </si>
  <si>
    <t>523g.mid</t>
  </si>
  <si>
    <t>Epiphany Hymn</t>
  </si>
  <si>
    <t>524g.mid</t>
  </si>
  <si>
    <t>Predestination</t>
  </si>
  <si>
    <t>B.D. Brooks</t>
  </si>
  <si>
    <t>527g.mid</t>
  </si>
  <si>
    <t>Skelton</t>
  </si>
  <si>
    <t>528g.mid</t>
  </si>
  <si>
    <t>529g.mid</t>
  </si>
  <si>
    <t>Stachys</t>
  </si>
  <si>
    <t>530g.mid</t>
  </si>
  <si>
    <t>Hermas</t>
  </si>
  <si>
    <t>539g.mid</t>
  </si>
  <si>
    <t>Look Away To Jesus</t>
  </si>
  <si>
    <t>540g.mid</t>
  </si>
  <si>
    <t>The Coming King</t>
  </si>
  <si>
    <t>543g.mid</t>
  </si>
  <si>
    <t>544g.mid</t>
  </si>
  <si>
    <t>Raemond</t>
  </si>
  <si>
    <t>547g.mid</t>
  </si>
  <si>
    <t>Trinity</t>
  </si>
  <si>
    <t>A. Stone</t>
  </si>
  <si>
    <t>548g.mid</t>
  </si>
  <si>
    <t>Passion Chorale</t>
  </si>
  <si>
    <t>549g.mid</t>
  </si>
  <si>
    <t>550g.mid</t>
  </si>
  <si>
    <t>File</t>
  </si>
  <si>
    <t>URL</t>
  </si>
  <si>
    <t>20g.mid.mp3</t>
  </si>
  <si>
    <t>21r.mid.mp3</t>
  </si>
  <si>
    <t>22r.mid.mp3</t>
  </si>
  <si>
    <t>23r.mid.mp3</t>
  </si>
  <si>
    <t>24r.mid.mp3</t>
  </si>
  <si>
    <t>25r.mid.mp3</t>
  </si>
  <si>
    <t>30r.mid.mp3</t>
  </si>
  <si>
    <t>34r.mid.mp3</t>
  </si>
  <si>
    <t>35r.mid.mp3</t>
  </si>
  <si>
    <t>36g.mid.mp3</t>
  </si>
  <si>
    <t>39g.mid.mp3</t>
  </si>
  <si>
    <t>39r.mid.mp3</t>
  </si>
  <si>
    <t>41r.mid.mp3</t>
  </si>
  <si>
    <t>42r.mid.mp3</t>
  </si>
  <si>
    <t>45g.mid.mp3</t>
  </si>
  <si>
    <t>48g.mid.mp3</t>
  </si>
  <si>
    <t>51r.mid.mp3</t>
  </si>
  <si>
    <t>52r.mid.mp3</t>
  </si>
  <si>
    <t>53g.mid.mp3</t>
  </si>
  <si>
    <t>53r.mid.mp3</t>
  </si>
  <si>
    <t>54r.mid.mp3</t>
  </si>
  <si>
    <t>58g.mid.mp3</t>
  </si>
  <si>
    <t>60r.mid.mp3</t>
  </si>
  <si>
    <t>61r.mid.mp3</t>
  </si>
  <si>
    <t>62r.mid.mp3</t>
  </si>
  <si>
    <t>63r.mid.mp3</t>
  </si>
  <si>
    <t>64r.mid.mp3</t>
  </si>
  <si>
    <t>65r.mid.mp3</t>
  </si>
  <si>
    <t>66r.mid.mp3</t>
  </si>
  <si>
    <t>67r.mid.mp3</t>
  </si>
  <si>
    <t>68r.mid.mp3</t>
  </si>
  <si>
    <t>69r.mid.mp3</t>
  </si>
  <si>
    <t>70r.mid.mp3</t>
  </si>
  <si>
    <t>71r.mid.mp3</t>
  </si>
  <si>
    <t>72r.mid.mp3</t>
  </si>
  <si>
    <t>73r.mid.mp3</t>
  </si>
  <si>
    <t>74r.mid.mp3</t>
  </si>
  <si>
    <t>76r.mid.mp3</t>
  </si>
  <si>
    <t>77r.mid.mp3</t>
  </si>
  <si>
    <t>78r.mid.mp3</t>
  </si>
  <si>
    <t>79r.mid.mp3</t>
  </si>
  <si>
    <t>80g.mid.mp3</t>
  </si>
  <si>
    <t>80r.mid.mp3</t>
  </si>
  <si>
    <t>81g.mid.mp3</t>
  </si>
  <si>
    <t>82g.mid.mp3</t>
  </si>
  <si>
    <t>82r.mid.mp3</t>
  </si>
  <si>
    <t>83g.mid.mp3</t>
  </si>
  <si>
    <t>83r.mid.mp3</t>
  </si>
  <si>
    <t>84g.mid.mp3</t>
  </si>
  <si>
    <t>84r.mid.mp3</t>
  </si>
  <si>
    <t>85g.mid.mp3</t>
  </si>
  <si>
    <t>86g.mid.mp3</t>
  </si>
  <si>
    <t>86r.mid.mp3</t>
  </si>
  <si>
    <t>87g.mid.mp3</t>
  </si>
  <si>
    <t>87r.mid.mp3</t>
  </si>
  <si>
    <t>88g.mid.mp3</t>
  </si>
  <si>
    <t>88r.mid.mp3</t>
  </si>
  <si>
    <t>89g.mid.mp3</t>
  </si>
  <si>
    <t>91g.mid.mp3</t>
  </si>
  <si>
    <t>95g.mid.mp3</t>
  </si>
  <si>
    <t>95r.mid.mp3</t>
  </si>
  <si>
    <t>96g.mid.mp3</t>
  </si>
  <si>
    <t>97g.mid.mp3</t>
  </si>
  <si>
    <t>97r.mid.mp3</t>
  </si>
  <si>
    <t>98r.mid.mp3</t>
  </si>
  <si>
    <t>99r.mid.mp3</t>
  </si>
  <si>
    <t>100g.mid.mp3</t>
  </si>
  <si>
    <t>100r.mid.mp3</t>
  </si>
  <si>
    <t>101g.mid.mp3</t>
  </si>
  <si>
    <t>101r.mid.mp3</t>
  </si>
  <si>
    <t>102g.mid.mp3</t>
  </si>
  <si>
    <t>102r.mid.mp3</t>
  </si>
  <si>
    <t>103g.mid.mp3</t>
  </si>
  <si>
    <t>103r.mid.mp3</t>
  </si>
  <si>
    <t>104g.mid.mp3</t>
  </si>
  <si>
    <t>104r.mid.mp3</t>
  </si>
  <si>
    <t>105g.mid.mp3</t>
  </si>
  <si>
    <t>105r.mid.mp3</t>
  </si>
  <si>
    <t>106r.mid.mp3</t>
  </si>
  <si>
    <t>107r.mid.mp3</t>
  </si>
  <si>
    <t>108r.mid.mp3</t>
  </si>
  <si>
    <t>109g.mid.mp3</t>
  </si>
  <si>
    <t>109r.mid.mp3</t>
  </si>
  <si>
    <t>110r.mid.mp3</t>
  </si>
  <si>
    <t>112g.mid.mp3</t>
  </si>
  <si>
    <t>115g.mid.mp3</t>
  </si>
  <si>
    <t>116g.mid.mp3</t>
  </si>
  <si>
    <t>116r.mid.mp3</t>
  </si>
  <si>
    <t>117g.mid.mp3</t>
  </si>
  <si>
    <t>118r.mid.mp3</t>
  </si>
  <si>
    <t>119r.mid.mp3</t>
  </si>
  <si>
    <t>120g.mid.mp3</t>
  </si>
  <si>
    <t>120r.mid.mp3</t>
  </si>
  <si>
    <t>121g.mid.mp3</t>
  </si>
  <si>
    <t>122g.mid.mp3</t>
  </si>
  <si>
    <t>123g.mid.mp3</t>
  </si>
  <si>
    <t>123r.mid.mp3</t>
  </si>
  <si>
    <t>124g.mid.mp3</t>
  </si>
  <si>
    <t>124r.mid.mp3</t>
  </si>
  <si>
    <t>126g.mid.mp3</t>
  </si>
  <si>
    <t>127g.mid.mp3</t>
  </si>
  <si>
    <t>128g.mid.mp3</t>
  </si>
  <si>
    <t>129g.mid.mp3</t>
  </si>
  <si>
    <t>131r.mid.mp3</t>
  </si>
  <si>
    <t>132r.mid.mp3</t>
  </si>
  <si>
    <t>133r.mid.mp3</t>
  </si>
  <si>
    <t>139r.mid.mp3</t>
  </si>
  <si>
    <t>140r.mid.mp3</t>
  </si>
  <si>
    <t>141r.mid.mp3</t>
  </si>
  <si>
    <t>144r.mid.mp3</t>
  </si>
  <si>
    <t>145r.mid.mp3</t>
  </si>
  <si>
    <t>146r.mid.mp3</t>
  </si>
  <si>
    <t>147r.mid.mp3</t>
  </si>
  <si>
    <t>148r.mid.mp3</t>
  </si>
  <si>
    <t>149r.mid.mp3</t>
  </si>
  <si>
    <t>160g.mid.mp3</t>
  </si>
  <si>
    <t>165r.mid.mp3</t>
  </si>
  <si>
    <t>166r.mid.mp3</t>
  </si>
  <si>
    <t>167g.mid.mp3</t>
  </si>
  <si>
    <t>172g.mid.mp3</t>
  </si>
  <si>
    <t>173g.mid.mp3</t>
  </si>
  <si>
    <t>173r.mid.mp3</t>
  </si>
  <si>
    <t>174g.mid.mp3</t>
  </si>
  <si>
    <t>174r.mid.mp3</t>
  </si>
  <si>
    <t>176g.mid.mp3</t>
  </si>
  <si>
    <t>177r.mid.mp3</t>
  </si>
  <si>
    <t>178g.mid.mp3</t>
  </si>
  <si>
    <t>178r.mid.mp3</t>
  </si>
  <si>
    <t>179g.mid.mp3</t>
  </si>
  <si>
    <t>179r.mid.mp3</t>
  </si>
  <si>
    <t>180g.mid.mp3</t>
  </si>
  <si>
    <t>180r.mid.mp3</t>
  </si>
  <si>
    <t>181g.mid.mp3</t>
  </si>
  <si>
    <t>181r.mid.mp3</t>
  </si>
  <si>
    <t>182g.mid.mp3</t>
  </si>
  <si>
    <t>182r.mid.mp3</t>
  </si>
  <si>
    <t>183g.mid.mp3</t>
  </si>
  <si>
    <t>183r.mid.mp3</t>
  </si>
  <si>
    <t>184r.mid.mp3</t>
  </si>
  <si>
    <t>185g.mid.mp3</t>
  </si>
  <si>
    <t>185r.mid.mp3</t>
  </si>
  <si>
    <t>186g.mid.mp3</t>
  </si>
  <si>
    <t>186r.mid.mp3</t>
  </si>
  <si>
    <t>187g.mid.mp3</t>
  </si>
  <si>
    <t>187r.mid.mp3</t>
  </si>
  <si>
    <t>188g.mid.mp3</t>
  </si>
  <si>
    <t>188r.mid.mp3</t>
  </si>
  <si>
    <t>189g.mid.mp3</t>
  </si>
  <si>
    <t>189r.mid.mp3</t>
  </si>
  <si>
    <t>190g.mid.mp3</t>
  </si>
  <si>
    <t>190r.mid.mp3</t>
  </si>
  <si>
    <t>191g.mid.mp3</t>
  </si>
  <si>
    <t>191r.mid.mp3</t>
  </si>
  <si>
    <t>192g.mid.mp3</t>
  </si>
  <si>
    <t>192r.mid.mp3</t>
  </si>
  <si>
    <t>193g.mid.mp3</t>
  </si>
  <si>
    <t>193r.mid.mp3</t>
  </si>
  <si>
    <t>194g.mid.mp3</t>
  </si>
  <si>
    <t>194r.mid.mp3</t>
  </si>
  <si>
    <t>195g.mid.mp3</t>
  </si>
  <si>
    <t>195r.mid.mp3</t>
  </si>
  <si>
    <t>196g.mid.mp3</t>
  </si>
  <si>
    <t>196r.mid.mp3</t>
  </si>
  <si>
    <t>197g.mid.mp3</t>
  </si>
  <si>
    <t>198r.mid.mp3</t>
  </si>
  <si>
    <t>200g.mid.mp3</t>
  </si>
  <si>
    <t>201g.mid.mp3</t>
  </si>
  <si>
    <t>202g.mid.mp3</t>
  </si>
  <si>
    <t>203g.mid.mp3</t>
  </si>
  <si>
    <t>204g.mid.mp3</t>
  </si>
  <si>
    <t>204r.mid.mp3</t>
  </si>
  <si>
    <t>205r.mid.mp3</t>
  </si>
  <si>
    <t>209g.mid.mp3</t>
  </si>
  <si>
    <t>210g.mid.mp3</t>
  </si>
  <si>
    <t>211.mid.mp3</t>
  </si>
  <si>
    <t>212.mid.mp3</t>
  </si>
  <si>
    <t>212r.mid.mp3</t>
  </si>
  <si>
    <t>213g.mid.mp3</t>
  </si>
  <si>
    <t>213r.mid.mp3</t>
  </si>
  <si>
    <t>214g.mid.mp3</t>
  </si>
  <si>
    <t>214r.mid.mp3</t>
  </si>
  <si>
    <t>215r.mid.mp3</t>
  </si>
  <si>
    <t>226g.mid.mp3</t>
  </si>
  <si>
    <t>228g.mid.mp3</t>
  </si>
  <si>
    <t>229g.mid.mp3</t>
  </si>
  <si>
    <t>231g.mid.mp3</t>
  </si>
  <si>
    <t>232g.mid.mp3</t>
  </si>
  <si>
    <t>233g.mid.mp3</t>
  </si>
  <si>
    <t>234g.mid.mp3</t>
  </si>
  <si>
    <t>234r.mid.mp3</t>
  </si>
  <si>
    <t>235g.mid.mp3</t>
  </si>
  <si>
    <t>235r.mid.mp3</t>
  </si>
  <si>
    <t>236g.mid.mp3</t>
  </si>
  <si>
    <t>236r.mid.mp3</t>
  </si>
  <si>
    <t>237g.mid.mp3</t>
  </si>
  <si>
    <t>237r.mid.mp3</t>
  </si>
  <si>
    <t>238g.mid.mp3</t>
  </si>
  <si>
    <t>238r.mid.mp3</t>
  </si>
  <si>
    <t>239g.mid.mp3</t>
  </si>
  <si>
    <t>240g.mid.mp3</t>
  </si>
  <si>
    <t>241g.mid.mp3</t>
  </si>
  <si>
    <t>242g.mid.mp3</t>
  </si>
  <si>
    <t>243r.mid.mp3</t>
  </si>
  <si>
    <t>244g.mid.mp3</t>
  </si>
  <si>
    <t>244r.mid.mp3</t>
  </si>
  <si>
    <t>245g.mid.mp3</t>
  </si>
  <si>
    <t>245r.mid.mp3</t>
  </si>
  <si>
    <t>246g.mid.mp3</t>
  </si>
  <si>
    <t>246r.mid.mp3</t>
  </si>
  <si>
    <t>247r.mid.mp3</t>
  </si>
  <si>
    <t>248g.mid.mp3</t>
  </si>
  <si>
    <t>248r.mid.mp3</t>
  </si>
  <si>
    <t>249g.mid.mp3</t>
  </si>
  <si>
    <t>249r.mid.mp3</t>
  </si>
  <si>
    <t>250g.mid.mp3</t>
  </si>
  <si>
    <t>250r.mid.mp3</t>
  </si>
  <si>
    <t>251g.mid.mp3</t>
  </si>
  <si>
    <t>252g.mid.mp3</t>
  </si>
  <si>
    <t>252r.mid.mp3</t>
  </si>
  <si>
    <t>253g.mid.mp3</t>
  </si>
  <si>
    <t>253r.mid.mp3</t>
  </si>
  <si>
    <t>254g.mid.mp3</t>
  </si>
  <si>
    <t>254r.mid.mp3</t>
  </si>
  <si>
    <t>255g.mid.mp3</t>
  </si>
  <si>
    <t>255r.mid.mp3</t>
  </si>
  <si>
    <t>256g.mid.mp3</t>
  </si>
  <si>
    <t>256r.mid.mp3</t>
  </si>
  <si>
    <t>257g.mid.mp3</t>
  </si>
  <si>
    <t>257r.mid.mp3</t>
  </si>
  <si>
    <t>258g.mid.mp3</t>
  </si>
  <si>
    <t>258r.mid.mp3</t>
  </si>
  <si>
    <t>259g.mid.mp3</t>
  </si>
  <si>
    <t>260g.mid.mp3</t>
  </si>
  <si>
    <t>261g.mid.mp3</t>
  </si>
  <si>
    <t>261r.mid.mp3</t>
  </si>
  <si>
    <t>262r.mid.mp3</t>
  </si>
  <si>
    <t>263g.mid.mp3</t>
  </si>
  <si>
    <t>263r.mid.mp3</t>
  </si>
  <si>
    <t>264g.mid.mp3</t>
  </si>
  <si>
    <t>264r.mid.mp3</t>
  </si>
  <si>
    <t>265r.mid.mp3</t>
  </si>
  <si>
    <t>266r.mid.mp3</t>
  </si>
  <si>
    <t>267r.mid.mp3</t>
  </si>
  <si>
    <t>268r.mid.mp3</t>
  </si>
  <si>
    <t>269r.mid.mp3</t>
  </si>
  <si>
    <t>270r.mid.mp3</t>
  </si>
  <si>
    <t>271g.mid.mp3</t>
  </si>
  <si>
    <t>271r.mid.mp3</t>
  </si>
  <si>
    <t>272r.mid.mp3</t>
  </si>
  <si>
    <t>274r.mid.mp3</t>
  </si>
  <si>
    <t>275g.mid.mp3</t>
  </si>
  <si>
    <t>275r.mid.mp3</t>
  </si>
  <si>
    <t>277r.mid.mp3</t>
  </si>
  <si>
    <t>278g.mid.mp3</t>
  </si>
  <si>
    <t>278r.mid.mp3</t>
  </si>
  <si>
    <t>279r.mid.mp3</t>
  </si>
  <si>
    <t>280g.mid.mp3</t>
  </si>
  <si>
    <t>280r.mid.mp3</t>
  </si>
  <si>
    <t>281r.mid.mp3</t>
  </si>
  <si>
    <t>282r.mid.mp3</t>
  </si>
  <si>
    <t>283r.mid.mp3</t>
  </si>
  <si>
    <t>284g.mid.mp3</t>
  </si>
  <si>
    <t>284r.mid.mp3</t>
  </si>
  <si>
    <t>285g.mid.mp3</t>
  </si>
  <si>
    <t>285r.mid.mp3</t>
  </si>
  <si>
    <t>286g.mid.mp3</t>
  </si>
  <si>
    <t>286r.mid.mp3</t>
  </si>
  <si>
    <t>287g.mid.mp3</t>
  </si>
  <si>
    <t>287r.mid.mp3</t>
  </si>
  <si>
    <t>288g.mid.mp3</t>
  </si>
  <si>
    <t>288r.mid.mp3</t>
  </si>
  <si>
    <t>289r.mid.mp3</t>
  </si>
  <si>
    <t>290r.mid.mp3</t>
  </si>
  <si>
    <t>291r.mid.mp3</t>
  </si>
  <si>
    <t>292r.mid.mp3</t>
  </si>
  <si>
    <t>293r.mid.mp3</t>
  </si>
  <si>
    <t>294r.mid.mp3</t>
  </si>
  <si>
    <t>295r.mid.mp3</t>
  </si>
  <si>
    <t>296r.mid.mp3</t>
  </si>
  <si>
    <t>297r.mid.mp3</t>
  </si>
  <si>
    <t>298g.mid.mp3</t>
  </si>
  <si>
    <t>299g.mid.mp3</t>
  </si>
  <si>
    <t>300g.mid.mp3</t>
  </si>
  <si>
    <t>302g.mid.mp3</t>
  </si>
  <si>
    <t>303g.mid.mp3</t>
  </si>
  <si>
    <t>305g.mid.mp3</t>
  </si>
  <si>
    <t>307g.mid.mp3</t>
  </si>
  <si>
    <t>308g.mid.mp3</t>
  </si>
  <si>
    <t>310g.mid.mp3</t>
  </si>
  <si>
    <t>311g.mid.mp3</t>
  </si>
  <si>
    <t>316g.mid.mp3</t>
  </si>
  <si>
    <t>331g.mid.mp3</t>
  </si>
  <si>
    <t>334g.mid.mp3</t>
  </si>
  <si>
    <t>343g.mid.mp3</t>
  </si>
  <si>
    <t>351g.mid.mp3</t>
  </si>
  <si>
    <t>353g.mid.mp3</t>
  </si>
  <si>
    <t>356.mid.mp3</t>
  </si>
  <si>
    <t>357g.mid.mp3</t>
  </si>
  <si>
    <t>358g.mid.mp3</t>
  </si>
  <si>
    <t>360g.mid.mp3</t>
  </si>
  <si>
    <t>361g.mid.mp3</t>
  </si>
  <si>
    <t>362g.mid.mp3</t>
  </si>
  <si>
    <t>363g.mid.mp3</t>
  </si>
  <si>
    <t>364g.mid.mp3</t>
  </si>
  <si>
    <t>365g.mid.mp3</t>
  </si>
  <si>
    <t>366g.mid.mp3</t>
  </si>
  <si>
    <t>367g.mid.mp3</t>
  </si>
  <si>
    <t>368g.mid.mp3</t>
  </si>
  <si>
    <t>369g.mid.mp3</t>
  </si>
  <si>
    <t>370g.mid.mp3</t>
  </si>
  <si>
    <t>371g.mid.mp3</t>
  </si>
  <si>
    <t>372g.mid.mp3</t>
  </si>
  <si>
    <t>373g.mid.mp3</t>
  </si>
  <si>
    <t>374g.mid.mp3</t>
  </si>
  <si>
    <t>375g.mid.mp3</t>
  </si>
  <si>
    <t>376g.mid.mp3</t>
  </si>
  <si>
    <t>377g.mid.mp3</t>
  </si>
  <si>
    <t>378g.mid.mp3</t>
  </si>
  <si>
    <t>379g.mid.mp3</t>
  </si>
  <si>
    <t>381g.mid.mp3</t>
  </si>
  <si>
    <t>382g.mid.mp3</t>
  </si>
  <si>
    <t>383g.mid.mp3</t>
  </si>
  <si>
    <t>384g.mid.mp3</t>
  </si>
  <si>
    <t>385g.mid.mp3</t>
  </si>
  <si>
    <t>387g.mid.mp3</t>
  </si>
  <si>
    <t>388g.mid.mp3</t>
  </si>
  <si>
    <t>389g.mid.mp3</t>
  </si>
  <si>
    <t>390g.mid.mp3</t>
  </si>
  <si>
    <t>393g.mid.mp3</t>
  </si>
  <si>
    <t>395g.mid.mp3</t>
  </si>
  <si>
    <t>396g.mid.mp3</t>
  </si>
  <si>
    <t>398g.mid.mp3</t>
  </si>
  <si>
    <t>399g.mid.mp3</t>
  </si>
  <si>
    <t>400g.mid.mp3</t>
  </si>
  <si>
    <t>401g.mid.mp3</t>
  </si>
  <si>
    <t>403g.mid.mp3</t>
  </si>
  <si>
    <t>404g.mid.mp3</t>
  </si>
  <si>
    <t>405g.mid.mp3</t>
  </si>
  <si>
    <t>406g.mid.mp3</t>
  </si>
  <si>
    <t>407g.mid.mp3</t>
  </si>
  <si>
    <t>408g.mid.mp3</t>
  </si>
  <si>
    <t>410g.mid.mp3</t>
  </si>
  <si>
    <t>411g.mid.mp3</t>
  </si>
  <si>
    <t>412g.mid.mp3</t>
  </si>
  <si>
    <t>417g.mid.mp3</t>
  </si>
  <si>
    <t>418g.mid.mp3</t>
  </si>
  <si>
    <t>419g.mid.mp3</t>
  </si>
  <si>
    <t>427g.mid.mp3</t>
  </si>
  <si>
    <t>428g.mid.mp3</t>
  </si>
  <si>
    <t>429g.mid.mp3</t>
  </si>
  <si>
    <t>430g.mid.mp3</t>
  </si>
  <si>
    <t>431g.mid.mp3</t>
  </si>
  <si>
    <t>432g.mid.mp3</t>
  </si>
  <si>
    <t>434g.mid.mp3</t>
  </si>
  <si>
    <t>435g.mid.mp3</t>
  </si>
  <si>
    <t>436g.mid.mp3</t>
  </si>
  <si>
    <t>439g.mid.mp3</t>
  </si>
  <si>
    <t>440g.mid.mp3</t>
  </si>
  <si>
    <t>445g.mid.mp3</t>
  </si>
  <si>
    <t>447g.mid.mp3</t>
  </si>
  <si>
    <t>449g.mid.mp3</t>
  </si>
  <si>
    <t>450g.mid.mp3</t>
  </si>
  <si>
    <t>451g.mid.mp3</t>
  </si>
  <si>
    <t>453g.mid.mp3</t>
  </si>
  <si>
    <t>454g.mid.mp3</t>
  </si>
  <si>
    <t>456g.mid.mp3</t>
  </si>
  <si>
    <t>457g.mid.mp3</t>
  </si>
  <si>
    <t>458g.mid.mp3</t>
  </si>
  <si>
    <t>459g.mid.mp3</t>
  </si>
  <si>
    <t>460g.mid.mp3</t>
  </si>
  <si>
    <t>461g.mid.mp3</t>
  </si>
  <si>
    <t>462g.mid.mp3</t>
  </si>
  <si>
    <t>464g.mid.mp3</t>
  </si>
  <si>
    <t>468g.mid.mp3</t>
  </si>
  <si>
    <t>469g.mid.mp3</t>
  </si>
  <si>
    <t>470g.mid.mp3</t>
  </si>
  <si>
    <t>471g.mid.mp3</t>
  </si>
  <si>
    <t>472g.mid.mp3</t>
  </si>
  <si>
    <t>473g.mid.mp3</t>
  </si>
  <si>
    <t>474g.mid.mp3</t>
  </si>
  <si>
    <t>475g.mid.mp3</t>
  </si>
  <si>
    <t>476g.mid.mp3</t>
  </si>
  <si>
    <t>477g.mid.mp3</t>
  </si>
  <si>
    <t>478g.mid.mp3</t>
  </si>
  <si>
    <t>480g.mid.mp3</t>
  </si>
  <si>
    <t>482g.mid.mp3</t>
  </si>
  <si>
    <t>483g.mid.mp3</t>
  </si>
  <si>
    <t>484g.mid.mp3</t>
  </si>
  <si>
    <t>486g.mid.mp3</t>
  </si>
  <si>
    <t>487g.mid.mp3</t>
  </si>
  <si>
    <t>488g.mid.mp3</t>
  </si>
  <si>
    <t>489g.mid.mp3</t>
  </si>
  <si>
    <t>490g.mid.mp3</t>
  </si>
  <si>
    <t>491g.mid.mp3</t>
  </si>
  <si>
    <t>493g.mid.mp3</t>
  </si>
  <si>
    <t>497g.mid.mp3</t>
  </si>
  <si>
    <t>499g.mid.mp3</t>
  </si>
  <si>
    <t>500g.mid.mp3</t>
  </si>
  <si>
    <t>501g.mid.mp3</t>
  </si>
  <si>
    <t>502g.mid.mp3</t>
  </si>
  <si>
    <t>503g.mid.mp3</t>
  </si>
  <si>
    <t>506g.mid.mp3</t>
  </si>
  <si>
    <t>507g.mid.mp3</t>
  </si>
  <si>
    <t>508g.mid.mp3</t>
  </si>
  <si>
    <t>509g.mid.mp3</t>
  </si>
  <si>
    <t>510g.mid.mp3</t>
  </si>
  <si>
    <t>511g.mid.mp3</t>
  </si>
  <si>
    <t>512g.mid.mp3</t>
  </si>
  <si>
    <t>513g.mid.mp3</t>
  </si>
  <si>
    <t>514g.mid.mp3</t>
  </si>
  <si>
    <t>516g.mid.mp3</t>
  </si>
  <si>
    <t>517g.mid.mp3</t>
  </si>
  <si>
    <t>518g.mid.mp3</t>
  </si>
  <si>
    <t>519g.mid.mp3</t>
  </si>
  <si>
    <t>520g.mid.mp3</t>
  </si>
  <si>
    <t>522g.mid.mp3</t>
  </si>
  <si>
    <t>523g.mid.mp3</t>
  </si>
  <si>
    <t>524g.mid.mp3</t>
  </si>
  <si>
    <t>526g.mid.mp3</t>
  </si>
  <si>
    <t>527g.mid.mp3</t>
  </si>
  <si>
    <t>528g.mid.mp3</t>
  </si>
  <si>
    <t>529g.mid.mp3</t>
  </si>
  <si>
    <t>530g.mid.mp3</t>
  </si>
  <si>
    <t>531g.mid.mp3</t>
  </si>
  <si>
    <t>532g.mid.mp3</t>
  </si>
  <si>
    <t>533g.mid.mp3</t>
  </si>
  <si>
    <t>535g.mid.mp3</t>
  </si>
  <si>
    <t>536g.mid.mp3</t>
  </si>
  <si>
    <t>537g.mid.mp3</t>
  </si>
  <si>
    <t>538g.mid.mp3</t>
  </si>
  <si>
    <t>539g.mid.mp3</t>
  </si>
  <si>
    <t>540g.mid.mp3</t>
  </si>
  <si>
    <t>541g.mid.mp3</t>
  </si>
  <si>
    <t>543g.mid.mp3</t>
  </si>
  <si>
    <t>544g.mid.mp3</t>
  </si>
  <si>
    <t>545g.mid.mp3</t>
  </si>
  <si>
    <t>546g.mid.mp3</t>
  </si>
  <si>
    <t>547g.mid.mp3</t>
  </si>
  <si>
    <t>548g.mid.mp3</t>
  </si>
  <si>
    <t>549g.mid.mp3</t>
  </si>
  <si>
    <t>551g.mid.mp3</t>
  </si>
  <si>
    <t>553g.mid.mp3</t>
  </si>
  <si>
    <t>554g.mid.mp3</t>
  </si>
  <si>
    <t>mp3_file</t>
  </si>
  <si>
    <t>Tune Link</t>
  </si>
  <si>
    <t>Set Attributes</t>
  </si>
  <si>
    <t>Book Name</t>
  </si>
  <si>
    <t>80g.mid</t>
  </si>
  <si>
    <t>TBC</t>
  </si>
  <si>
    <t>425g.mid</t>
  </si>
  <si>
    <t>407g.mid</t>
  </si>
  <si>
    <t>406g.mid</t>
  </si>
  <si>
    <t>303g.mid</t>
  </si>
  <si>
    <t>253g.mid</t>
  </si>
  <si>
    <t>209g.mid</t>
  </si>
  <si>
    <t>Raw</t>
  </si>
  <si>
    <t>TuneURL</t>
  </si>
  <si>
    <t>Dactylic</t>
  </si>
  <si>
    <t>10.7.10.7.</t>
  </si>
  <si>
    <t>11.7.11.7.</t>
  </si>
  <si>
    <t>10.7.10.7.10.10.7.7.</t>
  </si>
  <si>
    <t>10.9.10.9.</t>
  </si>
  <si>
    <t>11.11.10.8.</t>
  </si>
  <si>
    <t>Trochaic</t>
  </si>
  <si>
    <t>12.13.13.10.</t>
  </si>
  <si>
    <t>13.12.13.12.</t>
  </si>
  <si>
    <t>4.7.11.8.</t>
  </si>
  <si>
    <t>6.4.6.4.6.4.6.</t>
  </si>
  <si>
    <t>6.5.6.5.</t>
  </si>
  <si>
    <t>6.5.6.5.6.5.6.5.</t>
  </si>
  <si>
    <t>6.6.4.6.6.4.</t>
  </si>
  <si>
    <t>6.6.8.6.</t>
  </si>
  <si>
    <t>6.6.8.6.6.6.8.6.</t>
  </si>
  <si>
    <t>7.8.7.8.7.7.</t>
  </si>
  <si>
    <t>8.3.8.8.</t>
  </si>
  <si>
    <t>8.6.8.6.</t>
  </si>
  <si>
    <t>8.6.8.6.8.6.8.6.</t>
  </si>
  <si>
    <t>8.6.8.8.</t>
  </si>
  <si>
    <t>8.6.8.8.6.</t>
  </si>
  <si>
    <t>5.7.8.7.</t>
  </si>
  <si>
    <t>Iambic</t>
  </si>
  <si>
    <t>8.7.8.7.4.</t>
  </si>
  <si>
    <t>8.7.8.7.4.4.7.7.</t>
  </si>
  <si>
    <t>8.7.8.7.7.7.8.7.</t>
  </si>
  <si>
    <t>8.7.8.7.8.8.</t>
  </si>
  <si>
    <t>8.7.8.7.8.8.7.</t>
  </si>
  <si>
    <t>8.8.4.8.8.8.</t>
  </si>
  <si>
    <t>8.8.8.8.8.8.8.8.</t>
  </si>
  <si>
    <t>9.7.9.7.</t>
  </si>
  <si>
    <t>9.8.9.8.8.8.</t>
  </si>
  <si>
    <t>9.8.9.8.9.9.</t>
  </si>
  <si>
    <t>Meter</t>
  </si>
  <si>
    <t>MeterId</t>
  </si>
  <si>
    <t>Alt</t>
  </si>
  <si>
    <t>Sort</t>
  </si>
  <si>
    <t>MeterLookup</t>
  </si>
  <si>
    <t>Key</t>
  </si>
  <si>
    <t>Rhythm</t>
  </si>
  <si>
    <t>Agnus Dei</t>
  </si>
  <si>
    <t>Blue Book</t>
  </si>
  <si>
    <t>Tune Name</t>
  </si>
  <si>
    <t>Tune No</t>
  </si>
  <si>
    <t>Book</t>
  </si>
  <si>
    <t>Aijeleth-Shahar</t>
  </si>
  <si>
    <t>Alleluia</t>
  </si>
  <si>
    <t>Ashgrove</t>
  </si>
  <si>
    <t>Atonement</t>
  </si>
  <si>
    <t>Bethany (Smart)</t>
  </si>
  <si>
    <t>Bethany (Mason)</t>
  </si>
  <si>
    <t>Belmont (Webbe)</t>
  </si>
  <si>
    <t>Belmont (Haydn)</t>
  </si>
  <si>
    <t>Berry Head</t>
  </si>
  <si>
    <t>Bethany (Walker)</t>
  </si>
  <si>
    <t>Birkdale</t>
  </si>
  <si>
    <t>Boundless Love</t>
  </si>
  <si>
    <t>Bredon</t>
  </si>
  <si>
    <t>Note</t>
  </si>
  <si>
    <t>Brixham</t>
  </si>
  <si>
    <t>B. J. Dale</t>
  </si>
  <si>
    <t>Alt_Meter</t>
  </si>
  <si>
    <t>W. Blow</t>
  </si>
  <si>
    <t>W. C. Fursland</t>
  </si>
  <si>
    <t>Dr S. S. Wesley</t>
  </si>
  <si>
    <t>Miss S. M. Walker</t>
  </si>
  <si>
    <t>Cambridge (Harrison)</t>
  </si>
  <si>
    <t>R. A. Evershead</t>
  </si>
  <si>
    <t>L. O. Emerson</t>
  </si>
  <si>
    <t>Covenant (Millar)</t>
  </si>
  <si>
    <t>Cwm Rhondda</t>
  </si>
  <si>
    <t>Abington</t>
  </si>
  <si>
    <t>Adoration (Thornton)</t>
  </si>
  <si>
    <t>Adoration (Collins)</t>
  </si>
  <si>
    <t>Adoration (Righton)</t>
  </si>
  <si>
    <t>Avoca (Parkes)</t>
  </si>
  <si>
    <t>Avoca (Gilbert)</t>
  </si>
  <si>
    <t>Dr. J. B. Dykes</t>
  </si>
  <si>
    <t>A. L. Bloomfield</t>
  </si>
  <si>
    <t>G. C. Stebbins</t>
  </si>
  <si>
    <t>F. C. Maker</t>
  </si>
  <si>
    <t>F. H. Alden</t>
  </si>
  <si>
    <t>J. H. Righton</t>
  </si>
  <si>
    <t>Mrs. J. H. Cuckney</t>
  </si>
  <si>
    <t>C. T. Lambert</t>
  </si>
  <si>
    <t>P. P. Bliss</t>
  </si>
  <si>
    <t>C. E. Willing</t>
  </si>
  <si>
    <t>Year</t>
  </si>
  <si>
    <t>D. R. C. McCorkell</t>
  </si>
  <si>
    <t>Miss E. C. Shanks</t>
  </si>
  <si>
    <t>J. T. Lightwood</t>
  </si>
  <si>
    <t>E. J. Judd</t>
  </si>
  <si>
    <t>Dr. S. S. Wesley</t>
  </si>
  <si>
    <t>A. E. Lord</t>
  </si>
  <si>
    <t>R. E. Frizelle</t>
  </si>
  <si>
    <t>H. T. Smart</t>
  </si>
  <si>
    <t>C. T. McCorkell</t>
  </si>
  <si>
    <t>W. P. Rowlands</t>
  </si>
  <si>
    <t>Mrs. J. F. Knapp</t>
  </si>
  <si>
    <t>I. E. Rummery</t>
  </si>
  <si>
    <t>F. H. Parkes</t>
  </si>
  <si>
    <t>T. B. Southgate</t>
  </si>
  <si>
    <t>Dr. L. G. Hayne</t>
  </si>
  <si>
    <t>R. A. Evershed</t>
  </si>
  <si>
    <t>Mrs. A. C. Stowell</t>
  </si>
  <si>
    <t>Cambridge (Fishwick)</t>
  </si>
  <si>
    <t>C. Fishwick</t>
  </si>
  <si>
    <t>Chalvey</t>
  </si>
  <si>
    <t>Dr L. G. Hayne</t>
  </si>
  <si>
    <t>Changeless Love</t>
  </si>
  <si>
    <t>Chardstock</t>
  </si>
  <si>
    <t>Mrs C. T. Lambert</t>
  </si>
  <si>
    <t>tune_Author</t>
  </si>
  <si>
    <t/>
  </si>
  <si>
    <t>Miss Dorothy Markham</t>
  </si>
  <si>
    <t>C. T. Lamber</t>
  </si>
  <si>
    <t>Mrs H. B. Cowie</t>
  </si>
  <si>
    <t>A. F. Tipler</t>
  </si>
  <si>
    <t>A. F. Gilbert</t>
  </si>
  <si>
    <t>Michael Lewis</t>
  </si>
  <si>
    <t>D. Alan Clarke</t>
  </si>
  <si>
    <t>Cherhill</t>
  </si>
  <si>
    <t>Miss L. A. Thangue</t>
  </si>
  <si>
    <t>Claremont</t>
  </si>
  <si>
    <t>Clemancy</t>
  </si>
  <si>
    <t>Coena Domini</t>
  </si>
  <si>
    <t>Cooke's Chant</t>
  </si>
  <si>
    <t>W. H. Cooke</t>
  </si>
  <si>
    <t>Corio</t>
  </si>
  <si>
    <t>H. W. Samuel</t>
  </si>
  <si>
    <t>Covenant (Stainer)</t>
  </si>
  <si>
    <t>Credo</t>
  </si>
  <si>
    <t>Crimond</t>
  </si>
  <si>
    <t>D. Grant</t>
  </si>
  <si>
    <t>Croydon</t>
  </si>
  <si>
    <t>Miss H. B. Cowie</t>
  </si>
  <si>
    <t>Carlton</t>
  </si>
  <si>
    <t>Constance</t>
  </si>
  <si>
    <t>H. F. Morley</t>
  </si>
  <si>
    <t>J. W. Elliott</t>
  </si>
  <si>
    <t>J. F. Taylor</t>
  </si>
  <si>
    <t>Miss D. A. Elderton</t>
  </si>
  <si>
    <t>Dr J. B. Dykes</t>
  </si>
  <si>
    <t>Mrs. H. B. Cowie</t>
  </si>
  <si>
    <t>J. N. Barrett</t>
  </si>
  <si>
    <t>W. H. Doane</t>
  </si>
  <si>
    <t>J. A. P. Schulz</t>
  </si>
  <si>
    <t>Dublin (Stevenson)</t>
  </si>
  <si>
    <t>Dublin (Trench)</t>
  </si>
  <si>
    <t>J. C. Trench</t>
  </si>
  <si>
    <t>Dunfermline</t>
  </si>
  <si>
    <t>Dalkeith</t>
  </si>
  <si>
    <t>T. Hewlett</t>
  </si>
  <si>
    <t>Dies Dominica</t>
  </si>
  <si>
    <t>Dr. J. W. Dykes</t>
  </si>
  <si>
    <t>Dix</t>
  </si>
  <si>
    <t>C. Kocher</t>
  </si>
  <si>
    <t>Dulwich</t>
  </si>
  <si>
    <t>J. F. Harvey</t>
  </si>
  <si>
    <t>C. T. Lambers</t>
  </si>
  <si>
    <t>W. G. Fischer</t>
  </si>
  <si>
    <t>Eastover</t>
  </si>
  <si>
    <t>F. H. Pharkes</t>
  </si>
  <si>
    <t>Eboracum</t>
  </si>
  <si>
    <t>Alexander Thomson</t>
  </si>
  <si>
    <t>Elberfeld</t>
  </si>
  <si>
    <t>Dr. E. J. Hopkins</t>
  </si>
  <si>
    <t>J. F. Thrupp</t>
  </si>
  <si>
    <t>Eton College</t>
  </si>
  <si>
    <t>W. H. Havergal</t>
  </si>
  <si>
    <t>A. P. Gipps</t>
  </si>
  <si>
    <t>J. H. Killick</t>
  </si>
  <si>
    <t>Dr. W. H. Monk</t>
  </si>
  <si>
    <t>W. R. Mason</t>
  </si>
  <si>
    <t>F. S. Pope</t>
  </si>
  <si>
    <t>Miss. A. E. Housman</t>
  </si>
  <si>
    <t>P. S. Pope</t>
  </si>
  <si>
    <t>Excellence</t>
  </si>
  <si>
    <t>Miss D. L. Johnston</t>
  </si>
  <si>
    <t>Exaltation (Walker)</t>
  </si>
  <si>
    <t>Exaltation (Blanche)</t>
  </si>
  <si>
    <t>Exaltation (Pharkes)</t>
  </si>
  <si>
    <t>Foundation</t>
  </si>
  <si>
    <t>Hayden</t>
  </si>
  <si>
    <t>Galilee</t>
  </si>
  <si>
    <t>Dr P. Armes</t>
  </si>
  <si>
    <t>W. B. Bradbury</t>
  </si>
  <si>
    <t>C. H. Gaskin</t>
  </si>
  <si>
    <t>Gloria Jehovah</t>
  </si>
  <si>
    <t>8.5.8.3</t>
  </si>
  <si>
    <t>W. C. Pridham</t>
  </si>
  <si>
    <t>Golden Sheaves</t>
  </si>
  <si>
    <t>H. R. H. Prince Albert</t>
  </si>
  <si>
    <t>J. M. Haydn</t>
  </si>
  <si>
    <t>Miss F. R. Jones</t>
  </si>
  <si>
    <t>Hearts Awakening</t>
  </si>
  <si>
    <t>Heathlands</t>
  </si>
  <si>
    <t>W. J. Maher</t>
  </si>
  <si>
    <t>Miss F. R. Havergal</t>
  </si>
  <si>
    <t>His Forever</t>
  </si>
  <si>
    <t>H. P. Main</t>
  </si>
  <si>
    <t>A. H. Brown</t>
  </si>
  <si>
    <t>Holy Church</t>
  </si>
  <si>
    <t>P. J. L. Hindle</t>
  </si>
  <si>
    <t>Houghton</t>
  </si>
  <si>
    <t>Dr H. J. Gauntlett</t>
  </si>
  <si>
    <t>Howard</t>
  </si>
  <si>
    <t>R. H. Prichard</t>
  </si>
  <si>
    <t>J. H. Lester</t>
  </si>
  <si>
    <t>G. B. Pergolesi</t>
  </si>
  <si>
    <t>S. J. Vail</t>
  </si>
  <si>
    <t>T. W. Staniforth</t>
  </si>
  <si>
    <t>Jerusalem (Staniforth)</t>
  </si>
  <si>
    <t>Jubilee (Carren)</t>
  </si>
  <si>
    <t>Jubilee (Hope)</t>
  </si>
  <si>
    <t>Just As I Am (Barnby)</t>
  </si>
  <si>
    <t>Just As I Am (Bradbury)</t>
  </si>
  <si>
    <t>J. H. Knecht</t>
  </si>
  <si>
    <t>W. F. Sherwin</t>
  </si>
  <si>
    <t>C. Howard</t>
  </si>
  <si>
    <t>Miss. S. M. Walker</t>
  </si>
  <si>
    <t>Love Divine (Stainer)</t>
  </si>
  <si>
    <t>Love Divine (Zundel)</t>
  </si>
  <si>
    <t>F. W. Hunt</t>
  </si>
  <si>
    <t>Lynton (Willey)</t>
  </si>
  <si>
    <t>D. G. Spary</t>
  </si>
  <si>
    <t>H. P. Smith</t>
  </si>
  <si>
    <t>Melcombe</t>
  </si>
  <si>
    <t>E. K. Brinkworth</t>
  </si>
  <si>
    <t>Mornington's Chant</t>
  </si>
  <si>
    <t>Mrs. E. S. Kingston</t>
  </si>
  <si>
    <t>G. J. Webb</t>
  </si>
  <si>
    <t>Morning Light (Kingston)</t>
  </si>
  <si>
    <t>Morning Light (Webb)</t>
  </si>
  <si>
    <t>Morning Star (Leflaive)</t>
  </si>
  <si>
    <t>Miss S. N. Walker</t>
  </si>
  <si>
    <t>Old Hundredth</t>
  </si>
  <si>
    <t>W. H. Gladstone</t>
  </si>
  <si>
    <t>J. H. Kilick</t>
  </si>
  <si>
    <t>H. L. Hassler</t>
  </si>
  <si>
    <t>Praise (Walker)</t>
  </si>
  <si>
    <t>Praise (Lee)</t>
  </si>
  <si>
    <t>Praise (Carren)</t>
  </si>
  <si>
    <t>Miss A. H. Lee</t>
  </si>
  <si>
    <t>A. H. McNie</t>
  </si>
  <si>
    <t>Mrs. H. B. Burr</t>
  </si>
  <si>
    <t>Remembrance (Booth)</t>
  </si>
  <si>
    <t>Rest (Maker)</t>
  </si>
  <si>
    <t>Rest (Stainer)</t>
  </si>
  <si>
    <t>W. J. Evans</t>
  </si>
  <si>
    <t>J. G. Nageli</t>
  </si>
  <si>
    <t>Ruth (Leflaive)</t>
  </si>
  <si>
    <t>St. Agnes (Dykes/Durham)</t>
  </si>
  <si>
    <t>St. Agnes (Langran/Hoyland)</t>
  </si>
  <si>
    <t>Dr. H. J. Gauntlett</t>
  </si>
  <si>
    <t>St. Catherine (Flood Jones)</t>
  </si>
  <si>
    <t>C. C. Scholefield</t>
  </si>
  <si>
    <t>St. Columba</t>
  </si>
  <si>
    <t>A. L. Peace</t>
  </si>
  <si>
    <t>From 'Day's Psalter'</t>
  </si>
  <si>
    <t>From 'Chalmer's Collection'</t>
  </si>
  <si>
    <t>A. R. Reinagle</t>
  </si>
  <si>
    <t>F. G. Baker</t>
  </si>
  <si>
    <t>St. Sylvester (Barnby)</t>
  </si>
  <si>
    <t>Samuel (Sullivan)</t>
  </si>
  <si>
    <t>C. H. Purday</t>
  </si>
  <si>
    <t>Miss F. T. Wigram</t>
  </si>
  <si>
    <t>J. S. Warburton</t>
  </si>
  <si>
    <t>L. Spohr</t>
  </si>
  <si>
    <t>Springfield (11.10.11.10.)</t>
  </si>
  <si>
    <t>Springfield (8.7.8.7.)</t>
  </si>
  <si>
    <t>Mrs. D. L. Johnston</t>
  </si>
  <si>
    <t>P. G. Fithian</t>
  </si>
  <si>
    <t>Teignmouth</t>
  </si>
  <si>
    <t>The Blessed Rest</t>
  </si>
  <si>
    <t>Theodora (Legge)</t>
  </si>
  <si>
    <t>Theodora (Handel)</t>
  </si>
  <si>
    <t>F. C. P. Hart</t>
  </si>
  <si>
    <t>Row Labels</t>
  </si>
  <si>
    <t>Grand Total</t>
  </si>
  <si>
    <t>Count of tune_no</t>
  </si>
  <si>
    <t>From 'Geistliche Lieder'</t>
  </si>
  <si>
    <t>Triumph (Gauntlett)</t>
  </si>
  <si>
    <t>Triumph (Hope)</t>
  </si>
  <si>
    <t>Victory (Leflaive)</t>
  </si>
  <si>
    <t>Victory (Neander)</t>
  </si>
  <si>
    <t>Waiting and Watching</t>
  </si>
  <si>
    <t>Miss H. M. Faulkner</t>
  </si>
  <si>
    <t>Warwick (Stanley)</t>
  </si>
  <si>
    <t>Weber (7.6.7.6.)</t>
  </si>
  <si>
    <t>P. S. Pugh</t>
  </si>
  <si>
    <t>Worship (Cooper)</t>
  </si>
  <si>
    <t>Worship (Ground)</t>
  </si>
  <si>
    <t>Mrs. H. V. Ground</t>
  </si>
  <si>
    <t>Mrs. M. S. 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</si>
</sst>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rgb="FF0563C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4" fillId="0" borderId="0" applyNumberFormat="0" applyBorder="0" applyProtection="0"/>
  </cellStyleXfs>
  <cellXfs count="10">
    <xf numFmtId="0" fontId="0" fillId="0" borderId="0" xfId="0"/>
    <xf numFmtId="0" fontId="1" fillId="0" borderId="0" xfId="1"/>
    <xf numFmtId="0" fontId="3" fillId="0" borderId="0" xfId="1" applyFont="1"/>
    <xf numFmtId="0" fontId="1" fillId="0" borderId="0" xfId="1" applyNumberFormat="1"/>
    <xf numFmtId="0" fontId="0" fillId="0" borderId="0" xfId="0" applyNumberFormat="1"/>
    <xf numFmtId="0" fontId="4" fillId="0" borderId="0" xfId="2"/>
    <xf numFmtId="0" fontId="5" fillId="0" borderId="0" xfId="3" applyFont="1" applyProtection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4">
    <cellStyle name="Hyperlink" xfId="1" builtinId="8"/>
    <cellStyle name="Hyperlink 2" xfId="3" xr:uid="{843E677E-03E0-514A-9A1D-C02ECE05502A}"/>
    <cellStyle name="Normal" xfId="0" builtinId="0"/>
    <cellStyle name="Normal 2" xfId="2" xr:uid="{9A8C2A20-8010-6648-854A-48BE5EC61B2D}"/>
  </cellStyles>
  <dxfs count="12">
    <dxf>
      <numFmt numFmtId="0" formatCode="General"/>
    </dxf>
    <dxf>
      <numFmt numFmtId="0" formatCode="General"/>
    </dxf>
    <dxf>
      <font>
        <strike val="0"/>
        <outline val="0"/>
        <shadow val="0"/>
        <u/>
        <vertAlign val="baseline"/>
        <sz val="12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aig McKay" refreshedDate="43835.845392361109" createdVersion="6" refreshedVersion="6" minRefreshableVersion="3" recordCount="762" xr:uid="{33CC8638-4550-AA40-8799-7694721E8ADB}">
  <cacheSource type="worksheet">
    <worksheetSource name="Table2"/>
  </cacheSource>
  <cacheFields count="16">
    <cacheField name="tune_no" numFmtId="0">
      <sharedItems containsSemiMixedTypes="0" containsString="0" containsNumber="1" containsInteger="1" minValue="1" maxValue="554" count="509">
        <n v="468"/>
        <n v="187"/>
        <n v="87"/>
        <n v="67"/>
        <n v="78"/>
        <n v="469"/>
        <n v="453"/>
        <n v="1"/>
        <n v="2"/>
        <n v="97"/>
        <n v="171"/>
        <n v="428"/>
        <n v="285"/>
        <n v="88"/>
        <n v="181"/>
        <n v="120"/>
        <n v="228"/>
        <n v="313"/>
        <n v="140"/>
        <n v="396"/>
        <n v="229"/>
        <n v="89"/>
        <n v="314"/>
        <n v="61"/>
        <n v="286"/>
        <n v="366"/>
        <n v="413"/>
        <n v="315"/>
        <n v="450"/>
        <n v="219"/>
        <n v="90"/>
        <n v="261"/>
        <n v="470"/>
        <n v="182"/>
        <n v="180"/>
        <n v="98"/>
        <n v="91"/>
        <n v="220"/>
        <n v="262"/>
        <n v="278"/>
        <n v="26"/>
        <n v="3"/>
        <n v="4"/>
        <n v="206"/>
        <n v="125"/>
        <n v="211"/>
        <n v="197"/>
        <n v="183"/>
        <n v="292"/>
        <n v="231"/>
        <n v="130"/>
        <n v="372"/>
        <n v="80"/>
        <n v="471"/>
        <n v="268"/>
        <n v="472"/>
        <n v="305"/>
        <n v="6"/>
        <n v="473"/>
        <n v="27"/>
        <n v="141"/>
        <n v="7"/>
        <n v="243"/>
        <n v="81"/>
        <n v="8"/>
        <n v="316"/>
        <n v="9"/>
        <n v="221"/>
        <n v="474"/>
        <n v="5"/>
        <n v="188"/>
        <n v="10"/>
        <n v="373"/>
        <n v="126"/>
        <n v="317"/>
        <n v="516"/>
        <n v="28"/>
        <n v="176"/>
        <n v="374"/>
        <n v="475"/>
        <n v="131"/>
        <n v="476"/>
        <n v="477"/>
        <n v="284"/>
        <n v="151"/>
        <n v="375"/>
        <n v="99"/>
        <n v="129"/>
        <n v="169"/>
        <n v="21"/>
        <n v="532"/>
        <n v="429"/>
        <n v="522"/>
        <n v="454"/>
        <n v="248"/>
        <n v="265"/>
        <n v="289"/>
        <n v="318"/>
        <n v="354"/>
        <n v="22"/>
        <n v="294"/>
        <n v="94"/>
        <n v="279"/>
        <n v="204"/>
        <n v="266"/>
        <n v="192"/>
        <n v="68"/>
        <n v="290"/>
        <n v="533"/>
        <n v="172"/>
        <n v="291"/>
        <n v="376"/>
        <n v="170"/>
        <n v="132"/>
        <n v="222"/>
        <n v="23"/>
        <n v="95"/>
        <n v="133"/>
        <n v="134"/>
        <n v="142"/>
        <n v="420"/>
        <n v="29"/>
        <n v="100"/>
        <n v="121"/>
        <n v="194"/>
        <n v="467"/>
        <n v="43"/>
        <n v="189"/>
        <n v="127"/>
        <n v="148"/>
        <n v="82"/>
        <n v="451"/>
        <n v="101"/>
        <n v="62"/>
        <n v="478"/>
        <n v="217"/>
        <n v="173"/>
        <n v="421"/>
        <n v="232"/>
        <n v="263"/>
        <n v="249"/>
        <n v="377"/>
        <n v="167"/>
        <n v="430"/>
        <n v="319"/>
        <n v="69"/>
        <n v="320"/>
        <n v="311"/>
        <n v="233"/>
        <n v="193"/>
        <n v="63"/>
        <n v="357"/>
        <n v="164"/>
        <n v="295"/>
        <n v="51"/>
        <n v="403"/>
        <n v="244"/>
        <n v="195"/>
        <n v="422"/>
        <n v="276"/>
        <n v="15"/>
        <n v="234"/>
        <n v="135"/>
        <n v="96"/>
        <n v="378"/>
        <n v="250"/>
        <n v="480"/>
        <n v="223"/>
        <n v="128"/>
        <n v="545"/>
        <n v="160"/>
        <n v="355"/>
        <n v="523"/>
        <n v="207"/>
        <n v="379"/>
        <n v="459"/>
        <n v="235"/>
        <n v="275"/>
        <n v="212"/>
        <n v="16"/>
        <n v="236"/>
        <n v="17"/>
        <n v="239"/>
        <n v="18"/>
        <n v="30"/>
        <n v="19"/>
        <n v="237"/>
        <n v="31"/>
        <n v="218"/>
        <n v="168"/>
        <n v="251"/>
        <n v="442"/>
        <n v="54"/>
        <n v="269"/>
        <n v="215"/>
        <n v="538"/>
        <n v="238"/>
        <n v="452"/>
        <n v="482"/>
        <n v="321"/>
        <n v="213"/>
        <n v="152"/>
        <n v="11"/>
        <n v="524"/>
        <n v="224"/>
        <n v="462"/>
        <n v="483"/>
        <n v="264"/>
        <n v="404"/>
        <n v="225"/>
        <n v="70"/>
        <n v="431"/>
        <n v="20"/>
        <n v="517"/>
        <n v="414"/>
        <n v="367"/>
        <n v="484"/>
        <n v="507"/>
        <n v="240"/>
        <n v="550"/>
        <n v="196"/>
        <n v="144"/>
        <n v="322"/>
        <n v="241"/>
        <n v="208"/>
        <n v="145"/>
        <n v="177"/>
        <n v="24"/>
        <n v="184"/>
        <n v="216"/>
        <n v="252"/>
        <n v="270"/>
        <n v="71"/>
        <n v="242"/>
        <n v="381"/>
        <n v="432"/>
        <n v="102"/>
        <n v="323"/>
        <n v="32"/>
        <n v="33"/>
        <n v="103"/>
        <n v="104"/>
        <n v="105"/>
        <n v="116"/>
        <n v="426"/>
        <n v="199"/>
        <n v="25"/>
        <n v="486"/>
        <n v="287"/>
        <n v="112"/>
        <n v="124"/>
        <n v="83"/>
        <n v="324"/>
        <n v="137"/>
        <n v="200"/>
        <n v="245"/>
        <n v="293"/>
        <n v="465"/>
        <n v="214"/>
        <n v="185"/>
        <n v="44"/>
        <n v="298"/>
        <n v="325"/>
        <n v="326"/>
        <n v="511"/>
        <n v="288"/>
        <n v="512"/>
        <n v="72"/>
        <n v="487"/>
        <n v="488"/>
        <n v="518"/>
        <n v="539"/>
        <n v="277"/>
        <n v="489"/>
        <n v="246"/>
        <n v="136"/>
        <n v="460"/>
        <n v="138"/>
        <n v="405"/>
        <n v="382"/>
        <n v="271"/>
        <n v="370"/>
        <n v="416"/>
        <n v="490"/>
        <n v="186"/>
        <n v="201"/>
        <n v="383"/>
        <n v="553"/>
        <n v="60"/>
        <n v="191"/>
        <n v="513"/>
        <n v="506"/>
        <n v="106"/>
        <n v="45"/>
        <n v="190"/>
        <n v="368"/>
        <n v="461"/>
        <n v="385"/>
        <n v="384"/>
        <n v="351"/>
        <n v="113"/>
        <n v="205"/>
        <n v="424"/>
        <n v="84"/>
        <n v="41"/>
        <n v="178"/>
        <n v="417"/>
        <n v="418"/>
        <n v="107"/>
        <n v="114"/>
        <n v="387"/>
        <n v="358"/>
        <n v="179"/>
        <n v="226"/>
        <n v="456"/>
        <n v="35"/>
        <n v="491"/>
        <n v="174"/>
        <n v="34"/>
        <n v="139"/>
        <n v="209"/>
        <n v="75"/>
        <n v="166"/>
        <n v="64"/>
        <n v="46"/>
        <n v="349"/>
        <n v="36"/>
        <n v="535"/>
        <n v="540"/>
        <n v="162"/>
        <n v="369"/>
        <n v="327"/>
        <n v="388"/>
        <n v="259"/>
        <n v="371"/>
        <n v="457"/>
        <n v="389"/>
        <n v="541"/>
        <n v="296"/>
        <n v="108"/>
        <n v="281"/>
        <n v="360"/>
        <n v="328"/>
        <n v="253"/>
        <n v="37"/>
        <n v="356"/>
        <n v="109"/>
        <n v="153"/>
        <n v="85"/>
        <n v="110"/>
        <n v="434"/>
        <n v="111"/>
        <n v="493"/>
        <n v="163"/>
        <n v="38"/>
        <n v="39"/>
        <n v="202"/>
        <n v="283"/>
        <n v="175"/>
        <n v="505"/>
        <n v="146"/>
        <n v="40"/>
        <n v="254"/>
        <n v="118"/>
        <n v="143"/>
        <n v="299"/>
        <n v="42"/>
        <n v="329"/>
        <n v="546"/>
        <n v="154"/>
        <n v="280"/>
        <n v="390"/>
        <n v="519"/>
        <n v="526"/>
        <n v="149"/>
        <n v="65"/>
        <n v="47"/>
        <n v="361"/>
        <n v="227"/>
        <n v="55"/>
        <n v="267"/>
        <n v="48"/>
        <n v="350"/>
        <n v="330"/>
        <n v="76"/>
        <n v="307"/>
        <n v="549"/>
        <n v="255"/>
        <n v="77"/>
        <n v="408"/>
        <n v="419"/>
        <n v="447"/>
        <n v="531"/>
        <n v="331"/>
        <n v="198"/>
        <n v="115"/>
        <n v="410"/>
        <n v="400"/>
        <n v="444"/>
        <n v="362"/>
        <n v="415"/>
        <n v="527"/>
        <n v="56"/>
        <n v="210"/>
        <n v="435"/>
        <n v="304"/>
        <n v="445"/>
        <n v="547"/>
        <n v="156"/>
        <n v="411"/>
        <n v="333"/>
        <n v="363"/>
        <n v="50"/>
        <n v="230"/>
        <n v="436"/>
        <n v="157"/>
        <n v="412"/>
        <n v="165"/>
        <n v="52"/>
        <n v="334"/>
        <n v="520"/>
        <n v="147"/>
        <n v="158"/>
        <n v="159"/>
        <n v="119"/>
        <n v="336"/>
        <n v="393"/>
        <n v="53"/>
        <n v="203"/>
        <n v="282"/>
        <n v="272"/>
        <n v="458"/>
        <n v="66"/>
        <n v="398"/>
        <n v="423"/>
        <n v="49"/>
        <n v="345"/>
        <n v="74"/>
        <n v="341"/>
        <n v="353"/>
        <n v="342"/>
        <n v="256"/>
        <n v="528"/>
        <n v="260"/>
        <n v="399"/>
        <n v="123"/>
        <n v="257"/>
        <n v="499"/>
        <n v="500"/>
        <n v="57"/>
        <n v="529"/>
        <n v="343"/>
        <n v="497"/>
        <n v="161"/>
        <n v="117"/>
        <n v="58"/>
        <n v="301"/>
        <n v="536"/>
        <n v="59"/>
        <n v="86"/>
        <n v="427"/>
        <n v="439"/>
        <n v="150"/>
        <n v="446"/>
        <n v="554"/>
        <n v="258"/>
        <n v="530"/>
        <n v="297"/>
        <n v="440"/>
        <n v="464"/>
        <n v="344"/>
        <n v="79"/>
        <n v="302"/>
        <n v="308"/>
        <n v="401"/>
        <n v="425"/>
        <n v="407"/>
        <n v="406"/>
        <n v="303"/>
        <n v="394"/>
        <n v="466"/>
        <n v="300"/>
        <n v="543"/>
        <n v="508"/>
        <n v="501"/>
        <n v="514"/>
        <n v="273"/>
        <n v="443"/>
        <n v="346"/>
        <n v="73"/>
        <n v="537"/>
        <n v="155"/>
        <n v="503"/>
        <n v="548"/>
        <n v="364"/>
        <n v="509"/>
        <n v="502"/>
        <n v="365"/>
        <n v="247"/>
        <n v="551"/>
        <n v="395"/>
        <n v="310"/>
        <n v="122"/>
        <n v="347"/>
        <n v="544"/>
        <n v="449"/>
        <n v="92"/>
        <n v="510"/>
        <n v="274"/>
      </sharedItems>
    </cacheField>
    <cacheField name="tune_name" numFmtId="0">
      <sharedItems/>
    </cacheField>
    <cacheField name="tune_meter" numFmtId="0">
      <sharedItems containsBlank="1"/>
    </cacheField>
    <cacheField name="MeterLookup" numFmtId="0">
      <sharedItems containsMixedTypes="1" containsNumber="1" containsInteger="1" minValue="16" maxValue="96"/>
    </cacheField>
    <cacheField name="alt_meter" numFmtId="0">
      <sharedItems containsBlank="1"/>
    </cacheField>
    <cacheField name="tune_book" numFmtId="0">
      <sharedItems containsBlank="1"/>
    </cacheField>
    <cacheField name="Book Name" numFmtId="0">
      <sharedItems/>
    </cacheField>
    <cacheField name="tune_author" numFmtId="0">
      <sharedItems count="405">
        <s v="Ira D. Sankey"/>
        <s v="Mrs. Dent"/>
        <s v="Sir Herbert S. Oakeley"/>
        <s v="John Mason"/>
        <s v="Miss E.C. Shanks"/>
        <s v="F. C. Maker"/>
        <s v="E. Burgess"/>
        <s v="Isaac Smith"/>
        <s v="F. H. Alden"/>
        <s v="Unknown"/>
        <s v="John G. Deayton"/>
        <s v="T. Collins"/>
        <s v="J. H. Righton"/>
        <s v="R. Thornton"/>
        <s v="Sir Robert P. Stewart"/>
        <s v="W.C. Fursland"/>
        <s v="C. Leflaive"/>
        <s v="A. L. Bloomfield"/>
        <s v="G. C. Stebbins"/>
        <s v="Dr. J. B. Dykes"/>
        <s v="C. T. Lambert"/>
        <s v="Sir John Stainer"/>
        <s v="Mrs. J. H. Cuckney"/>
        <s v="Sir George C. Martin"/>
        <s v="Geistreiches Gesangbuch"/>
        <s v="Miss B. Joseph"/>
        <s v="S. Webbe"/>
        <s v="P. P. Bliss"/>
        <s v="E. Carren"/>
        <s v="C. E. Willing"/>
        <s v="Sir Joseph Barnby"/>
        <s v="Dr. A.H. Mann"/>
        <s v="G. Joseph"/>
        <s v="John B. Parker"/>
        <s v="Gordon Millar"/>
        <s v="D.A.J. Burling"/>
        <s v="M. Colley"/>
        <s v="Dr. R.H. Earnshaw"/>
        <s v="Dr. T. Arne"/>
        <s v="Dr. S. Arnold"/>
        <s v="D. R. C. McCorkell"/>
        <s v="K.D. Clarke"/>
        <s v="German Melody"/>
        <s v="Peter Blanche"/>
        <s v="A. Johannson"/>
        <s v="R. A. Evershead"/>
        <s v="Miss E. C. Shanks"/>
        <s v="Bishop Handley Moule"/>
        <s v="Dr. S. S. Wesley"/>
        <s v="A. E. Lord"/>
        <s v="From Haydn"/>
        <s v="F. Duckworth"/>
        <s v="F.H. Parkes"/>
        <s v="From Spohr"/>
        <s v="R. Simpson"/>
        <s v="R. E. Frizelle"/>
        <s v="E. J. Judd"/>
        <s v="American"/>
        <s v="J. T. Lightwood"/>
        <s v="W. Wheale"/>
        <s v="H. de la Haye Blackith"/>
        <s v="William Horsley"/>
        <s v="From Mendelssohn"/>
        <s v="Dr. Lowell Mason"/>
        <s v="H. T. Smart"/>
        <s v="C. T. McCorkell"/>
        <s v="From Swedish"/>
        <s v="From 'A Selection of Psalm Tunes'"/>
        <s v="Sir Arthur S. Sullivan"/>
        <s v="Jeremiah Clark"/>
        <s v="Miss. E.C. Shanks"/>
        <s v="W. P. Rowlands"/>
        <s v="Mrs. J. F. Knapp"/>
        <s v="A.G. Bagnall"/>
        <s v="I. E. Rummery"/>
        <s v="Miss La Thangue"/>
        <s v="Mrs. E. Ellis"/>
        <s v="Miss M. Grugeon"/>
        <s v="Michael Lewis"/>
        <s v="J. Page"/>
        <s v="Mrs. W. Jones"/>
        <s v="T. Walford Rofe"/>
        <s v="Eric Burgess"/>
        <s v="F. H. Parkes"/>
        <s v="T. B. Southgate"/>
        <s v="Dr. L. G. Hayne"/>
        <s v="D. Jenkins"/>
        <s v="Dr. E. W. Bullinger"/>
        <s v="Robert Edwards"/>
        <s v="Dr. E. Prout"/>
        <s v="John F. Harvey"/>
        <s v="R. Harrison"/>
        <s v="L. O. Emerson"/>
        <s v="Henry Carey"/>
        <s v="C. Lockhart"/>
        <s v="R.A. Evershead"/>
        <s v="Henry Smart"/>
        <s v="Dr. C. Steggall"/>
        <s v="Miss A.E. Houseman"/>
        <s v="A.L. Bloomingfield"/>
        <s v="R. A. Evershed"/>
        <s v="H.F. Morley"/>
        <s v="John. F. Harvey"/>
        <s v="Wilfred Sanderson"/>
        <s v="A.B. Skeffington"/>
        <s v="C.C. Converse"/>
        <s v="Dr. W. Crotch"/>
        <s v="T. Willey"/>
        <s v="J. Cruger"/>
        <s v="Dr. Alan Clarke"/>
        <s v="J. Hughes"/>
        <s v="Mrs. A. C. Stowell"/>
        <s v="Greek Melody"/>
        <s v="From 'Geistliche Leider'"/>
        <s v="J. Darwall"/>
        <s v="From Handel"/>
        <s v="H. F. Morley"/>
        <s v="J. W. Elliott"/>
        <s v="J. F. Taylor"/>
        <s v="Miss D. A. Elderton"/>
        <s v="Handel Parker"/>
        <s v="J. Langran"/>
        <s v="C.L. Naylor"/>
        <s v="Sir George J. Elvey"/>
        <s v="Dr J. B. Dykes"/>
        <s v="Mrs. H. B. Cowie"/>
        <s v="J. N. Barrett"/>
        <s v="W. H. Doane"/>
        <s v="J. A. P. Schulz"/>
        <s v="Sir John Stevenson"/>
        <s v="J. C. Trench"/>
        <s v="John Hatton"/>
        <s v="From 'Scottish Psalter'"/>
        <s v="J. Walch"/>
        <s v="C. T. Lambers"/>
        <s v="R. Bennett"/>
        <s v="W. Easton"/>
        <s v="W. G. Fischer"/>
        <s v="E.J. Judd"/>
        <s v="Arthur Skrede"/>
        <s v="Miss Davis"/>
        <s v="From 'Kochers Zionsharfe'"/>
        <s v="Dr. E. J. Hopkins"/>
        <s v="F. Silcher"/>
        <s v="J. F. Thrupp"/>
        <s v="H. Earnest Nichol"/>
        <s v="J.W. Elliott"/>
        <s v="H. Dennis"/>
        <s v="W. H. Havergal"/>
        <s v="A. P. Gipps"/>
        <s v="Dr. W. H. Monk"/>
        <s v="J. H. Killick"/>
        <s v="A. Ewing"/>
        <s v="Miss S. M. Walker"/>
        <s v="W. R. Mason"/>
        <s v="P. Blanche"/>
        <s v="R. Farrant"/>
        <s v="Douglas T. Holding"/>
        <s v="F. S. Pope"/>
        <s v="Daniel F. Dupont"/>
        <s v="Miss. A. E. Housman"/>
        <s v="P. S. Pope"/>
        <s v="Miss Grace D. Wightman"/>
        <s v="From Beethoven"/>
        <s v="From German"/>
        <s v="R. Arras"/>
        <s v="J. Michael Haydn"/>
        <s v="Wilh. Moritz Vogel"/>
        <s v="W. B. Bradbury"/>
        <s v="A. F. Tipler"/>
        <s v="John Holden"/>
        <s v="C. H. Gaskin"/>
        <s v="J.R. Sweney"/>
        <s v="C.E. Kettle"/>
        <s v="Georg Friedrich Handel"/>
        <s v="H. R. H. Prince Albert"/>
        <s v="R.A. Evershed"/>
        <s v="J. M. Haydn"/>
        <s v="G. Millar"/>
        <s v="Dr. Caradog Roberts"/>
        <s v="Miss Norah Nilsson"/>
        <s v="Dr. W. Croft"/>
        <s v="Simon Flett"/>
        <s v="B. Milgrove"/>
        <s v="Dr. H.J. Gauntlett"/>
        <s v="T.E. Perkins"/>
        <s v="Miss F. R. Jones"/>
        <s v="W. J. Maher"/>
        <s v="Miss F. R. Havergal"/>
        <s v="H. P. Main"/>
        <s v="G. Hews"/>
        <s v="A. H. Brown"/>
        <s v="Earl of Mornington"/>
        <s v="P. J. L. Hindle"/>
        <s v="W. Horsely"/>
        <s v="From 'Williams Psalmody'"/>
        <s v="S. Chandler"/>
        <s v="R. H. Prichard"/>
        <s v="J. H. Lester"/>
        <s v="Anonymous"/>
        <s v="W.P."/>
        <s v="Josiah Booth"/>
        <s v="G. B. Pergolesi"/>
        <s v="T. Jackson"/>
        <s v="H. Bennett"/>
        <s v="S. J. Vail"/>
        <s v="T. W. Staniforth"/>
        <s v="R. Lowry"/>
        <s v="D.G. Spary"/>
        <s v="Royston Lewis"/>
        <s v="Walter R.F. Hope"/>
        <s v="F.C. Maker"/>
        <s v="S.J. Vail"/>
        <s v="W.B. Bradbury"/>
        <s v="J. Tilleard"/>
        <s v="Miss A.H. Lee"/>
        <s v="Niel Dougall"/>
        <s v="J. H. Knecht"/>
        <s v="W. F. Sherwin"/>
        <s v="From 'Melodies and Chants'"/>
        <s v="W. Hurst"/>
        <s v="Hebrew Melody"/>
        <s v="H. Ford Benson"/>
        <s v="Alastair Millar"/>
        <s v="D. Alan Clarke"/>
        <s v="Griffiths H. Jones"/>
        <s v="C. Howard"/>
        <s v="Miss. S. M. Walker"/>
        <s v="Mrs. F. Houghton"/>
        <s v="J. Zundel"/>
        <s v="P.S. Pope"/>
        <s v="Martin Luther"/>
        <s v="T. Philips"/>
        <s v="F. W. Hunt"/>
        <s v="J. Mainzer"/>
        <s v="P.P. Bliss"/>
        <s v="Dr. F. Filitz"/>
        <s v="M. Shaw"/>
        <s v="Mrs. A.L. Bloomfield"/>
        <s v="H. Wilson"/>
        <s v="D. G. Spary"/>
        <s v="H. P. Smith"/>
        <s v="Charles Nixon"/>
        <s v="A. F. Gilbert"/>
        <s v="Mrs. C.T. McCorkell"/>
        <s v="G. F. Root"/>
        <s v="W. Shrubsole"/>
        <s v="E. K. Brinkworth"/>
        <s v="J.V. Roberts"/>
        <s v="Mrs. Mary W. Moody"/>
        <s v="N. Whitbouro"/>
        <s v="J. Wilkes"/>
        <s v="Mrs. E. S. Kingston"/>
        <s v="G. J. Webb"/>
        <s v="F. Giardini"/>
        <s v="From Mozart"/>
        <s v="David Johnson"/>
        <s v="J. Steven"/>
        <s v="J.H. Burke"/>
        <s v="Miss S. N. Walker"/>
        <s v="H. Lahee"/>
        <s v="Henry K. Morley"/>
        <s v="Samuel Smith"/>
        <s v="J. McGranahan"/>
        <s v="Henry Coward"/>
        <s v="A. Northrop"/>
        <s v="Jeremiah Clarke"/>
        <s v="H.P. Main"/>
        <s v="La Feillee Methode"/>
        <s v="From 'Genevan Psalter'"/>
        <s v="Howgate"/>
        <s v="T. Olivers"/>
        <s v="W. H. Gladstone"/>
        <s v="J. Campbell"/>
        <s v="Norwegian Air"/>
        <s v="Jacob Hoff"/>
        <s v="Mrs. Daphne M. Morren"/>
        <s v="J. Summers"/>
        <s v="Rev. E.H. Gladstone Sargent"/>
        <s v="J. H. Kilick"/>
        <s v="H. L. Hassler"/>
        <s v="Melchior Vulpiius"/>
        <s v="Miss F.R. Jones"/>
        <s v="J. Foster"/>
        <s v="W. Boyd"/>
        <s v="D. Otsing"/>
        <s v="Miss A. H. Lee"/>
        <s v="A. Radiger"/>
        <s v="Sir John Goss"/>
        <s v="B.D. Brooks"/>
        <s v="C.T. Lambert"/>
        <s v="T.L. Edwards"/>
        <s v="W. Stokes"/>
        <s v="J.B.O. Clemm"/>
        <s v="Richard Redhead"/>
        <s v="A. H. McNie"/>
        <s v="Mrs. H. B. Burr"/>
        <s v="Asa Hull"/>
        <s v="C. Jarres"/>
        <s v="Mrs. D.L. Johnston"/>
        <s v="Dr. Thomas Hastings"/>
        <s v="S. Wakely"/>
        <s v="W.H. Doane"/>
        <s v="Dr. C. Warwich Jordan"/>
        <s v="W. J. Evans"/>
        <s v="T. Haweis"/>
        <s v="J. G. Nageli"/>
        <s v="J. Robinson"/>
        <s v="Dr. Edward Miller"/>
        <s v="C.C. Williams"/>
        <s v="B. Tours"/>
        <s v="E.J. Orchard"/>
        <s v="David H. Bance"/>
        <s v="Chretien D'Urhan"/>
        <s v="Dr. Herbert Mahon"/>
        <s v="A.H. Brown"/>
        <s v="C. H. Purday"/>
        <s v="C. Bryan"/>
        <s v="D.E. Jones"/>
        <s v="Dr. W. Boyce"/>
        <s v="W. Mather"/>
        <s v="Old Sicilian Melody"/>
        <s v="Dr. H.A.C. Malan"/>
        <s v="Paul Gerard"/>
        <s v="Miss F. T. Wigram"/>
        <s v="Irish Folk Melody"/>
        <s v="Miss Dorothea Markham"/>
        <s v="H.S. Irons"/>
        <s v="A.W. Michael Rooke"/>
        <s v="W.H. Jude"/>
        <s v="J. S. Warburton"/>
        <s v="L. Spohr"/>
        <s v="Dr. H. J. Gauntlett"/>
        <s v="Dr. J.B. Dykes"/>
        <s v="Arthur H. Brown"/>
        <s v="From 'New Harmony of Sion'"/>
        <s v="J. Richardson"/>
        <s v="S. Flood Jones"/>
        <s v="C. C. Scholefield"/>
        <s v="Irish Traditional Melody"/>
        <s v="Welch Hymn Melody"/>
        <s v="From 'Calcotts Psalm and Hymn Tunes'"/>
        <s v="C. Green"/>
        <s v="J. Baptiste Calkin"/>
        <s v="A. L. Peace"/>
        <s v="Dr. W.H. Monk"/>
        <s v="From 'Day's Psalter'"/>
        <s v="From 'Chalmer's Collection'"/>
        <s v="A. R. Reinagle"/>
        <s v="F. G. Baker"/>
        <s v="W. Jones"/>
        <s v="Edward Arthur"/>
        <s v="M. Teschner"/>
        <s v="Old English Melody"/>
        <s v="Sir Henry W. Baker"/>
        <s v="C. Hutcheson"/>
        <s v="C.T. McCorkell"/>
        <s v="Mrs. D. L. Johnston"/>
        <s v="German"/>
        <s v="P. G. Fithian"/>
        <s v="N. Tomblin"/>
        <s v="From 'Spiess's Gesangbuch'"/>
        <s v="Henri F. Hemy"/>
        <s v="T. Tallis"/>
        <s v="TBC"/>
        <s v="Thomas Langton"/>
        <s v="J. Revell"/>
        <s v="Miss. S.M. Walker"/>
        <s v="Miss S.N. Walker"/>
        <s v="B. Mansell Ramsey"/>
        <s v="Mrs. Clara H. Scott"/>
        <s v="J.R."/>
        <s v="P. Aven"/>
        <s v="W.A. Ogden"/>
        <s v="A. Legge"/>
        <s v="W. Pinsen"/>
        <s v="F. C. P. Hart"/>
        <s v="J. Grigg"/>
        <s v="T. Greatorex"/>
        <s v="R. Jackson"/>
        <s v="D.J. Sims"/>
        <s v="From 'Geisliche Lied'"/>
        <s v="A. Stone"/>
        <s v="C. Goudimel"/>
        <s v="J. Neander"/>
        <s v="Mrs. J.A. Lambert"/>
        <s v="Mrs. R.A. Arnot"/>
        <s v="W. Amps"/>
        <s v="George Lomas"/>
        <s v="Spanish Tune"/>
        <s v="G.F. Root"/>
        <s v="W. Knapp"/>
        <s v="Miss H.M. Faulkner"/>
        <s v="Samuel Stanley"/>
        <s v="From Weber"/>
        <s v="D. Bortnianski"/>
        <s v="P.S. Pugh"/>
        <s v="H. Baker"/>
        <s v="Sir George T. Smart"/>
        <s v="Crasselius"/>
        <s v="Charles Vincent"/>
        <s v="Mrs. M.S. Cooper"/>
        <s v="Mrs. H.V. Ground"/>
        <s v="Rev. E.S. Carter"/>
        <s v="J.G. Nageli"/>
      </sharedItems>
    </cacheField>
    <cacheField name="file_name" numFmtId="0">
      <sharedItems/>
    </cacheField>
    <cacheField name="mp3_file" numFmtId="0">
      <sharedItems/>
    </cacheField>
    <cacheField name="Year" numFmtId="0">
      <sharedItems containsString="0" containsBlank="1" containsNumber="1" containsInteger="1" minValue="1551" maxValue="1964"/>
    </cacheField>
    <cacheField name="note" numFmtId="0">
      <sharedItems containsBlank="1"/>
    </cacheField>
    <cacheField name="tune_pk" numFmtId="0">
      <sharedItems containsSemiMixedTypes="0" containsString="0" containsNumber="1" containsInteger="1" minValue="1" maxValue="764"/>
    </cacheField>
    <cacheField name="Tune Link" numFmtId="0">
      <sharedItems/>
    </cacheField>
    <cacheField name="Set Attributes" numFmtId="0">
      <sharedItems/>
    </cacheField>
    <cacheField name="Tune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2">
  <r>
    <x v="0"/>
    <s v="A Little While"/>
    <s v="10.10.10.10."/>
    <n v="21"/>
    <m/>
    <s v="LFTB"/>
    <s v="Green Book"/>
    <x v="0"/>
    <s v="468g.mid"/>
    <s v="468g.mid.mp3"/>
    <m/>
    <m/>
    <n v="717"/>
    <s v="A Little While"/>
    <s v="id3tag --song=&quot;A Little While (10.10.10.10.)&quot; --artist=&quot;Ira D. Sankey&quot; --comment=&quot;&quot; --album=&quot;Green Book&quot; --track=&quot;468&quot; 468g.mid.mp3"/>
    <s v="https://www.dropbox.com/sh/cx7tus4mgkt9o4n/AAA0N-2lDK55zZINSdPpbD4la/468g.mid.mp3?raw=1"/>
  </r>
  <r>
    <x v="1"/>
    <s v="Abbott's Wood"/>
    <s v="6.6.6.5.6.6.6.5."/>
    <n v="43"/>
    <m/>
    <s v="LFTB"/>
    <s v="Green Book"/>
    <x v="1"/>
    <s v="187g.mid"/>
    <s v="187g.mid.mp3"/>
    <m/>
    <m/>
    <n v="452"/>
    <s v="Abbott's Wood"/>
    <s v="id3tag --song=&quot;Abbott's Wood (6.6.6.5.6.6.6.5.)&quot; --artist=&quot;Mrs. Dent&quot; --comment=&quot;&quot; --album=&quot;Green Book&quot; --track=&quot;187&quot; 187g.mid.mp3"/>
    <s v="https://www.dropbox.com/sh/cx7tus4mgkt9o4n/AACZ0LHTBvHhCt3JwhhXRq2oa/187g.mid.mp3?raw=1"/>
  </r>
  <r>
    <x v="2"/>
    <s v="Abends"/>
    <s v="L.M."/>
    <n v="16"/>
    <m/>
    <s v="LFTB"/>
    <s v="Green Book"/>
    <x v="2"/>
    <s v="87g.mid"/>
    <s v="87g.mid.mp3"/>
    <m/>
    <m/>
    <n v="602"/>
    <s v="Abends"/>
    <s v="id3tag --song=&quot;Abends (L.M.)&quot; --artist=&quot;Sir Herbert S. Oakeley&quot; --comment=&quot;&quot; --album=&quot;Green Book&quot; --track=&quot;87&quot; 87g.mid.mp3"/>
    <s v="https://www.dropbox.com/sh/cx7tus4mgkt9o4n/AAAHHU958yhyzRVlN9Q1z2fxa/87g.mid.mp3?raw=1"/>
  </r>
  <r>
    <x v="3"/>
    <s v="Abercorn"/>
    <s v="6.4.6.4.6.6.6.4."/>
    <n v="44"/>
    <m/>
    <s v="LFTBs"/>
    <s v="Red Book"/>
    <x v="3"/>
    <s v="67r.mid"/>
    <s v="67r.mid.mp3"/>
    <m/>
    <m/>
    <n v="45"/>
    <s v="Abercorn"/>
    <s v="id3tag --song=&quot;Abercorn (6.4.6.4.6.6.6.4.)&quot; --artist=&quot;John Mason&quot; --comment=&quot;&quot; --album=&quot;Red Book&quot; --track=&quot;67&quot; 67r.mid.mp3"/>
    <s v="https://www.dropbox.com/sh/cx7tus4mgkt9o4n/AAAbMKBphR4E8sfNyQ12HCsla/67r.mid.mp3?raw=1"/>
  </r>
  <r>
    <x v="4"/>
    <s v="Abi-ezer"/>
    <s v="6.6.6.6.6.6.6.6."/>
    <n v="90"/>
    <m/>
    <s v="LFTBs"/>
    <s v="Red Book"/>
    <x v="4"/>
    <s v="78r.mid"/>
    <s v="78r.mid.mp3"/>
    <m/>
    <m/>
    <n v="46"/>
    <s v="Abi-ezer"/>
    <s v="id3tag --song=&quot;Abi-ezer (6.6.6.6.6.6.6.6.)&quot; --artist=&quot;Miss E.C. Shanks&quot; --comment=&quot;&quot; --album=&quot;Red Book&quot; --track=&quot;78&quot; 78r.mid.mp3"/>
    <s v="https://www.dropbox.com/sh/cx7tus4mgkt9o4n/AADQFlmKJUknm4mKcuEmxx1_a/78r.mid.mp3?raw=1"/>
  </r>
  <r>
    <x v="5"/>
    <s v="Abide With Me"/>
    <s v="10.10.10.10."/>
    <n v="21"/>
    <m/>
    <s v="LFTB"/>
    <s v="Green Book"/>
    <x v="5"/>
    <s v="469g.mid"/>
    <s v="469g.mid.mp3"/>
    <m/>
    <m/>
    <n v="718"/>
    <s v="Abide With Me"/>
    <s v="id3tag --song=&quot;Abide With Me (10.10.10.10.)&quot; --artist=&quot;F. C. Maker&quot; --comment=&quot;&quot; --album=&quot;Green Book&quot; --track=&quot;469&quot; 469g.mid.mp3"/>
    <s v="https://www.dropbox.com/sh/cx7tus4mgkt9o4n/AADZRBm7WzD7rlqZ_FFnCtnGa/469g.mid.mp3?raw=1"/>
  </r>
  <r>
    <x v="6"/>
    <s v="Abington"/>
    <s v="10.4.10.4.10.10."/>
    <n v="45"/>
    <m/>
    <s v="LFTB"/>
    <s v="Green Book"/>
    <x v="6"/>
    <s v="453g.mid"/>
    <s v="453g.mid.mp3"/>
    <n v="1936"/>
    <m/>
    <n v="711"/>
    <s v="Abington"/>
    <s v="id3tag --song=&quot;Abington (10.4.10.4.10.10.)&quot; --artist=&quot;E. Burgess&quot; --comment=&quot;&quot; --album=&quot;Green Book&quot; --track=&quot;453&quot; 453g.mid.mp3"/>
    <s v="https://www.dropbox.com/sh/cx7tus4mgkt9o4n/AABhgdUqBcUSWuDyK4gYgvQDa/453g.mid.mp3?raw=1"/>
  </r>
  <r>
    <x v="7"/>
    <s v="Abridge"/>
    <s v="C.M."/>
    <n v="19"/>
    <m/>
    <s v="LFTB"/>
    <s v="Green Book"/>
    <x v="7"/>
    <s v="1g.mid"/>
    <s v="1g.mid.mp3"/>
    <m/>
    <m/>
    <n v="413"/>
    <s v="Abridge"/>
    <s v="id3tag --song=&quot;Abridge (C.M.)&quot; --artist=&quot;Isaac Smith&quot; --comment=&quot;&quot; --album=&quot;Green Book&quot; --track=&quot;1&quot; 1g.mid.mp3"/>
    <s v="https://www.dropbox.com/sh/cx7tus4mgkt9o4n/AACviSYzp3QrMiFIM0-X6AG1a/1g.mid.mp3?raw=1"/>
  </r>
  <r>
    <x v="8"/>
    <s v="Acton"/>
    <s v="C.M."/>
    <n v="19"/>
    <m/>
    <s v="LFTB"/>
    <s v="Green Book"/>
    <x v="8"/>
    <s v="2g.mid"/>
    <s v="2g.mid.mp3"/>
    <m/>
    <m/>
    <n v="414"/>
    <s v="Acton"/>
    <s v="id3tag --song=&quot;Acton (C.M.)&quot; --artist=&quot;F. H. Alden&quot; --comment=&quot;&quot; --album=&quot;Green Book&quot; --track=&quot;2&quot; 2g.mid.mp3"/>
    <s v="https://www.dropbox.com/sh/cx7tus4mgkt9o4n/AACI8lCZCf25Ml8dEX3tHBMfa/2g.mid.mp3?raw=1"/>
  </r>
  <r>
    <x v="9"/>
    <s v="Adelaide"/>
    <s v="7.6.7.6.7.6.7.6."/>
    <n v="34"/>
    <m/>
    <s v="LFTBs"/>
    <s v="Red Book"/>
    <x v="9"/>
    <s v="97r.mid"/>
    <s v="97r.mid.mp3"/>
    <m/>
    <m/>
    <n v="47"/>
    <s v="Adelaide"/>
    <s v="id3tag --song=&quot;Adelaide (7.6.7.6.7.6.7.6.)&quot; --artist=&quot;Unknown&quot; --comment=&quot;&quot; --album=&quot;Red Book&quot; --track=&quot;97&quot; 97r.mid.mp3"/>
    <s v="https://www.dropbox.com/sh/cx7tus4mgkt9o4n/AACVx-Nq4sa3fEGcsM09TOVza/97r.mid.mp3?raw=1"/>
  </r>
  <r>
    <x v="10"/>
    <s v="Adeney"/>
    <s v="8.7.8.7.4.7."/>
    <n v="50"/>
    <m/>
    <s v="LFTBs"/>
    <s v="Red Book"/>
    <x v="10"/>
    <s v="171r.mid"/>
    <s v="171r.mid.mp3"/>
    <m/>
    <m/>
    <n v="48"/>
    <s v="Adeney"/>
    <s v="id3tag --song=&quot;Adeney (8.7.8.7.4.7.)&quot; --artist=&quot;John G. Deayton&quot; --comment=&quot;&quot; --album=&quot;Red Book&quot; --track=&quot;171&quot; 171r.mid.mp3"/>
    <s v="https://www.dropbox.com/sh/cx7tus4mgkt9o4n/AADsOdjuMX3Y1DKrPTaKUrBta/171r.mid.mp3?raw=1"/>
  </r>
  <r>
    <x v="11"/>
    <s v="Adoration (Collins)"/>
    <s v="8.8.8.8.8.8."/>
    <n v="26"/>
    <m/>
    <s v="LFTB"/>
    <s v="Green Book"/>
    <x v="11"/>
    <s v="428g.mid"/>
    <s v="428g.mid.mp3"/>
    <m/>
    <m/>
    <n v="694"/>
    <s v="Adoration (Collins)"/>
    <s v="id3tag --song=&quot;Adoration (Collins) (8.8.8.8.8.8.)&quot; --artist=&quot;T. Collins&quot; --comment=&quot;&quot; --album=&quot;Green Book&quot; --track=&quot;428&quot; 428g.mid.mp3"/>
    <s v="https://www.dropbox.com/sh/cx7tus4mgkt9o4n/AAAWqT_37XXPUjVHF1hckVM3a/428g.mid.mp3?raw=1"/>
  </r>
  <r>
    <x v="12"/>
    <s v="Adoration (Righton)"/>
    <s v="12.13.12.10."/>
    <n v="48"/>
    <m/>
    <s v="LFTBs"/>
    <s v="Red Book"/>
    <x v="12"/>
    <s v="285r.mid"/>
    <s v="285r.mid.mp3"/>
    <m/>
    <m/>
    <n v="49"/>
    <s v="Adoration (Righton)"/>
    <s v="id3tag --song=&quot;Adoration (Righton) (12.13.12.10.)&quot; --artist=&quot;J. H. Righton&quot; --comment=&quot;&quot; --album=&quot;Red Book&quot; --track=&quot;285&quot; 285r.mid.mp3"/>
    <s v="https://www.dropbox.com/sh/cx7tus4mgkt9o4n/AABolRPVMDVQZHYy1dIaz0Jqa/285r.mid.mp3?raw=1"/>
  </r>
  <r>
    <x v="13"/>
    <s v="Adoration (Thornton)"/>
    <s v="L.M."/>
    <n v="16"/>
    <m/>
    <s v="LFTB"/>
    <s v="Green Book"/>
    <x v="13"/>
    <s v="88g.mid"/>
    <s v="88g.mid.mp3"/>
    <n v="1914"/>
    <m/>
    <n v="603"/>
    <s v="Adoration (Thornton)"/>
    <s v="id3tag --song=&quot;Adoration (Thornton) (L.M.)&quot; --artist=&quot;R. Thornton&quot; --comment=&quot;&quot; --album=&quot;Green Book&quot; --track=&quot;88&quot; 88g.mid.mp3"/>
    <s v="https://www.dropbox.com/sh/cx7tus4mgkt9o4n/AADatdFGE-dNSnRAcHN46SNua/88g.mid.mp3?raw=1"/>
  </r>
  <r>
    <x v="14"/>
    <s v="Adrian"/>
    <s v="8.7.8.7.8.7.8.7."/>
    <n v="25"/>
    <m/>
    <s v="LFTBs"/>
    <s v="Red Book"/>
    <x v="14"/>
    <s v="181r.mid"/>
    <s v="181r.mid.mp3"/>
    <m/>
    <m/>
    <n v="50"/>
    <s v="Adrian"/>
    <s v="id3tag --song=&quot;Adrian (8.7.8.7.8.7.8.7.)&quot; --artist=&quot;Sir Robert P. Stewart&quot; --comment=&quot;&quot; --album=&quot;Red Book&quot; --track=&quot;181&quot; 181r.mid.mp3"/>
    <s v="https://www.dropbox.com/sh/cx7tus4mgkt9o4n/AADechptPO1rhTD07O8eHDvfa/181r.mid.mp3?raw=1"/>
  </r>
  <r>
    <x v="15"/>
    <s v="Agabus"/>
    <s v="7.7.7.7.8.8."/>
    <n v="92"/>
    <m/>
    <s v="LFTBs"/>
    <s v="Red Book"/>
    <x v="4"/>
    <s v="120r.mid"/>
    <s v="120r.mid.mp3"/>
    <m/>
    <m/>
    <n v="51"/>
    <s v="Agabus"/>
    <s v="id3tag --song=&quot;Agabus (7.7.7.7.8.8.)&quot; --artist=&quot;Miss E.C. Shanks&quot; --comment=&quot;&quot; --album=&quot;Red Book&quot; --track=&quot;120&quot; 120r.mid.mp3"/>
    <s v="https://www.dropbox.com/sh/cx7tus4mgkt9o4n/AACaI-f5PKV7-LhNtEZDbyu_a/120r.mid.mp3?raw=1"/>
  </r>
  <r>
    <x v="16"/>
    <s v="Ajeleth-Shahar"/>
    <s v="7.6.7.6.7.6.7.6."/>
    <n v="34"/>
    <m/>
    <s v="LFTB"/>
    <s v="Green Book"/>
    <x v="15"/>
    <s v="228g.mid"/>
    <s v="228g.mid.mp3"/>
    <m/>
    <m/>
    <n v="628"/>
    <s v="Ajeleth-Shahar"/>
    <s v="id3tag --song=&quot;Ajeleth-Shahar (7.6.7.6.7.6.7.6.)&quot; --artist=&quot;W.C. Fursland&quot; --comment=&quot;&quot; --album=&quot;Green Book&quot; --track=&quot;228&quot; 228g.mid.mp3"/>
    <s v="https://www.dropbox.com/sh/cx7tus4mgkt9o4n/AAA1g7KvxPwqU0GwEnrMT3BIa/228g.mid.mp3?raw=1"/>
  </r>
  <r>
    <x v="17"/>
    <s v="Alba"/>
    <s v="8.7.8.7."/>
    <n v="24"/>
    <m/>
    <s v="LFTB"/>
    <s v="Green Book"/>
    <x v="16"/>
    <s v="313g.mid"/>
    <s v="313g.mid.mp3"/>
    <m/>
    <m/>
    <n v="655"/>
    <s v="Alba"/>
    <s v="id3tag --song=&quot;Alba (8.7.8.7.)&quot; --artist=&quot;C. Leflaive&quot; --comment=&quot;&quot; --album=&quot;Green Book&quot; --track=&quot;313&quot; 313g.mid.mp3"/>
    <s v="https://www.dropbox.com/sh/cx7tus4mgkt9o4n/AAC5sjLADWfFN06z_4FAzOrba/313g.mid.mp3?raw=1"/>
  </r>
  <r>
    <x v="18"/>
    <s v="Albercroft"/>
    <s v="8.6.8.6.8.8."/>
    <n v="55"/>
    <m/>
    <s v="LFTBs"/>
    <s v="Red Book"/>
    <x v="17"/>
    <s v="140r.mid"/>
    <s v="140r.mid.mp3"/>
    <m/>
    <m/>
    <n v="52"/>
    <s v="Albercroft"/>
    <s v="id3tag --song=&quot;Albercroft (8.6.8.6.8.8.)&quot; --artist=&quot;A. L. Bloomfield&quot; --comment=&quot;&quot; --album=&quot;Red Book&quot; --track=&quot;140&quot; 140r.mid.mp3"/>
    <s v="https://www.dropbox.com/sh/cx7tus4mgkt9o4n/AACGh4KoC4oXn4DhJ3eTrx5Da/140r.mid.mp3?raw=1"/>
  </r>
  <r>
    <x v="19"/>
    <s v="Aldwyn"/>
    <s v="8.7.8.7.8.7.8.7. Iambic"/>
    <n v="66"/>
    <m/>
    <s v="LFTB"/>
    <s v="Green Book"/>
    <x v="18"/>
    <s v="396g.mid"/>
    <s v="396g.mid.mp3"/>
    <m/>
    <m/>
    <n v="394"/>
    <s v="Aldwyn"/>
    <s v="id3tag --song=&quot;Aldwyn (8.7.8.7.8.7.8.7. Iambic)&quot; --artist=&quot;G. C. Stebbins&quot; --comment=&quot;&quot; --album=&quot;Green Book&quot; --track=&quot;396&quot; 396g.mid.mp3"/>
    <s v="https://www.dropbox.com/sh/cx7tus4mgkt9o4n/AAA8anK1suT8Y5vHnjWsstXda/396g.mid.mp3?raw=1"/>
  </r>
  <r>
    <x v="20"/>
    <s v="Alford"/>
    <s v="7.6.7.6.7.6.7.6."/>
    <n v="34"/>
    <m/>
    <s v="LFTB"/>
    <s v="Green Book"/>
    <x v="19"/>
    <s v="229g.mid"/>
    <s v="229g.mid.mp3"/>
    <m/>
    <m/>
    <n v="629"/>
    <s v="Alford"/>
    <s v="id3tag --song=&quot;Alford (7.6.7.6.7.6.7.6.)&quot; --artist=&quot;Dr. J. B. Dykes&quot; --comment=&quot;&quot; --album=&quot;Green Book&quot; --track=&quot;229&quot; 229g.mid.mp3"/>
    <s v="https://www.dropbox.com/sh/cx7tus4mgkt9o4n/AACKKN1hKw1OzLeBNLQ7dSmRa/229g.mid.mp3?raw=1"/>
  </r>
  <r>
    <x v="21"/>
    <s v="Alfriston"/>
    <s v="L.M."/>
    <n v="16"/>
    <m/>
    <s v="LFTB"/>
    <s v="Green Book"/>
    <x v="20"/>
    <s v="89g.mid"/>
    <s v="89g.mid.mp3"/>
    <n v="1921"/>
    <m/>
    <n v="341"/>
    <s v="Alfriston"/>
    <s v="id3tag --song=&quot;Alfriston (L.M.)&quot; --artist=&quot;C. T. Lambert&quot; --comment=&quot;&quot; --album=&quot;Green Book&quot; --track=&quot;89&quot; 89g.mid.mp3"/>
    <s v="https://www.dropbox.com/sh/cx7tus4mgkt9o4n/AAD53w4M_3KaeEFytCRs3Avba/89g.mid.mp3?raw=1"/>
  </r>
  <r>
    <x v="22"/>
    <s v="All For Jesus"/>
    <s v="8.7.8.7."/>
    <n v="24"/>
    <m/>
    <s v="LFTB"/>
    <s v="Green Book"/>
    <x v="21"/>
    <s v="314g.mid"/>
    <s v="314g.mid.mp3"/>
    <m/>
    <m/>
    <n v="656"/>
    <s v="All For Jesus"/>
    <s v="id3tag --song=&quot;All For Jesus (8.7.8.7.)&quot; --artist=&quot;Sir John Stainer&quot; --comment=&quot;&quot; --album=&quot;Green Book&quot; --track=&quot;314&quot; 314g.mid.mp3"/>
    <s v="https://www.dropbox.com/sh/cx7tus4mgkt9o4n/AABs24F69HzQEWoZHk3Imhjoa/314g.mid.mp3?raw=1"/>
  </r>
  <r>
    <x v="7"/>
    <s v="All Hail!"/>
    <s v="C.M."/>
    <n v="19"/>
    <m/>
    <s v="LFTBs"/>
    <s v="Red Book"/>
    <x v="22"/>
    <s v="1r.mid"/>
    <s v="1r.mid.mp3"/>
    <m/>
    <m/>
    <n v="53"/>
    <s v="All Hail!"/>
    <s v="id3tag --song=&quot;All Hail! (C.M.)&quot; --artist=&quot;Mrs. J. H. Cuckney&quot; --comment=&quot;&quot; --album=&quot;Red Book&quot; --track=&quot;1&quot; 1r.mid.mp3"/>
    <s v="https://www.dropbox.com/sh/cx7tus4mgkt9o4n/AADlo7jLCuNbjulxBSmvtbY5a/1r.mid.mp3?raw=1"/>
  </r>
  <r>
    <x v="23"/>
    <s v="All in All"/>
    <s v="6.4.6.4.6.4.6.4."/>
    <n v="32"/>
    <m/>
    <s v="LFTBs"/>
    <s v="Red Book"/>
    <x v="23"/>
    <s v="61r.mid"/>
    <s v="61r.mid.mp3"/>
    <m/>
    <m/>
    <n v="54"/>
    <s v="All in All"/>
    <s v="id3tag --song=&quot;All in All (6.4.6.4.6.4.6.4.)&quot; --artist=&quot;Sir George C. Martin&quot; --comment=&quot;&quot; --album=&quot;Red Book&quot; --track=&quot;61&quot; 61r.mid.mp3"/>
    <s v="https://www.dropbox.com/sh/cx7tus4mgkt9o4n/AAC9hx98ApWqGxcgtSbbK6oZa/61r.mid.mp3?raw=1"/>
  </r>
  <r>
    <x v="24"/>
    <s v="All Is Well"/>
    <s v="8.4.8.4.8.8.8.4."/>
    <n v="47"/>
    <m/>
    <s v="LFTB"/>
    <s v="Green Book"/>
    <x v="9"/>
    <s v="286g.mid"/>
    <s v="286g.mid.mp3"/>
    <m/>
    <m/>
    <n v="644"/>
    <s v="All Is Well"/>
    <s v="id3tag --song=&quot;All Is Well (8.4.8.4.8.8.8.4.)&quot; --artist=&quot;Unknown&quot; --comment=&quot;&quot; --album=&quot;Green Book&quot; --track=&quot;286&quot; 286g.mid.mp3"/>
    <s v="https://www.dropbox.com/sh/cx7tus4mgkt9o4n/AABvR43C8wP4Az90m0zZ-XDja/286g.mid.mp3?raw=1"/>
  </r>
  <r>
    <x v="25"/>
    <s v="All Saints"/>
    <s v="8.7.8.7.7.7."/>
    <n v="77"/>
    <m/>
    <s v="LFTB"/>
    <s v="Green Book"/>
    <x v="24"/>
    <s v="366g.mid"/>
    <s v="366g.mid.mp3"/>
    <n v="1698"/>
    <m/>
    <n v="645"/>
    <s v="All Saints"/>
    <s v="id3tag --song=&quot;All Saints (8.7.8.7.7.7.)&quot; --artist=&quot;Geistreiches Gesangbuch&quot; --comment=&quot;&quot; --album=&quot;Green Book&quot; --track=&quot;366&quot; 366g.mid.mp3"/>
    <s v="https://www.dropbox.com/sh/cx7tus4mgkt9o4n/AADDwi0bV8cj5VjuZ_hBXdfQa/366g.mid.mp3?raw=1"/>
  </r>
  <r>
    <x v="26"/>
    <s v="Allendale"/>
    <s v="8.8.7.7."/>
    <n v="79"/>
    <m/>
    <s v="LFTB"/>
    <s v="Green Book"/>
    <x v="25"/>
    <s v="413.mid"/>
    <s v="413.mid.mp3"/>
    <n v="1931"/>
    <m/>
    <n v="1"/>
    <s v="Allendale"/>
    <s v="id3tag --song=&quot;Allendale (8.8.7.7.)&quot; --artist=&quot;Miss B. Joseph&quot; --comment=&quot;&quot; --album=&quot;Green Book&quot; --track=&quot;413&quot; 413.mid.mp3"/>
    <s v="https://www.dropbox.com/sh/cx7tus4mgkt9o4n/AAAi2CiTL3VnNZiYl68Wys5sa/413.mid.mp3?raw=1"/>
  </r>
  <r>
    <x v="27"/>
    <s v="Alma"/>
    <s v="8.7.8.7."/>
    <n v="24"/>
    <m/>
    <s v="LFTB"/>
    <s v="Green Book"/>
    <x v="26"/>
    <s v="315g.mid"/>
    <s v="315g.mid.mp3"/>
    <m/>
    <m/>
    <n v="657"/>
    <s v="No matching tune"/>
    <s v="id3tag --song=&quot;Alma (8.7.8.7.)&quot; --artist=&quot;S. Webbe&quot; --comment=&quot;&quot; --album=&quot;Green Book&quot; --track=&quot;315&quot; 315g.mid.mp3"/>
    <e v="#N/A"/>
  </r>
  <r>
    <x v="28"/>
    <s v="Almost Persuaded"/>
    <s v="9.9.6.6.6.4."/>
    <n v="69"/>
    <m/>
    <s v="LFTB"/>
    <s v="Green Book"/>
    <x v="27"/>
    <s v="450g.mid"/>
    <s v="450g.mid.mp3"/>
    <m/>
    <m/>
    <n v="708"/>
    <s v="Almost Persuaded"/>
    <s v="id3tag --song=&quot;Almost Persuaded (9.9.6.6.6.4.)&quot; --artist=&quot;P. P. Bliss&quot; --comment=&quot;&quot; --album=&quot;Green Book&quot; --track=&quot;450&quot; 450g.mid.mp3"/>
    <s v="https://www.dropbox.com/sh/cx7tus4mgkt9o4n/AADdzqX3kngZAtDN9_A30kyZa/450g.mid.mp3?raw=1"/>
  </r>
  <r>
    <x v="29"/>
    <s v="Alpha"/>
    <s v="9.8.9.8."/>
    <n v="35"/>
    <m/>
    <s v="LFTBs"/>
    <s v="Red Book"/>
    <x v="28"/>
    <s v="219r.mid"/>
    <s v="219r.mid.mp3"/>
    <m/>
    <m/>
    <n v="55"/>
    <s v="Alpha"/>
    <s v="id3tag --song=&quot;Alpha (9.8.9.8.)&quot; --artist=&quot;E. Carren&quot; --comment=&quot;&quot; --album=&quot;Red Book&quot; --track=&quot;219&quot; 219r.mid.mp3"/>
    <s v="https://www.dropbox.com/sh/cx7tus4mgkt9o4n/AABqNTKk5vkpABWQ1FXoKBn-a/219r.mid.mp3?raw=1"/>
  </r>
  <r>
    <x v="30"/>
    <s v="Alstone"/>
    <s v="L.M."/>
    <n v="16"/>
    <m/>
    <s v="LFTB"/>
    <s v="Green Book"/>
    <x v="29"/>
    <s v="90g.mid"/>
    <s v="90g.mid.mp3"/>
    <m/>
    <m/>
    <n v="342"/>
    <s v="Alstone"/>
    <s v="id3tag --song=&quot;Alstone (L.M.)&quot; --artist=&quot;C. E. Willing&quot; --comment=&quot;&quot; --album=&quot;Green Book&quot; --track=&quot;90&quot; 90g.mid.mp3"/>
    <s v="https://www.dropbox.com/sh/cx7tus4mgkt9o4n/AAAQK3RyNey6XuCq4UXNwNkCa/90g.mid.mp3?raw=1"/>
  </r>
  <r>
    <x v="31"/>
    <s v="Alverstoke"/>
    <s v="11.10.11.10."/>
    <n v="52"/>
    <m/>
    <s v="LFTBs"/>
    <s v="Red Book"/>
    <x v="30"/>
    <s v="261r.mid"/>
    <s v="261r.mid.mp3"/>
    <m/>
    <m/>
    <n v="56"/>
    <s v="Alverstoke"/>
    <s v="id3tag --song=&quot;Alverstoke (11.10.11.10.)&quot; --artist=&quot;Sir Joseph Barnby&quot; --comment=&quot;&quot; --album=&quot;Red Book&quot; --track=&quot;261&quot; 261r.mid.mp3"/>
    <s v="https://www.dropbox.com/sh/cx7tus4mgkt9o4n/AACZlGGRaC0hsEK0IbA9XQJqa/261r.mid.mp3?raw=1"/>
  </r>
  <r>
    <x v="32"/>
    <s v="Alvesta"/>
    <s v="10.10.10.10."/>
    <n v="21"/>
    <m/>
    <s v="LFTB"/>
    <s v="Green Book"/>
    <x v="9"/>
    <s v="470g.mid"/>
    <s v="470g.mid.mp3"/>
    <m/>
    <m/>
    <n v="719"/>
    <s v="Alvesta"/>
    <s v="id3tag --song=&quot;Alvesta (10.10.10.10.)&quot; --artist=&quot;Unknown&quot; --comment=&quot;&quot; --album=&quot;Green Book&quot; --track=&quot;470&quot; 470g.mid.mp3"/>
    <s v="https://www.dropbox.com/sh/cx7tus4mgkt9o4n/AABNqIfCFfBFHcCJhw5Cdnhba/470g.mid.mp3?raw=1"/>
  </r>
  <r>
    <x v="33"/>
    <s v="Anameno"/>
    <s v="6.5.11.6.5.11."/>
    <n v="27"/>
    <m/>
    <s v="LFTB"/>
    <s v="Green Book"/>
    <x v="11"/>
    <s v="182g.mid"/>
    <s v="182g.mid.mp3"/>
    <m/>
    <m/>
    <n v="2"/>
    <s v="Anameno"/>
    <s v="id3tag --song=&quot;Anameno (6.5.11.6.5.11.)&quot; --artist=&quot;T. Collins&quot; --comment=&quot;&quot; --album=&quot;Green Book&quot; --track=&quot;182&quot; 182g.mid.mp3"/>
    <s v="https://www.dropbox.com/sh/cx7tus4mgkt9o4n/AABx51CsacxbvJ39mfr2COw6a/182g.mid.mp3?raw=1"/>
  </r>
  <r>
    <x v="34"/>
    <s v="Anastasis"/>
    <s v="8.7.8.7.7.7."/>
    <n v="77"/>
    <s v="8.7.8.7.4.4.7."/>
    <s v="LFTBs"/>
    <s v="Red Book"/>
    <x v="28"/>
    <s v="180r.mid"/>
    <s v="180r.mid.mp3"/>
    <m/>
    <m/>
    <n v="57"/>
    <s v="Anastasis"/>
    <s v="id3tag --song=&quot;Anastasis (8.7.8.7.7.7.)&quot; --artist=&quot;E. Carren&quot; --comment=&quot;&quot; --album=&quot;Red Book&quot; --track=&quot;180&quot; 180r.mid.mp3"/>
    <s v="https://www.dropbox.com/sh/cx7tus4mgkt9o4n/AABeZAm3haolw6pVClLt5nT6a/180r.mid.mp3?raw=1"/>
  </r>
  <r>
    <x v="35"/>
    <s v="Angel's Story"/>
    <s v="7.6.7.6.7.6.7.6."/>
    <n v="34"/>
    <m/>
    <s v="LFTBs"/>
    <s v="Red Book"/>
    <x v="31"/>
    <s v="98r.mid"/>
    <s v="98r.mid.mp3"/>
    <m/>
    <m/>
    <n v="58"/>
    <s v="Angel's Story"/>
    <s v="id3tag --song=&quot;Angel's Story (7.6.7.6.7.6.7.6.)&quot; --artist=&quot;Dr. A.H. Mann&quot; --comment=&quot;&quot; --album=&quot;Red Book&quot; --track=&quot;98&quot; 98r.mid.mp3"/>
    <s v="https://www.dropbox.com/sh/cx7tus4mgkt9o4n/AAA1DK7bMMOqlOr-T0J4JhaEa/98r.mid.mp3?raw=1"/>
  </r>
  <r>
    <x v="36"/>
    <s v="Angelus"/>
    <s v="L.M."/>
    <n v="16"/>
    <m/>
    <s v="LFTB"/>
    <s v="Green Book"/>
    <x v="32"/>
    <s v="91g.mid"/>
    <s v="91g.mid.mp3"/>
    <n v="1657"/>
    <m/>
    <n v="343"/>
    <s v="Angelus"/>
    <s v="id3tag --song=&quot;Angelus (L.M.)&quot; --artist=&quot;G. Joseph&quot; --comment=&quot;&quot; --album=&quot;Green Book&quot; --track=&quot;91&quot; 91g.mid.mp3"/>
    <s v="https://www.dropbox.com/sh/cx7tus4mgkt9o4n/AAA0n3jpga9_oQyOAYORHip2a/91g.mid.mp3?raw=1"/>
  </r>
  <r>
    <x v="37"/>
    <s v="Annabelle"/>
    <s v="9.8.9.8."/>
    <n v="35"/>
    <m/>
    <s v="LFTBs"/>
    <s v="Red Book"/>
    <x v="33"/>
    <s v="220r.mid"/>
    <s v="220r.mid.mp3"/>
    <m/>
    <m/>
    <n v="59"/>
    <s v="Annabelle"/>
    <s v="id3tag --song=&quot;Annabelle (9.8.9.8.)&quot; --artist=&quot;John B. Parker&quot; --comment=&quot;&quot; --album=&quot;Red Book&quot; --track=&quot;220&quot; 220r.mid.mp3"/>
    <s v="https://www.dropbox.com/sh/cx7tus4mgkt9o4n/AADKSNBhkdqHZ-PFO9Rg4ph8a/220r.mid.mp3?raw=1"/>
  </r>
  <r>
    <x v="38"/>
    <s v="Anticipation"/>
    <s v="11.10.11.10."/>
    <n v="52"/>
    <m/>
    <s v="LFTBs"/>
    <s v="Red Book"/>
    <x v="34"/>
    <s v="262r.mid"/>
    <s v="262r.mid.mp3"/>
    <m/>
    <m/>
    <n v="60"/>
    <s v="Anticipation"/>
    <s v="id3tag --song=&quot;Anticipation (11.10.11.10.)&quot; --artist=&quot;Gordon Millar&quot; --comment=&quot;&quot; --album=&quot;Red Book&quot; --track=&quot;262&quot; 262r.mid.mp3"/>
    <s v="https://www.dropbox.com/sh/cx7tus4mgkt9o4n/AADW_Ep5Bw1KoOdci-SimxRLa/262r.mid.mp3?raw=1"/>
  </r>
  <r>
    <x v="39"/>
    <s v="Anticipation"/>
    <s v="11.11.11.11. Trochaic"/>
    <n v="64"/>
    <m/>
    <s v="LFTBs"/>
    <s v="Red Book"/>
    <x v="35"/>
    <s v="278r.mid"/>
    <s v="278r.mid.mp3"/>
    <m/>
    <m/>
    <n v="61"/>
    <s v="Anticipation"/>
    <s v="id3tag --song=&quot;Anticipation (11.11.11.11. Trochaic)&quot; --artist=&quot;D.A.J. Burling&quot; --comment=&quot;&quot; --album=&quot;Red Book&quot; --track=&quot;278&quot; 278r.mid.mp3"/>
    <s v="https://www.dropbox.com/sh/cx7tus4mgkt9o4n/AABTOzsGgJhNYXYG6iQdHEKja/278r.mid.mp3?raw=1"/>
  </r>
  <r>
    <x v="8"/>
    <s v="Ardingley"/>
    <s v="C.M."/>
    <n v="19"/>
    <m/>
    <s v="LFTBs"/>
    <s v="Red Book"/>
    <x v="36"/>
    <s v="2r.mid"/>
    <s v="2r.mid.mp3"/>
    <m/>
    <m/>
    <n v="62"/>
    <s v="Ardingley"/>
    <s v="id3tag --song=&quot;Ardingley (C.M.)&quot; --artist=&quot;M. Colley&quot; --comment=&quot;&quot; --album=&quot;Red Book&quot; --track=&quot;2&quot; 2r.mid.mp3"/>
    <s v="https://www.dropbox.com/sh/cx7tus4mgkt9o4n/AACIgD545GM_7t2sYkgQ9--ja/2r.mid.mp3?raw=1"/>
  </r>
  <r>
    <x v="40"/>
    <s v="Arizona"/>
    <s v="L.M."/>
    <n v="16"/>
    <m/>
    <s v="LFTBs"/>
    <s v="Red Book"/>
    <x v="37"/>
    <s v="26r.mid"/>
    <s v="26r.mid.mp3"/>
    <m/>
    <m/>
    <n v="63"/>
    <s v="Arizona"/>
    <s v="id3tag --song=&quot;Arizona (L.M.)&quot; --artist=&quot;Dr. R.H. Earnshaw&quot; --comment=&quot;&quot; --album=&quot;Red Book&quot; --track=&quot;26&quot; 26r.mid.mp3"/>
    <s v="https://www.dropbox.com/sh/cx7tus4mgkt9o4n/AAARGhCRCfWlHNsriaRjuUXOa/26r.mid.mp3?raw=1"/>
  </r>
  <r>
    <x v="41"/>
    <s v="Arlington"/>
    <s v="C.M."/>
    <n v="19"/>
    <m/>
    <s v="LFTB"/>
    <s v="Green Book"/>
    <x v="38"/>
    <s v="3g.mid"/>
    <s v="3g.mid.mp3"/>
    <m/>
    <m/>
    <n v="331"/>
    <s v="Arlington"/>
    <s v="id3tag --song=&quot;Arlington (C.M.)&quot; --artist=&quot;Dr. T. Arne&quot; --comment=&quot;&quot; --album=&quot;Green Book&quot; --track=&quot;3&quot; 3g.mid.mp3"/>
    <s v="https://www.dropbox.com/sh/cx7tus4mgkt9o4n/AABRhDXFwhjFgZnAI8wGi3Pfa/3g.mid.mp3?raw=1"/>
  </r>
  <r>
    <x v="42"/>
    <s v="Arnold"/>
    <s v="C.M."/>
    <n v="19"/>
    <m/>
    <s v="LFTB"/>
    <s v="Green Book"/>
    <x v="39"/>
    <s v="4g.mid"/>
    <s v="4g.mid.mp3"/>
    <n v="1791"/>
    <m/>
    <n v="332"/>
    <s v="Arnold"/>
    <s v="id3tag --song=&quot;Arnold (C.M.)&quot; --artist=&quot;Dr. S. Arnold&quot; --comment=&quot;&quot; --album=&quot;Green Book&quot; --track=&quot;4&quot; 4g.mid.mp3"/>
    <s v="https://www.dropbox.com/sh/cx7tus4mgkt9o4n/AACfZzJghSD-eNg2RAIZZ2fJa/4g.mid.mp3?raw=1"/>
  </r>
  <r>
    <x v="43"/>
    <s v="Arnon"/>
    <s v="8.8.8.8.6."/>
    <n v="58"/>
    <m/>
    <s v="LFTBs"/>
    <s v="Red Book"/>
    <x v="40"/>
    <s v="206r.mid"/>
    <s v="206r.mid.mp3"/>
    <m/>
    <m/>
    <n v="64"/>
    <s v="Arnon"/>
    <s v="id3tag --song=&quot;Arnon (8.8.8.8.6.)&quot; --artist=&quot;D. R. C. McCorkell&quot; --comment=&quot;&quot; --album=&quot;Red Book&quot; --track=&quot;206&quot; 206r.mid.mp3"/>
    <s v="https://www.dropbox.com/sh/cx7tus4mgkt9o4n/AADUPaEOS_yzCw_ZFULZZ4aRa/206r.mid.mp3?raw=1"/>
  </r>
  <r>
    <x v="44"/>
    <s v="Arundel"/>
    <s v="8.5.8.3."/>
    <n v="53"/>
    <m/>
    <s v="LFTBs"/>
    <s v="Red Book"/>
    <x v="41"/>
    <s v="125r.mid"/>
    <s v="125r.mid.mp3"/>
    <m/>
    <m/>
    <n v="65"/>
    <s v="Arundel"/>
    <s v="id3tag --song=&quot;Arundel (8.5.8.3.)&quot; --artist=&quot;K.D. Clarke&quot; --comment=&quot;&quot; --album=&quot;Red Book&quot; --track=&quot;125&quot; 125r.mid.mp3"/>
    <s v="https://www.dropbox.com/sh/cx7tus4mgkt9o4n/AAA8QCS0ekLd9XK_AHKBBW5Za/125r.mid.mp3?raw=1"/>
  </r>
  <r>
    <x v="45"/>
    <s v="Ascalon"/>
    <s v="6.6.8.6.6.8."/>
    <n v="73"/>
    <m/>
    <s v="LFTB"/>
    <s v="Green Book"/>
    <x v="42"/>
    <s v="211.mid"/>
    <s v="211.mid.mp3"/>
    <n v="1842"/>
    <m/>
    <n v="3"/>
    <s v="Ascalon"/>
    <s v="id3tag --song=&quot;Ascalon (6.6.8.6.6.8.)&quot; --artist=&quot;German Melody&quot; --comment=&quot;&quot; --album=&quot;Green Book&quot; --track=&quot;211&quot; 211.mid.mp3"/>
    <s v="https://www.dropbox.com/sh/cx7tus4mgkt9o4n/AACIwe6uDVzVIkFZFEtrAISIa/211.mid.mp3?raw=1"/>
  </r>
  <r>
    <x v="46"/>
    <s v="Ascending"/>
    <s v="8.8.6.8.8.6."/>
    <n v="20"/>
    <m/>
    <s v="LFTBs"/>
    <s v="Red Book"/>
    <x v="43"/>
    <s v="197r.mid"/>
    <s v="197r.mid.mp3"/>
    <m/>
    <m/>
    <n v="66"/>
    <s v="Ascending"/>
    <s v="id3tag --song=&quot;Ascending (8.8.6.8.8.6.)&quot; --artist=&quot;Peter Blanche&quot; --comment=&quot;&quot; --album=&quot;Red Book&quot; --track=&quot;197&quot; 197r.mid.mp3"/>
    <s v="https://www.dropbox.com/sh/cx7tus4mgkt9o4n/AACs4CbR6RIY0SVumUrNtL_1a/197r.mid.mp3?raw=1"/>
  </r>
  <r>
    <x v="41"/>
    <s v="Aser"/>
    <s v="C.M."/>
    <n v="19"/>
    <m/>
    <s v="LFTBs"/>
    <s v="Red Book"/>
    <x v="44"/>
    <s v="3r.mid"/>
    <s v="3r.mid.mp3"/>
    <m/>
    <m/>
    <n v="67"/>
    <s v="Aser"/>
    <s v="id3tag --song=&quot;Aser (C.M.)&quot; --artist=&quot;A. Johannson&quot; --comment=&quot;&quot; --album=&quot;Red Book&quot; --track=&quot;3&quot; 3r.mid.mp3"/>
    <s v="https://www.dropbox.com/sh/cx7tus4mgkt9o4n/AADiM5SdtRkf05_974m7h5Iia/3r.mid.mp3?raw=1"/>
  </r>
  <r>
    <x v="47"/>
    <s v="Ashcombe"/>
    <s v="6.5.11.6.5.11."/>
    <n v="27"/>
    <m/>
    <s v="LFTB"/>
    <s v="Green Book"/>
    <x v="45"/>
    <s v="183g.mid"/>
    <s v="183g.mid.mp3"/>
    <n v="1936"/>
    <m/>
    <n v="4"/>
    <s v="Ashcombe"/>
    <s v="id3tag --song=&quot;Ashcombe (6.5.11.6.5.11.)&quot; --artist=&quot;R. A. Evershead&quot; --comment=&quot;&quot; --album=&quot;Green Book&quot; --track=&quot;183&quot; 183g.mid.mp3"/>
    <s v="https://www.dropbox.com/sh/cx7tus4mgkt9o4n/AADMlPFgQSLd34zKq2ZPj7kNa/183g.mid.mp3?raw=1"/>
  </r>
  <r>
    <x v="48"/>
    <s v="Asher"/>
    <s v="14.14.4.7.8."/>
    <n v="78"/>
    <m/>
    <s v="LFTBs"/>
    <s v="Red Book"/>
    <x v="46"/>
    <s v="292r.mid"/>
    <s v="292r.mid.mp3"/>
    <m/>
    <m/>
    <n v="68"/>
    <s v="Asher"/>
    <s v="id3tag --song=&quot;Asher (14.14.4.7.8.)&quot; --artist=&quot;Miss E. C. Shanks&quot; --comment=&quot;&quot; --album=&quot;Red Book&quot; --track=&quot;292&quot; 292r.mid.mp3"/>
    <s v="https://www.dropbox.com/sh/cx7tus4mgkt9o4n/AAC_LZgsQh_bvAsoCNXzxnaRa/292r.mid.mp3?raw=1"/>
  </r>
  <r>
    <x v="42"/>
    <s v="Auckland (Rest)"/>
    <s v="C.M."/>
    <n v="19"/>
    <m/>
    <s v="LFTBs"/>
    <s v="Red Book"/>
    <x v="47"/>
    <s v="4r.mid"/>
    <s v="4r.mid.mp3"/>
    <m/>
    <m/>
    <n v="69"/>
    <s v="Auckland (Rest)"/>
    <s v="id3tag --song=&quot;Auckland (Rest) (C.M.)&quot; --artist=&quot;Bishop Handley Moule&quot; --comment=&quot;&quot; --album=&quot;Red Book&quot; --track=&quot;4&quot; 4r.mid.mp3"/>
    <s v="https://www.dropbox.com/sh/cx7tus4mgkt9o4n/AADvuFbqMgfenqYC8KX_Q-nca/4r.mid.mp3?raw=1"/>
  </r>
  <r>
    <x v="49"/>
    <s v="Aurelia"/>
    <s v="7.6.7.6.7.6.7.6."/>
    <n v="34"/>
    <m/>
    <s v="LFTB"/>
    <s v="Green Book"/>
    <x v="48"/>
    <s v="231g.mid"/>
    <s v="231g.mid.mp3"/>
    <m/>
    <m/>
    <n v="367"/>
    <s v="Aurelia"/>
    <s v="id3tag --song=&quot;Aurelia (7.6.7.6.7.6.7.6.)&quot; --artist=&quot;Dr. S. S. Wesley&quot; --comment=&quot;&quot; --album=&quot;Green Book&quot; --track=&quot;231&quot; 231g.mid.mp3"/>
    <s v="https://www.dropbox.com/sh/cx7tus4mgkt9o4n/AAAeeIW5klTVME00Zw4SsQdea/231g.mid.mp3?raw=1"/>
  </r>
  <r>
    <x v="50"/>
    <s v="Austin"/>
    <s v="S.M."/>
    <n v="22"/>
    <m/>
    <s v="LFTB"/>
    <s v="Green Book"/>
    <x v="49"/>
    <s v="130g.mid"/>
    <s v="130g.mid.mp3"/>
    <m/>
    <m/>
    <n v="544"/>
    <s v="Austin"/>
    <s v="id3tag --song=&quot;Austin (S.M.)&quot; --artist=&quot;A. E. Lord&quot; --comment=&quot;&quot; --album=&quot;Green Book&quot; --track=&quot;130&quot; 130g.mid.mp3"/>
    <s v="https://www.dropbox.com/sh/cx7tus4mgkt9o4n/AADV7rPWzBZ4nhIx2IikcGHVa/130g.mid.mp3?raw=1"/>
  </r>
  <r>
    <x v="51"/>
    <s v="Austria"/>
    <s v="8.7.8.7.8.7.8.7."/>
    <n v="25"/>
    <m/>
    <s v="LFTB"/>
    <s v="Green Book"/>
    <x v="50"/>
    <s v="372g.mid"/>
    <s v="372g.mid.mp3"/>
    <m/>
    <m/>
    <n v="666"/>
    <s v="Austria"/>
    <s v="id3tag --song=&quot;Austria (8.7.8.7.8.7.8.7.)&quot; --artist=&quot;From Haydn&quot; --comment=&quot;&quot; --album=&quot;Green Book&quot; --track=&quot;372&quot; 372g.mid.mp3"/>
    <s v="https://www.dropbox.com/sh/cx7tus4mgkt9o4n/AABLNlsN8aRDlar15S7uTF34a/372g.mid.mp3?raw=1"/>
  </r>
  <r>
    <x v="52"/>
    <s v="Author of Life"/>
    <s v="6.6.6.6.8.8."/>
    <n v="51"/>
    <m/>
    <s v="LFTBs"/>
    <s v="Red Book"/>
    <x v="21"/>
    <s v="80r.mid"/>
    <s v="80r.mid.mp3"/>
    <m/>
    <m/>
    <n v="70"/>
    <s v="Author of Life"/>
    <s v="id3tag --song=&quot;Author of Life (6.6.6.6.8.8.)&quot; --artist=&quot;Sir John Stainer&quot; --comment=&quot;&quot; --album=&quot;Red Book&quot; --track=&quot;80&quot; 80r.mid.mp3"/>
    <s v="https://www.dropbox.com/sh/cx7tus4mgkt9o4n/AABqG2luCbH08wpVmCMqkRTMa/80r.mid.mp3?raw=1"/>
  </r>
  <r>
    <x v="53"/>
    <s v="Autumn"/>
    <s v="10.10.10.10."/>
    <n v="21"/>
    <m/>
    <s v="LFTB"/>
    <s v="Green Book"/>
    <x v="51"/>
    <s v="471g.mid"/>
    <s v="471g.mid.mp3"/>
    <m/>
    <m/>
    <n v="720"/>
    <s v="Autumn"/>
    <s v="id3tag --song=&quot;Autumn (10.10.10.10.)&quot; --artist=&quot;F. Duckworth&quot; --comment=&quot;&quot; --album=&quot;Green Book&quot; --track=&quot;471&quot; 471g.mid.mp3"/>
    <s v="https://www.dropbox.com/sh/cx7tus4mgkt9o4n/AAC0I5Ndq_pQZw7vZq8Q-Sg3a/471g.mid.mp3?raw=1"/>
  </r>
  <r>
    <x v="54"/>
    <s v="Avoca (Parkes)"/>
    <s v="11.10.11.10. Dactylic"/>
    <n v="17"/>
    <m/>
    <s v="LFTBs"/>
    <s v="Red Book"/>
    <x v="52"/>
    <s v="268r.mid"/>
    <s v="268r.mid.mp3"/>
    <m/>
    <m/>
    <n v="71"/>
    <s v="Avoca (Parkes)"/>
    <s v="id3tag --song=&quot;Avoca (Parkes) (11.10.11.10. Dactylic)&quot; --artist=&quot;F.H. Parkes&quot; --comment=&quot;&quot; --album=&quot;Red Book&quot; --track=&quot;268&quot; 268r.mid.mp3"/>
    <s v="https://www.dropbox.com/sh/cx7tus4mgkt9o4n/AAAT31bXm7OypSduAaR90bi-a/268r.mid.mp3?raw=1"/>
  </r>
  <r>
    <x v="55"/>
    <s v="Aziel"/>
    <s v="10.10.10.10."/>
    <n v="21"/>
    <m/>
    <s v="LFTB"/>
    <s v="Green Book"/>
    <x v="11"/>
    <s v="472g.mid"/>
    <s v="472g.mid.mp3"/>
    <m/>
    <m/>
    <n v="721"/>
    <s v="Aziel"/>
    <s v="id3tag --song=&quot;Aziel (10.10.10.10.)&quot; --artist=&quot;T. Collins&quot; --comment=&quot;&quot; --album=&quot;Green Book&quot; --track=&quot;472&quot; 472g.mid.mp3"/>
    <s v="https://www.dropbox.com/sh/cx7tus4mgkt9o4n/AACqFc7BeCEICQKl5rvg15wva/472g.mid.mp3?raw=1"/>
  </r>
  <r>
    <x v="56"/>
    <s v="Baden"/>
    <s v="8.6.8.6.8.8."/>
    <n v="55"/>
    <m/>
    <s v="LFTB"/>
    <s v="Green Book"/>
    <x v="53"/>
    <s v="305g.mid"/>
    <s v="305g.mid.mp3"/>
    <m/>
    <m/>
    <n v="377"/>
    <s v="Baden"/>
    <s v="id3tag --song=&quot;Baden (8.6.8.6.8.8.)&quot; --artist=&quot;From Spohr&quot; --comment=&quot;&quot; --album=&quot;Green Book&quot; --track=&quot;305&quot; 305g.mid.mp3"/>
    <s v="https://www.dropbox.com/sh/cx7tus4mgkt9o4n/AABwTUGVsTKdQXh0kiJi8fDUa/305g.mid.mp3?raw=1"/>
  </r>
  <r>
    <x v="57"/>
    <s v="Ballerma"/>
    <s v="C.M."/>
    <n v="19"/>
    <m/>
    <s v="LFTB"/>
    <s v="Green Book"/>
    <x v="54"/>
    <s v="6g.mid"/>
    <s v="6g.mid.mp3"/>
    <m/>
    <m/>
    <n v="333"/>
    <s v="Ballerma"/>
    <s v="id3tag --song=&quot;Ballerma (C.M.)&quot; --artist=&quot;R. Simpson&quot; --comment=&quot;&quot; --album=&quot;Green Book&quot; --track=&quot;6&quot; 6g.mid.mp3"/>
    <s v="https://www.dropbox.com/sh/cx7tus4mgkt9o4n/AABSlhXusQr41jwr-iEdQZEFa/6g.mid.mp3?raw=1"/>
  </r>
  <r>
    <x v="58"/>
    <s v="Ballyclare"/>
    <s v="10.10.10.10."/>
    <n v="21"/>
    <m/>
    <s v="LFTB"/>
    <s v="Green Book"/>
    <x v="11"/>
    <s v="473g.mid"/>
    <s v="473g.mid.mp3"/>
    <m/>
    <m/>
    <n v="722"/>
    <s v="Ballyclare"/>
    <s v="id3tag --song=&quot;Ballyclare (10.10.10.10.)&quot; --artist=&quot;T. Collins&quot; --comment=&quot;&quot; --album=&quot;Green Book&quot; --track=&quot;473&quot; 473g.mid.mp3"/>
    <s v="https://www.dropbox.com/sh/cx7tus4mgkt9o4n/AADVez9r8XZg0glB0zaooFNCa/473g.mid.mp3?raw=1"/>
  </r>
  <r>
    <x v="59"/>
    <s v="Bangor"/>
    <s v="L.M."/>
    <n v="16"/>
    <m/>
    <s v="LFTBs"/>
    <s v="Red Book"/>
    <x v="55"/>
    <s v="27r.mid"/>
    <s v="27r.mid.mp3"/>
    <m/>
    <m/>
    <n v="72"/>
    <s v="Bangor"/>
    <s v="id3tag --song=&quot;Bangor (L.M.)&quot; --artist=&quot;R. E. Frizelle&quot; --comment=&quot;&quot; --album=&quot;Red Book&quot; --track=&quot;27&quot; 27r.mid.mp3"/>
    <s v="https://www.dropbox.com/sh/cx7tus4mgkt9o4n/AABPN16cBNfl9hxnneQsAyCJa/27r.mid.mp3?raw=1"/>
  </r>
  <r>
    <x v="60"/>
    <s v="Barnet"/>
    <s v="8.6.8.6.8.8."/>
    <n v="55"/>
    <m/>
    <s v="LFTBs"/>
    <s v="Red Book"/>
    <x v="56"/>
    <s v="141r.mid"/>
    <s v="141r.mid.mp3"/>
    <m/>
    <m/>
    <n v="73"/>
    <s v="Barnet"/>
    <s v="id3tag --song=&quot;Barnet (8.6.8.6.8.8.)&quot; --artist=&quot;E. J. Judd&quot; --comment=&quot;&quot; --album=&quot;Red Book&quot; --track=&quot;141&quot; 141r.mid.mp3"/>
    <s v="https://www.dropbox.com/sh/cx7tus4mgkt9o4n/AAAnfMM85nqjV30MuY06XP8Ba/141r.mid.mp3?raw=1"/>
  </r>
  <r>
    <x v="61"/>
    <s v="Barrow"/>
    <s v="C.M."/>
    <n v="19"/>
    <m/>
    <s v="LFTB"/>
    <s v="Green Book"/>
    <x v="57"/>
    <s v="7g.mid"/>
    <s v="7g.mid.mp3"/>
    <m/>
    <m/>
    <n v="415"/>
    <s v="Barrow"/>
    <s v="id3tag --song=&quot;Barrow (C.M.)&quot; --artist=&quot;American&quot; --comment=&quot;&quot; --album=&quot;Green Book&quot; --track=&quot;7&quot; 7g.mid.mp3"/>
    <s v="https://www.dropbox.com/sh/cx7tus4mgkt9o4n/AACtP4aFLZwPSG3vl4g8dy_Pa/7g.mid.mp3?raw=1"/>
  </r>
  <r>
    <x v="62"/>
    <s v="Barton"/>
    <s v="10.4.10.4.10.10."/>
    <n v="45"/>
    <m/>
    <s v="LFTBs"/>
    <s v="Red Book"/>
    <x v="58"/>
    <s v="243r.mid"/>
    <s v="243r.mid.mp3"/>
    <m/>
    <m/>
    <n v="74"/>
    <s v="Barton"/>
    <s v="id3tag --song=&quot;Barton (10.4.10.4.10.10.)&quot; --artist=&quot;J. T. Lightwood&quot; --comment=&quot;&quot; --album=&quot;Red Book&quot; --track=&quot;243&quot; 243r.mid.mp3"/>
    <s v="https://www.dropbox.com/sh/cx7tus4mgkt9o4n/AAB79TLccpfLA5lXwrkmHWVda/243r.mid.mp3?raw=1"/>
  </r>
  <r>
    <x v="45"/>
    <s v="Basileos"/>
    <s v="8.8.8.8.8.8."/>
    <n v="26"/>
    <m/>
    <s v="LFTBs"/>
    <s v="Red Book"/>
    <x v="28"/>
    <s v="211r.mid"/>
    <s v="211r.mid.mp3"/>
    <m/>
    <m/>
    <n v="75"/>
    <s v="Basileos"/>
    <s v="id3tag --song=&quot;Basileos (8.8.8.8.8.8.)&quot; --artist=&quot;E. Carren&quot; --comment=&quot;&quot; --album=&quot;Red Book&quot; --track=&quot;211&quot; 211r.mid.mp3"/>
    <s v="https://www.dropbox.com/sh/cx7tus4mgkt9o4n/AAAsyacy9v6Gaes_QU58V9EOa/211r.mid.mp3?raw=1"/>
  </r>
  <r>
    <x v="63"/>
    <s v="Bath-Barah"/>
    <s v="6.6.6.6.8.8."/>
    <n v="51"/>
    <m/>
    <s v="LFTBs"/>
    <s v="Red Book"/>
    <x v="46"/>
    <s v="81r.mid"/>
    <s v="81r.mid.mp3"/>
    <m/>
    <m/>
    <n v="76"/>
    <s v="Bath-Barah"/>
    <s v="id3tag --song=&quot;Bath-Barah (6.6.6.6.8.8.)&quot; --artist=&quot;Miss E. C. Shanks&quot; --comment=&quot;&quot; --album=&quot;Red Book&quot; --track=&quot;81&quot; 81r.mid.mp3"/>
    <s v="https://www.dropbox.com/sh/cx7tus4mgkt9o4n/AAAobL041BurQA1JLL8ysy0da/81r.mid.mp3?raw=1"/>
  </r>
  <r>
    <x v="64"/>
    <s v="Beatitudo"/>
    <s v="C.M."/>
    <n v="19"/>
    <m/>
    <s v="LFTB"/>
    <s v="Green Book"/>
    <x v="19"/>
    <s v="8g.mid"/>
    <s v="8g.mid.mp3"/>
    <m/>
    <m/>
    <n v="416"/>
    <s v="Beatitudo"/>
    <s v="id3tag --song=&quot;Beatitudo (C.M.)&quot; --artist=&quot;Dr. J. B. Dykes&quot; --comment=&quot;&quot; --album=&quot;Green Book&quot; --track=&quot;8&quot; 8g.mid.mp3"/>
    <s v="https://www.dropbox.com/sh/cx7tus4mgkt9o4n/AABdy_TMJTbQGei0oqjgJ92_a/8g.mid.mp3?raw=1"/>
  </r>
  <r>
    <x v="65"/>
    <s v="Beaumaris"/>
    <s v="8.7.8.7."/>
    <n v="24"/>
    <m/>
    <s v="LFTB"/>
    <s v="Green Book"/>
    <x v="9"/>
    <s v="316g.mid"/>
    <s v="316g.mid.mp3"/>
    <m/>
    <m/>
    <n v="658"/>
    <s v="Beaumaris"/>
    <s v="id3tag --song=&quot;Beaumaris (8.7.8.7.)&quot; --artist=&quot;Unknown&quot; --comment=&quot;&quot; --album=&quot;Green Book&quot; --track=&quot;316&quot; 316g.mid.mp3"/>
    <s v="https://www.dropbox.com/sh/cx7tus4mgkt9o4n/AADZuZMHD7k0c25jlq-QlcsSa/316g.mid.mp3?raw=1"/>
  </r>
  <r>
    <x v="66"/>
    <s v="Bedford"/>
    <s v="C.M."/>
    <n v="19"/>
    <m/>
    <s v="LFTB"/>
    <s v="Green Book"/>
    <x v="59"/>
    <s v="9g.mid"/>
    <s v="9g.mid.mp3"/>
    <m/>
    <m/>
    <n v="417"/>
    <s v="Bedford"/>
    <s v="id3tag --song=&quot;Bedford (C.M.)&quot; --artist=&quot;W. Wheale&quot; --comment=&quot;&quot; --album=&quot;Green Book&quot; --track=&quot;9&quot; 9g.mid.mp3"/>
    <s v="https://www.dropbox.com/sh/cx7tus4mgkt9o4n/AAAK_tjbewqPXT8wVSrF8FdLa/9g.mid.mp3?raw=1"/>
  </r>
  <r>
    <x v="67"/>
    <s v="Beechknowe"/>
    <s v="9.8.9.8."/>
    <n v="35"/>
    <m/>
    <s v="LFTBs"/>
    <s v="Red Book"/>
    <x v="60"/>
    <s v="221r.mid"/>
    <s v="221r.mid.mp3"/>
    <m/>
    <m/>
    <n v="77"/>
    <s v="Beechknowe"/>
    <s v="id3tag --song=&quot;Beechknowe (9.8.9.8.)&quot; --artist=&quot;H. de la Haye Blackith&quot; --comment=&quot;&quot; --album=&quot;Red Book&quot; --track=&quot;221&quot; 221r.mid.mp3"/>
    <s v="https://www.dropbox.com/sh/cx7tus4mgkt9o4n/AAAtEyCVo1TUSq0YI1v7lmr4a/221r.mid.mp3?raw=1"/>
  </r>
  <r>
    <x v="68"/>
    <s v="Belfast"/>
    <s v="10.10.10.10."/>
    <n v="21"/>
    <m/>
    <s v="LFTB"/>
    <s v="Green Book"/>
    <x v="55"/>
    <s v="474g.mid"/>
    <s v="474g.mid.mp3"/>
    <m/>
    <m/>
    <n v="723"/>
    <s v="Belfast"/>
    <s v="id3tag --song=&quot;Belfast (10.10.10.10.)&quot; --artist=&quot;R. E. Frizelle&quot; --comment=&quot;&quot; --album=&quot;Green Book&quot; --track=&quot;474&quot; 474g.mid.mp3"/>
    <s v="https://www.dropbox.com/sh/cx7tus4mgkt9o4n/AABAl-Fc3LghmG96M-3ZQoC7a/474g.mid.mp3?raw=1"/>
  </r>
  <r>
    <x v="69"/>
    <s v="Belgrave"/>
    <s v="C.M."/>
    <n v="19"/>
    <m/>
    <s v="LFTBs"/>
    <s v="Red Book"/>
    <x v="61"/>
    <s v="5r.mid"/>
    <s v="5r.mid.mp3"/>
    <m/>
    <m/>
    <n v="78"/>
    <s v="Belgrave"/>
    <s v="id3tag --song=&quot;Belgrave (C.M.)&quot; --artist=&quot;William Horsley&quot; --comment=&quot;&quot; --album=&quot;Red Book&quot; --track=&quot;5&quot; 5r.mid.mp3"/>
    <s v="https://www.dropbox.com/sh/cx7tus4mgkt9o4n/AAA33_vLqJ5WYVOKyPAbw5_Aa/5r.mid.mp3?raw=1"/>
  </r>
  <r>
    <x v="70"/>
    <s v="Belmont (Haydn)"/>
    <s v="6.6.6.5.6.6.6.5."/>
    <n v="43"/>
    <m/>
    <s v="LFTB"/>
    <s v="Green Book"/>
    <x v="50"/>
    <s v="188g.mid"/>
    <s v="188g.mid.mp3"/>
    <m/>
    <m/>
    <n v="453"/>
    <s v="Belmont (Haydn)"/>
    <s v="id3tag --song=&quot;Belmont (Haydn) (6.6.6.5.6.6.6.5.)&quot; --artist=&quot;From Haydn&quot; --comment=&quot;&quot; --album=&quot;Green Book&quot; --track=&quot;188&quot; 188g.mid.mp3"/>
    <s v="https://www.dropbox.com/sh/cx7tus4mgkt9o4n/AADPrY1Q6_RiI1buX5FZFpC9a/188g.mid.mp3?raw=1"/>
  </r>
  <r>
    <x v="71"/>
    <s v="Belmont (Webbe)"/>
    <s v="C.M."/>
    <n v="19"/>
    <m/>
    <s v="LFTB"/>
    <s v="Green Book"/>
    <x v="26"/>
    <s v="10g.mid"/>
    <s v="10g.mid.mp3"/>
    <m/>
    <m/>
    <n v="418"/>
    <s v="Belmont (Webbe)"/>
    <s v="id3tag --song=&quot;Belmont (Webbe) (C.M.)&quot; --artist=&quot;S. Webbe&quot; --comment=&quot;&quot; --album=&quot;Green Book&quot; --track=&quot;10&quot; 10g.mid.mp3"/>
    <s v="https://www.dropbox.com/sh/cx7tus4mgkt9o4n/AABpE4yDGLA-qlQ9uO6Y58Yoa/10g.mid.mp3?raw=1"/>
  </r>
  <r>
    <x v="72"/>
    <s v="Benediction"/>
    <s v="8.7.8.7.8.7.8.7."/>
    <n v="25"/>
    <m/>
    <s v="LFTB"/>
    <s v="Green Book"/>
    <x v="26"/>
    <s v="373g.mid"/>
    <s v="373g.mid.mp3"/>
    <m/>
    <m/>
    <n v="667"/>
    <s v="Benediction"/>
    <s v="id3tag --song=&quot;Benediction (8.7.8.7.8.7.8.7.)&quot; --artist=&quot;S. Webbe&quot; --comment=&quot;&quot; --album=&quot;Green Book&quot; --track=&quot;373&quot; 373g.mid.mp3"/>
    <s v="https://www.dropbox.com/sh/cx7tus4mgkt9o4n/AAAXIy3mQ_GvCHqT5S_gz3xLa/373g.mid.mp3?raw=1"/>
  </r>
  <r>
    <x v="73"/>
    <s v="Berea"/>
    <s v="8.5.8.3."/>
    <n v="53"/>
    <m/>
    <s v="LFTBs"/>
    <s v="Red Book"/>
    <x v="28"/>
    <s v="126r.mid"/>
    <s v="126r.mid.mp3"/>
    <m/>
    <m/>
    <n v="79"/>
    <s v="Berea"/>
    <s v="id3tag --song=&quot;Berea (8.5.8.3.)&quot; --artist=&quot;E. Carren&quot; --comment=&quot;&quot; --album=&quot;Red Book&quot; --track=&quot;126&quot; 126r.mid.mp3"/>
    <s v="https://www.dropbox.com/sh/cx7tus4mgkt9o4n/AAAYdzNznNU9I_HYBYc3_yXPa/126r.mid.mp3?raw=1"/>
  </r>
  <r>
    <x v="74"/>
    <s v="Berechiah"/>
    <s v="8.7.8.7."/>
    <n v="24"/>
    <m/>
    <s v="LFTB"/>
    <s v="Green Book"/>
    <x v="11"/>
    <s v="317g.mid"/>
    <s v="317g.mid.mp3"/>
    <m/>
    <m/>
    <n v="493"/>
    <s v="Berechiah"/>
    <s v="id3tag --song=&quot;Berechiah (8.7.8.7.)&quot; --artist=&quot;T. Collins&quot; --comment=&quot;&quot; --album=&quot;Green Book&quot; --track=&quot;317&quot; 317g.mid.mp3"/>
    <s v="https://www.dropbox.com/sh/cx7tus4mgkt9o4n/AAB6gnY0ixFmUww-hECRcCeIa/317g.mid.mp3?raw=1"/>
  </r>
  <r>
    <x v="75"/>
    <s v="Berlin"/>
    <s v="11.10.11.10."/>
    <n v="52"/>
    <m/>
    <s v="LFTB"/>
    <s v="Green Book"/>
    <x v="62"/>
    <s v="516g.mid"/>
    <s v="516g.mid.mp3"/>
    <m/>
    <m/>
    <n v="407"/>
    <s v="Berlin"/>
    <s v="id3tag --song=&quot;Berlin (11.10.11.10.)&quot; --artist=&quot;From Mendelssohn&quot; --comment=&quot;&quot; --album=&quot;Green Book&quot; --track=&quot;516&quot; 516g.mid.mp3"/>
    <s v="https://www.dropbox.com/sh/cx7tus4mgkt9o4n/AAC1qBgRuZjQJfLZgsunnaKSa/516g.mid.mp3?raw=1"/>
  </r>
  <r>
    <x v="76"/>
    <s v="Beth-Aven"/>
    <s v="L.M."/>
    <n v="16"/>
    <m/>
    <s v="LFTBs"/>
    <s v="Red Book"/>
    <x v="46"/>
    <s v="28r.mid"/>
    <s v="28r.mid.mp3"/>
    <m/>
    <m/>
    <n v="80"/>
    <s v="Beth-Aven"/>
    <s v="id3tag --song=&quot;Beth-Aven (L.M.)&quot; --artist=&quot;Miss E. C. Shanks&quot; --comment=&quot;&quot; --album=&quot;Red Book&quot; --track=&quot;28&quot; 28r.mid.mp3"/>
    <s v="https://www.dropbox.com/sh/cx7tus4mgkt9o4n/AABQPtD99GMymLnLGHh1XZ3Xa/28r.mid.mp3?raw=1"/>
  </r>
  <r>
    <x v="77"/>
    <s v="Bethany (Mason)"/>
    <s v="6.4.6.4.6.6.6.4."/>
    <n v="44"/>
    <m/>
    <s v="LFTB"/>
    <s v="Green Book"/>
    <x v="63"/>
    <s v="176g.mid"/>
    <s v="176g.mid.mp3"/>
    <m/>
    <m/>
    <n v="359"/>
    <s v="Bethany (Mason)"/>
    <s v="id3tag --song=&quot;Bethany (Mason) (6.4.6.4.6.6.6.4.)&quot; --artist=&quot;Dr. Lowell Mason&quot; --comment=&quot;&quot; --album=&quot;Green Book&quot; --track=&quot;176&quot; 176g.mid.mp3"/>
    <s v="https://www.dropbox.com/sh/cx7tus4mgkt9o4n/AADC3muo2KKzwuD2nzVId2eAa/176g.mid.mp3?raw=1"/>
  </r>
  <r>
    <x v="78"/>
    <s v="Bethany (Smart)"/>
    <s v="8.7.8.7.8.7.8.7."/>
    <n v="25"/>
    <m/>
    <s v="LFTB"/>
    <s v="Green Book"/>
    <x v="64"/>
    <s v="374g.mid"/>
    <s v="374g.mid.mp3"/>
    <m/>
    <m/>
    <n v="513"/>
    <s v="Bethany (Smart)"/>
    <s v="id3tag --song=&quot;Bethany (Smart) (8.7.8.7.8.7.8.7.)&quot; --artist=&quot;H. T. Smart&quot; --comment=&quot;&quot; --album=&quot;Green Book&quot; --track=&quot;374&quot; 374g.mid.mp3"/>
    <s v="https://www.dropbox.com/sh/cx7tus4mgkt9o4n/AAAaiAw4nJw2usldsh3akriba/374g.mid.mp3?raw=1"/>
  </r>
  <r>
    <x v="79"/>
    <s v="Beverley"/>
    <s v="10.10.10.10."/>
    <n v="21"/>
    <m/>
    <s v="LFTB"/>
    <s v="Green Book"/>
    <x v="65"/>
    <s v="475g.mid"/>
    <s v="475g.mid.mp3"/>
    <n v="1938"/>
    <m/>
    <n v="724"/>
    <s v="Beverley"/>
    <s v="id3tag --song=&quot;Beverley (10.10.10.10.)&quot; --artist=&quot;C. T. McCorkell&quot; --comment=&quot;&quot; --album=&quot;Green Book&quot; --track=&quot;475&quot; 475g.mid.mp3"/>
    <s v="https://www.dropbox.com/sh/cx7tus4mgkt9o4n/AABDdIiYOUu3bBMOmkJeJV-pa/475g.mid.mp3?raw=1"/>
  </r>
  <r>
    <x v="80"/>
    <s v="Bexhill"/>
    <s v="S.M."/>
    <n v="22"/>
    <m/>
    <s v="LFTB"/>
    <s v="Green Book"/>
    <x v="66"/>
    <s v="131g.mid"/>
    <s v="131g.mid.mp3"/>
    <m/>
    <m/>
    <n v="545"/>
    <s v="No matching tune"/>
    <s v="id3tag --song=&quot;Bexhill (S.M.)&quot; --artist=&quot;From Swedish&quot; --comment=&quot;&quot; --album=&quot;Green Book&quot; --track=&quot;131&quot; 131g.mid.mp3"/>
    <e v="#N/A"/>
  </r>
  <r>
    <x v="81"/>
    <s v="Bexley"/>
    <s v="10.10.10.10."/>
    <n v="21"/>
    <m/>
    <s v="LFTB"/>
    <s v="Green Book"/>
    <x v="20"/>
    <s v="476g.mid"/>
    <s v="476g.mid.mp3"/>
    <n v="1932"/>
    <m/>
    <n v="725"/>
    <s v="Bexley"/>
    <s v="id3tag --song=&quot;Bexley (10.10.10.10.)&quot; --artist=&quot;C. T. Lambert&quot; --comment=&quot;&quot; --album=&quot;Green Book&quot; --track=&quot;476&quot; 476g.mid.mp3"/>
    <s v="https://www.dropbox.com/sh/cx7tus4mgkt9o4n/AACUuh2muo0SUVXR_3FTVoC_a/476g.mid.mp3?raw=1"/>
  </r>
  <r>
    <x v="82"/>
    <s v="Birmingham"/>
    <s v="10.10.10.10."/>
    <n v="21"/>
    <m/>
    <s v="LFTB"/>
    <s v="Green Book"/>
    <x v="67"/>
    <s v="477g.mid"/>
    <s v="477g.mid.mp3"/>
    <n v="1834"/>
    <m/>
    <n v="726"/>
    <s v="Birmingham"/>
    <s v="id3tag --song=&quot;Birmingham (10.10.10.10.)&quot; --artist=&quot;From 'A Selection of Psalm Tunes'&quot; --comment=&quot;&quot; --album=&quot;Green Book&quot; --track=&quot;477&quot; 477g.mid.mp3"/>
    <s v="https://www.dropbox.com/sh/cx7tus4mgkt9o4n/AADHwIs_31ocZPlXC8P3uSRpa/477g.mid.mp3?raw=1"/>
  </r>
  <r>
    <x v="83"/>
    <s v="Bishopgarth"/>
    <s v="7.7.8.7.7.7.8.7."/>
    <n v="82"/>
    <m/>
    <s v="LFTB"/>
    <s v="Green Book"/>
    <x v="68"/>
    <s v="284g.mid"/>
    <s v="284g.mid.mp3"/>
    <m/>
    <m/>
    <n v="480"/>
    <s v="Bishopgarth"/>
    <s v="id3tag --song=&quot;Bishopgarth (7.7.8.7.7.7.8.7.)&quot; --artist=&quot;Sir Arthur S. Sullivan&quot; --comment=&quot;&quot; --album=&quot;Green Book&quot; --track=&quot;284&quot; 284g.mid.mp3"/>
    <s v="https://www.dropbox.com/sh/cx7tus4mgkt9o4n/AACB6hZlh2sJ73qzjeOakN16a/284g.mid.mp3?raw=1"/>
  </r>
  <r>
    <x v="57"/>
    <s v="Bishopthorpe"/>
    <s v="C.M."/>
    <n v="19"/>
    <m/>
    <s v="LFTBs"/>
    <s v="Red Book"/>
    <x v="69"/>
    <s v="6r.mid"/>
    <s v="6r.mid.mp3"/>
    <m/>
    <m/>
    <n v="81"/>
    <s v="Bishopthorpe"/>
    <s v="id3tag --song=&quot;Bishopthorpe (C.M.)&quot; --artist=&quot;Jeremiah Clark&quot; --comment=&quot;&quot; --album=&quot;Red Book&quot; --track=&quot;6&quot; 6r.mid.mp3"/>
    <s v="https://www.dropbox.com/sh/cx7tus4mgkt9o4n/AAAetPb2BwfMc_udiaZRlm9_a/6r.mid.mp3?raw=1"/>
  </r>
  <r>
    <x v="84"/>
    <s v="Blackwood"/>
    <s v="8.7.8.7."/>
    <n v="24"/>
    <m/>
    <s v="LFTBs"/>
    <s v="Red Book"/>
    <x v="70"/>
    <s v="151r.mid"/>
    <s v="151r.mid.mp3"/>
    <m/>
    <m/>
    <n v="82"/>
    <s v="Blackwood"/>
    <s v="id3tag --song=&quot;Blackwood (8.7.8.7.)&quot; --artist=&quot;Miss. E.C. Shanks&quot; --comment=&quot;&quot; --album=&quot;Red Book&quot; --track=&quot;151&quot; 151r.mid.mp3"/>
    <s v="https://www.dropbox.com/sh/cx7tus4mgkt9o4n/AACqDbn3D8aOHZToYz8AOurha/151r.mid.mp3?raw=1"/>
  </r>
  <r>
    <x v="85"/>
    <s v="Blaenwern"/>
    <s v="8.7.8.7.8.7.8.7."/>
    <n v="25"/>
    <m/>
    <s v="LFTB"/>
    <s v="Green Book"/>
    <x v="71"/>
    <s v="375g.mid"/>
    <s v="375g.mid.mp3"/>
    <m/>
    <m/>
    <n v="514"/>
    <s v="Blaenwern"/>
    <s v="id3tag --song=&quot;Blaenwern (8.7.8.7.8.7.8.7.)&quot; --artist=&quot;W. P. Rowlands&quot; --comment=&quot;&quot; --album=&quot;Green Book&quot; --track=&quot;375&quot; 375g.mid.mp3"/>
    <s v="https://www.dropbox.com/sh/cx7tus4mgkt9o4n/AAAAmMQz5lMjQqRjyYwxy_gxa/375g.mid.mp3?raw=1"/>
  </r>
  <r>
    <x v="86"/>
    <s v="Blairgowrie"/>
    <s v="7.6.7.6.7.6.7.6."/>
    <n v="34"/>
    <m/>
    <s v="LFTBs"/>
    <s v="Red Book"/>
    <x v="19"/>
    <s v="99r.mid"/>
    <s v="99r.mid.mp3"/>
    <m/>
    <m/>
    <n v="83"/>
    <s v="Blairgowrie"/>
    <s v="id3tag --song=&quot;Blairgowrie (7.6.7.6.7.6.7.6.)&quot; --artist=&quot;Dr. J. B. Dykes&quot; --comment=&quot;&quot; --album=&quot;Red Book&quot; --track=&quot;99&quot; 99r.mid.mp3"/>
    <s v="https://www.dropbox.com/sh/cx7tus4mgkt9o4n/AACv6EKVjYQldPTlJui-xRN3a/99r.mid.mp3?raw=1"/>
  </r>
  <r>
    <x v="87"/>
    <s v="Blessed Assurance"/>
    <s v="P.M."/>
    <s v="NONE"/>
    <m/>
    <s v="LFTB"/>
    <s v="Green Book"/>
    <x v="72"/>
    <s v="129g.mid"/>
    <s v="129g.mid.mp3"/>
    <m/>
    <m/>
    <n v="433"/>
    <s v="Blessed Assurance"/>
    <s v="id3tag --song=&quot;Blessed Assurance (P.M.)&quot; --artist=&quot;Mrs. J. F. Knapp&quot; --comment=&quot;&quot; --album=&quot;Green Book&quot; --track=&quot;129&quot; 129g.mid.mp3"/>
    <s v="https://www.dropbox.com/sh/cx7tus4mgkt9o4n/AABEUhI2K4wb6t1o49CQZDvqa/129g.mid.mp3?raw=1"/>
  </r>
  <r>
    <x v="88"/>
    <s v="Blessed Hope"/>
    <s v="6.4.6.4."/>
    <n v="62"/>
    <m/>
    <s v="LFTB"/>
    <s v="Green Book"/>
    <x v="57"/>
    <s v="169g.mid"/>
    <s v="169g.mid.mp3"/>
    <m/>
    <m/>
    <n v="5"/>
    <s v="Blessed Hope"/>
    <s v="id3tag --song=&quot;Blessed Hope (6.4.6.4.)&quot; --artist=&quot;American&quot; --comment=&quot;&quot; --album=&quot;Green Book&quot; --track=&quot;169&quot; 169g.mid.mp3"/>
    <s v="https://www.dropbox.com/sh/cx7tus4mgkt9o4n/AAAuW8kigoasHsyhuIZj7pMua/169g.mid.mp3?raw=1"/>
  </r>
  <r>
    <x v="89"/>
    <s v="Bodewan"/>
    <s v="C.M.D."/>
    <n v="61"/>
    <m/>
    <s v="LFTBs"/>
    <s v="Red Book"/>
    <x v="73"/>
    <s v="21r.mid"/>
    <s v="21r.mid.mp3"/>
    <m/>
    <m/>
    <n v="84"/>
    <s v="Bodewan"/>
    <s v="id3tag --song=&quot;Bodewan (C.M.D.)&quot; --artist=&quot;A.G. Bagnall&quot; --comment=&quot;&quot; --album=&quot;Red Book&quot; --track=&quot;21&quot; 21r.mid.mp3"/>
    <s v="https://www.dropbox.com/sh/cx7tus4mgkt9o4n/AABY_99ZvPUEDPyLpRJpPx2qa/21r.mid.mp3?raw=1"/>
  </r>
  <r>
    <x v="90"/>
    <s v="Bow Street"/>
    <s v="11.11.11.11."/>
    <n v="31"/>
    <m/>
    <s v="LFTB"/>
    <s v="Green Book"/>
    <x v="74"/>
    <s v="532g.mid"/>
    <s v="532g.mid.mp3"/>
    <m/>
    <m/>
    <n v="518"/>
    <s v="Bow Street"/>
    <s v="id3tag --song=&quot;Bow Street (11.11.11.11.)&quot; --artist=&quot;I. E. Rummery&quot; --comment=&quot;&quot; --album=&quot;Green Book&quot; --track=&quot;532&quot; 532g.mid.mp3"/>
    <s v="https://www.dropbox.com/sh/cx7tus4mgkt9o4n/AACMbcwxtrM-i-0FSAblyHyPa/532g.mid.mp3?raw=1"/>
  </r>
  <r>
    <x v="91"/>
    <s v="Bowmanville"/>
    <s v="8.8.8.8.8.8."/>
    <n v="26"/>
    <m/>
    <s v="LFTB"/>
    <s v="Green Book"/>
    <x v="75"/>
    <s v="429g.mid"/>
    <s v="429g.mid.mp3"/>
    <m/>
    <m/>
    <n v="695"/>
    <s v="Bowmanville"/>
    <s v="id3tag --song=&quot;Bowmanville (8.8.8.8.8.8.)&quot; --artist=&quot;Miss La Thangue&quot; --comment=&quot;&quot; --album=&quot;Green Book&quot; --track=&quot;429&quot; 429g.mid.mp3"/>
    <s v="https://www.dropbox.com/sh/cx7tus4mgkt9o4n/AABdI5txCo3t6V-DpYxhCbmJa/429g.mid.mp3?raw=1"/>
  </r>
  <r>
    <x v="92"/>
    <s v="Boyle Street"/>
    <s v="11.10.11.10. Dactylic"/>
    <n v="17"/>
    <m/>
    <s v="LFTB"/>
    <s v="Green Book"/>
    <x v="76"/>
    <s v="522g.mid"/>
    <s v="522g.mid.mp3"/>
    <n v="1932"/>
    <m/>
    <n v="408"/>
    <s v="Boyle Street"/>
    <s v="id3tag --song=&quot;Boyle Street (11.10.11.10. Dactylic)&quot; --artist=&quot;Mrs. E. Ellis&quot; --comment=&quot;&quot; --album=&quot;Green Book&quot; --track=&quot;522&quot; 522g.mid.mp3"/>
    <s v="https://www.dropbox.com/sh/cx7tus4mgkt9o4n/AABrWuVIRrpi04RxdY_h-TpKa/522g.mid.mp3?raw=1"/>
  </r>
  <r>
    <x v="93"/>
    <s v="Brackley"/>
    <s v="10.4.10.4.10.10."/>
    <n v="45"/>
    <m/>
    <s v="LFTB"/>
    <s v="Green Book"/>
    <x v="77"/>
    <s v="454g.mid"/>
    <s v="454g.mid.mp3"/>
    <n v="1940"/>
    <m/>
    <n v="399"/>
    <s v="Brackley"/>
    <s v="id3tag --song=&quot;Brackley (10.4.10.4.10.10.)&quot; --artist=&quot;Miss M. Grugeon&quot; --comment=&quot;&quot; --album=&quot;Green Book&quot; --track=&quot;454&quot; 454g.mid.mp3"/>
    <s v="https://www.dropbox.com/sh/cx7tus4mgkt9o4n/AACYwiPsB827irDntkY9SQR3a/454g.mid.mp3?raw=1"/>
  </r>
  <r>
    <x v="94"/>
    <s v="Bradford"/>
    <s v="10.10.10.10."/>
    <n v="21"/>
    <m/>
    <s v="LFTBs"/>
    <s v="Red Book"/>
    <x v="78"/>
    <s v="248r.mid"/>
    <s v="248r.mid.mp3"/>
    <n v="1963"/>
    <m/>
    <n v="85"/>
    <s v="Bradford"/>
    <s v="id3tag --song=&quot;Bradford (10.10.10.10.)&quot; --artist=&quot;Michael Lewis&quot; --comment=&quot;&quot; --album=&quot;Red Book&quot; --track=&quot;248&quot; 248r.mid.mp3"/>
    <s v="https://www.dropbox.com/sh/cx7tus4mgkt9o4n/AADLtqAOyfJYo0CEMWJ_g-l3a/248r.mid.mp3?raw=1"/>
  </r>
  <r>
    <x v="95"/>
    <s v="Brandenburg"/>
    <s v="7.7.7.7."/>
    <n v="29"/>
    <m/>
    <s v="LFTB"/>
    <s v="Green Book"/>
    <x v="42"/>
    <s v="265g.mid"/>
    <s v="265g.mid.mp3"/>
    <m/>
    <m/>
    <n v="371"/>
    <s v="Brandenburg"/>
    <s v="id3tag --song=&quot;Brandenburg (7.7.7.7.)&quot; --artist=&quot;German Melody&quot; --comment=&quot;&quot; --album=&quot;Green Book&quot; --track=&quot;265&quot; 265g.mid.mp3"/>
    <s v="https://www.dropbox.com/sh/cx7tus4mgkt9o4n/AAD2GfCSQfoyq5yidkGFkp0Ia/265g.mid.mp3?raw=1"/>
  </r>
  <r>
    <x v="96"/>
    <s v="Bredbury"/>
    <s v="8.5.8.3."/>
    <n v="53"/>
    <m/>
    <s v="LFTB"/>
    <s v="Green Book"/>
    <x v="79"/>
    <s v="289g.mid"/>
    <s v="289g.mid.mp3"/>
    <m/>
    <m/>
    <n v="483"/>
    <s v="Bredbury"/>
    <s v="id3tag --song=&quot;Bredbury (8.5.8.3.)&quot; --artist=&quot;J. Page&quot; --comment=&quot;&quot; --album=&quot;Green Book&quot; --track=&quot;289&quot; 289g.mid.mp3"/>
    <s v="https://www.dropbox.com/sh/cx7tus4mgkt9o4n/AACOtLHMJ4nbpfwV4sMgW9WPa/289g.mid.mp3?raw=1"/>
  </r>
  <r>
    <x v="97"/>
    <s v="Brightness"/>
    <s v="8.7.8.7."/>
    <n v="24"/>
    <m/>
    <s v="LFTB"/>
    <s v="Green Book"/>
    <x v="80"/>
    <s v="318g.mid"/>
    <s v="318g.mid.mp3"/>
    <n v="1945"/>
    <m/>
    <n v="494"/>
    <s v="Brightness"/>
    <s v="id3tag --song=&quot;Brightness (8.7.8.7.)&quot; --artist=&quot;Mrs. W. Jones&quot; --comment=&quot;&quot; --album=&quot;Green Book&quot; --track=&quot;318&quot; 318g.mid.mp3"/>
    <s v="https://www.dropbox.com/sh/cx7tus4mgkt9o4n/AAAZneEuToZ9Ahm2IXRG7DjCa/318g.mid.mp3?raw=1"/>
  </r>
  <r>
    <x v="98"/>
    <s v="Brisbane"/>
    <s v="8.7.8.7. Iambic"/>
    <n v="94"/>
    <m/>
    <s v="LFTB"/>
    <s v="Green Book"/>
    <x v="81"/>
    <s v="354g.mid"/>
    <s v="354g.mid.mp3"/>
    <n v="1932"/>
    <m/>
    <n v="505"/>
    <s v="Brisbane"/>
    <s v="id3tag --song=&quot;Brisbane (8.7.8.7. Iambic)&quot; --artist=&quot;T. Walford Rofe&quot; --comment=&quot;&quot; --album=&quot;Green Book&quot; --track=&quot;354&quot; 354g.mid.mp3"/>
    <s v="https://www.dropbox.com/sh/cx7tus4mgkt9o4n/AABERMx8ZCwWgdsivZrMwiEia/354g.mid.mp3?raw=1"/>
  </r>
  <r>
    <x v="99"/>
    <s v="Broadmead"/>
    <s v="C.M.D."/>
    <n v="61"/>
    <m/>
    <s v="LFTBs"/>
    <s v="Red Book"/>
    <x v="82"/>
    <s v="22r.mid"/>
    <s v="22r.mid.mp3"/>
    <m/>
    <m/>
    <n v="86"/>
    <s v="Broadmead"/>
    <s v="id3tag --song=&quot;Broadmead (C.M.D.)&quot; --artist=&quot;Eric Burgess&quot; --comment=&quot;&quot; --album=&quot;Red Book&quot; --track=&quot;22&quot; 22r.mid.mp3"/>
    <s v="https://www.dropbox.com/sh/cx7tus4mgkt9o4n/AAAds722uYekWq3ikkELlMH0a/22r.mid.mp3?raw=1"/>
  </r>
  <r>
    <x v="100"/>
    <s v="Broadwaters"/>
    <s v="14.14.14.14."/>
    <n v="85"/>
    <m/>
    <s v="LFTBs"/>
    <s v="Red Book"/>
    <x v="83"/>
    <s v="294r.mid"/>
    <s v="294r.mid.mp3"/>
    <m/>
    <m/>
    <n v="87"/>
    <s v="Broadwaters"/>
    <s v="id3tag --song=&quot;Broadwaters (14.14.14.14.)&quot; --artist=&quot;F. H. Parkes&quot; --comment=&quot;&quot; --album=&quot;Red Book&quot; --track=&quot;294&quot; 294r.mid.mp3"/>
    <s v="https://www.dropbox.com/sh/cx7tus4mgkt9o4n/AAABrnLW2Cfuki05lIc5hdkca/294r.mid.mp3?raw=1"/>
  </r>
  <r>
    <x v="101"/>
    <s v="Brookfield"/>
    <s v="L.M."/>
    <n v="16"/>
    <m/>
    <s v="LFTB"/>
    <s v="Green Book"/>
    <x v="84"/>
    <s v="94g.mid"/>
    <s v="94g.mid.mp3"/>
    <m/>
    <m/>
    <n v="344"/>
    <s v="Brookfield"/>
    <s v="id3tag --song=&quot;Brookfield (L.M.)&quot; --artist=&quot;T. B. Southgate&quot; --comment=&quot;&quot; --album=&quot;Green Book&quot; --track=&quot;94&quot; 94g.mid.mp3"/>
    <s v="https://www.dropbox.com/sh/cx7tus4mgkt9o4n/AADaoWqMBW1MUzk4iA63K51ma/94g.mid.mp3?raw=1"/>
  </r>
  <r>
    <x v="102"/>
    <s v="Brooksby"/>
    <s v="11.11.11.11. Trochaic"/>
    <n v="64"/>
    <m/>
    <s v="LFTBs"/>
    <s v="Red Book"/>
    <x v="34"/>
    <s v="279r.mid"/>
    <s v="279r.mid.mp3"/>
    <m/>
    <m/>
    <n v="88"/>
    <s v="Brooksby"/>
    <s v="id3tag --song=&quot;Brooksby (11.11.11.11. Trochaic)&quot; --artist=&quot;Gordon Millar&quot; --comment=&quot;&quot; --album=&quot;Red Book&quot; --track=&quot;279&quot; 279r.mid.mp3"/>
    <s v="https://www.dropbox.com/sh/cx7tus4mgkt9o4n/AADORHF3ensapYCXkjKevy0Ja/279r.mid.mp3?raw=1"/>
  </r>
  <r>
    <x v="103"/>
    <s v="Brunton Street"/>
    <s v="8.8.8.8.4.4.6."/>
    <n v="75"/>
    <m/>
    <s v="LFTBs"/>
    <s v="Red Book"/>
    <x v="34"/>
    <s v="204r.mid"/>
    <s v="204r.mid.mp3"/>
    <m/>
    <m/>
    <n v="89"/>
    <s v="Brunton Street"/>
    <s v="id3tag --song=&quot;Brunton Street (8.8.8.8.4.4.6.)&quot; --artist=&quot;Gordon Millar&quot; --comment=&quot;&quot; --album=&quot;Red Book&quot; --track=&quot;204&quot; 204r.mid.mp3"/>
    <s v="https://www.dropbox.com/sh/cx7tus4mgkt9o4n/AAByTQbf-4quQnSIzLXFywLua/204r.mid.mp3?raw=1"/>
  </r>
  <r>
    <x v="104"/>
    <s v="Buckland"/>
    <s v="7.7.7.7."/>
    <n v="29"/>
    <m/>
    <s v="LFTB"/>
    <s v="Green Book"/>
    <x v="85"/>
    <s v="266g.mid"/>
    <s v="266g.mid.mp3"/>
    <m/>
    <m/>
    <n v="372"/>
    <s v="Buckland"/>
    <s v="id3tag --song=&quot;Buckland (7.7.7.7.)&quot; --artist=&quot;Dr. L. G. Hayne&quot; --comment=&quot;&quot; --album=&quot;Green Book&quot; --track=&quot;266&quot; 266g.mid.mp3"/>
    <s v="https://www.dropbox.com/sh/cx7tus4mgkt9o4n/AAB7k7U2lCJz6LkYrDooKY_xa/266g.mid.mp3?raw=1"/>
  </r>
  <r>
    <x v="105"/>
    <s v="Bude"/>
    <s v="8.7.8.7.8.7.8.7.7.7."/>
    <n v="68"/>
    <m/>
    <s v="LFTBs"/>
    <s v="Red Book"/>
    <x v="41"/>
    <s v="192r.mid"/>
    <s v="192r.mid.mp3"/>
    <m/>
    <m/>
    <n v="90"/>
    <s v="Bude"/>
    <s v="id3tag --song=&quot;Bude (8.7.8.7.8.7.8.7.7.7.)&quot; --artist=&quot;K.D. Clarke&quot; --comment=&quot;&quot; --album=&quot;Red Book&quot; --track=&quot;192&quot; 192r.mid.mp3"/>
    <s v="https://www.dropbox.com/sh/cx7tus4mgkt9o4n/AAB4GZHaAdjmierkHpMIXNBea/192r.mid.mp3?raw=1"/>
  </r>
  <r>
    <x v="106"/>
    <s v="Builth"/>
    <s v="6.4.6.4.6.6.6.4."/>
    <n v="44"/>
    <m/>
    <s v="LFTBs"/>
    <s v="Red Book"/>
    <x v="86"/>
    <s v="68r.mid"/>
    <s v="68r.mid.mp3"/>
    <m/>
    <m/>
    <n v="91"/>
    <s v="Builth"/>
    <s v="id3tag --song=&quot;Builth (6.4.6.4.6.6.6.4.)&quot; --artist=&quot;D. Jenkins&quot; --comment=&quot;&quot; --album=&quot;Red Book&quot; --track=&quot;68&quot; 68r.mid.mp3"/>
    <s v="https://www.dropbox.com/sh/cx7tus4mgkt9o4n/AADIKEUFTo9qaAdjwtWympIfa/68r.mid.mp3?raw=1"/>
  </r>
  <r>
    <x v="107"/>
    <s v="Bullinger"/>
    <s v="8.5.8.3."/>
    <n v="53"/>
    <m/>
    <s v="LFTB"/>
    <s v="Green Book"/>
    <x v="87"/>
    <s v="290g.mid"/>
    <s v="290g.mid.mp3"/>
    <m/>
    <m/>
    <n v="484"/>
    <s v="Bullinger"/>
    <s v="id3tag --song=&quot;Bullinger (8.5.8.3.)&quot; --artist=&quot;Dr. E. W. Bullinger&quot; --comment=&quot;&quot; --album=&quot;Green Book&quot; --track=&quot;290&quot; 290g.mid.mp3"/>
    <s v="https://www.dropbox.com/sh/cx7tus4mgkt9o4n/AAD5TttXhoVUcAUeaP2S_8Jwa/290g.mid.mp3?raw=1"/>
  </r>
  <r>
    <x v="108"/>
    <s v="Bury Thy Sorrow"/>
    <s v="11.11.11.11."/>
    <n v="31"/>
    <m/>
    <s v="LFTB"/>
    <s v="Green Book"/>
    <x v="27"/>
    <s v="533g.mid"/>
    <s v="533g.mid.mp3"/>
    <m/>
    <m/>
    <n v="410"/>
    <s v="Bury Thy Sorrow"/>
    <s v="id3tag --song=&quot;Bury Thy Sorrow (11.11.11.11.)&quot; --artist=&quot;P. P. Bliss&quot; --comment=&quot;&quot; --album=&quot;Green Book&quot; --track=&quot;533&quot; 533g.mid.mp3"/>
    <s v="https://www.dropbox.com/sh/cx7tus4mgkt9o4n/AACSlNanZGgnT2os5c6o0rL9a/533g.mid.mp3?raw=1"/>
  </r>
  <r>
    <x v="109"/>
    <s v="Caersalem"/>
    <s v="8.7.8.7.4.7."/>
    <n v="50"/>
    <m/>
    <s v="LFTBs"/>
    <s v="Red Book"/>
    <x v="88"/>
    <s v="172r.mid"/>
    <s v="172r.mid.mp3"/>
    <m/>
    <s v="Repeat 5th line of each verse 3 times"/>
    <n v="92"/>
    <s v="Caersalem"/>
    <s v="id3tag --song=&quot;Caersalem (8.7.8.7.4.7.)&quot; --artist=&quot;Robert Edwards&quot; --comment=&quot;Repeat 5th line of each verse 3 times&quot; --album=&quot;Red Book&quot; --track=&quot;172&quot; 172r.mid.mp3"/>
    <s v="https://www.dropbox.com/sh/cx7tus4mgkt9o4n/AADt3-kKpku3ngVZG0jwxPhNa/172r.mid.mp3?raw=1"/>
  </r>
  <r>
    <x v="110"/>
    <s v="Cairnbrook"/>
    <s v="8.5.8.3."/>
    <n v="53"/>
    <m/>
    <s v="LFTB"/>
    <s v="Green Book"/>
    <x v="89"/>
    <s v="291g.mid"/>
    <s v="291g.mid.mp3"/>
    <m/>
    <m/>
    <n v="648"/>
    <s v="Cairnbrook"/>
    <s v="id3tag --song=&quot;Cairnbrook (8.5.8.3.)&quot; --artist=&quot;Dr. E. Prout&quot; --comment=&quot;&quot; --album=&quot;Green Book&quot; --track=&quot;291&quot; 291g.mid.mp3"/>
    <s v="https://www.dropbox.com/sh/cx7tus4mgkt9o4n/AADiZ1dGsHXh3YSrgFnhfVJSa/291g.mid.mp3?raw=1"/>
  </r>
  <r>
    <x v="111"/>
    <s v="Call Them In"/>
    <s v="8.7.8.7.8.7.8.7."/>
    <n v="25"/>
    <m/>
    <s v="LFTB"/>
    <s v="Green Book"/>
    <x v="0"/>
    <s v="376g.mid"/>
    <s v="376g.mid.mp3"/>
    <m/>
    <m/>
    <n v="668"/>
    <s v="Call Them In"/>
    <s v="id3tag --song=&quot;Call Them In (8.7.8.7.8.7.8.7.)&quot; --artist=&quot;Ira D. Sankey&quot; --comment=&quot;&quot; --album=&quot;Green Book&quot; --track=&quot;376&quot; 376g.mid.mp3"/>
    <s v="https://www.dropbox.com/sh/cx7tus4mgkt9o4n/AAAHGB2zXipIvds_FfdekTuga/376g.mid.mp3?raw=1"/>
  </r>
  <r>
    <x v="112"/>
    <s v="Callum"/>
    <s v="8.7.8.7.4.4.7. Iambic"/>
    <n v="76"/>
    <m/>
    <s v="LFTBs"/>
    <s v="Red Book"/>
    <x v="90"/>
    <s v="170r.mid"/>
    <s v="170r.mid.mp3"/>
    <n v="1954"/>
    <m/>
    <n v="93"/>
    <s v="Callum"/>
    <s v="id3tag --song=&quot;Callum (8.7.8.7.4.4.7. Iambic)&quot; --artist=&quot;John F. Harvey&quot; --comment=&quot;&quot; --album=&quot;Red Book&quot; --track=&quot;170&quot; 170r.mid.mp3"/>
    <s v="https://www.dropbox.com/sh/cx7tus4mgkt9o4n/AAC9VA_KLkycvXULlT5MIzSMa/170r.mid.mp3?raw=1"/>
  </r>
  <r>
    <x v="113"/>
    <s v="Cambridge (Harrison)"/>
    <s v="S.M."/>
    <n v="22"/>
    <m/>
    <s v="LFTB"/>
    <s v="Green Book"/>
    <x v="91"/>
    <s v="132g.mid"/>
    <s v="132g.mid.mp3"/>
    <m/>
    <m/>
    <n v="546"/>
    <s v="Cambridge (Harrison)"/>
    <s v="id3tag --song=&quot;Cambridge (Harrison) (S.M.)&quot; --artist=&quot;R. Harrison&quot; --comment=&quot;&quot; --album=&quot;Green Book&quot; --track=&quot;132&quot; 132g.mid.mp3"/>
    <s v="https://www.dropbox.com/sh/cx7tus4mgkt9o4n/AADdSPKJHbtpCNDdN01foeK9a/132g.mid.mp3?raw=1"/>
  </r>
  <r>
    <x v="114"/>
    <s v="Camlet"/>
    <s v="9.8.9.8."/>
    <n v="35"/>
    <m/>
    <s v="LFTBs"/>
    <s v="Red Book"/>
    <x v="45"/>
    <s v="222r.mid"/>
    <s v="222r.mid.mp3"/>
    <m/>
    <m/>
    <n v="94"/>
    <s v="Camlet"/>
    <s v="id3tag --song=&quot;Camlet (9.8.9.8.)&quot; --artist=&quot;R. A. Evershead&quot; --comment=&quot;&quot; --album=&quot;Red Book&quot; --track=&quot;222&quot; 222r.mid.mp3"/>
    <s v="https://www.dropbox.com/sh/cx7tus4mgkt9o4n/AABl4fwj26lbGwdOy_8odoGQa/222r.mid.mp3?raw=1"/>
  </r>
  <r>
    <x v="115"/>
    <s v="Cana"/>
    <s v="C.M.D."/>
    <n v="61"/>
    <m/>
    <s v="LFTBs"/>
    <s v="Red Book"/>
    <x v="92"/>
    <s v="23r.mid"/>
    <s v="23r.mid.mp3"/>
    <m/>
    <m/>
    <n v="95"/>
    <s v="Cana"/>
    <s v="id3tag --song=&quot;Cana (C.M.D.)&quot; --artist=&quot;L. O. Emerson&quot; --comment=&quot;&quot; --album=&quot;Red Book&quot; --track=&quot;23&quot; 23r.mid.mp3"/>
    <s v="https://www.dropbox.com/sh/cx7tus4mgkt9o4n/AAAxi9lygbMr1HgH6e1UgoY7a/23r.mid.mp3?raw=1"/>
  </r>
  <r>
    <x v="116"/>
    <s v="Carey's"/>
    <s v="L.M."/>
    <n v="16"/>
    <m/>
    <s v="LFTB"/>
    <s v="Green Book"/>
    <x v="93"/>
    <s v="95g.mid"/>
    <s v="95g.mid.mp3"/>
    <m/>
    <m/>
    <n v="345"/>
    <s v="Carey's"/>
    <s v="id3tag --song=&quot;Carey's (L.M.)&quot; --artist=&quot;Henry Carey&quot; --comment=&quot;&quot; --album=&quot;Green Book&quot; --track=&quot;95&quot; 95g.mid.mp3"/>
    <s v="https://www.dropbox.com/sh/cx7tus4mgkt9o4n/AADFPNNYNNhhiYKyvfxUZdbda/95g.mid.mp3?raw=1"/>
  </r>
  <r>
    <x v="117"/>
    <s v="Carlisle"/>
    <s v="S.M."/>
    <n v="22"/>
    <m/>
    <s v="LFTB"/>
    <s v="Green Book"/>
    <x v="94"/>
    <s v="133g.mid"/>
    <s v="133g.mid.mp3"/>
    <m/>
    <m/>
    <n v="547"/>
    <s v="Carlisle"/>
    <s v="id3tag --song=&quot;Carlisle (S.M.)&quot; --artist=&quot;C. Lockhart&quot; --comment=&quot;&quot; --album=&quot;Green Book&quot; --track=&quot;133&quot; 133g.mid.mp3"/>
    <s v="https://www.dropbox.com/sh/cx7tus4mgkt9o4n/AABONqEluHBuRQOWQVOlO8yta/133g.mid.mp3?raw=1"/>
  </r>
  <r>
    <x v="118"/>
    <s v="Cathcart"/>
    <s v="8.6.8.4."/>
    <n v="72"/>
    <m/>
    <s v="LFTBs"/>
    <s v="Red Book"/>
    <x v="34"/>
    <s v="134r.mid"/>
    <s v="134r.mid.mp3"/>
    <m/>
    <m/>
    <n v="96"/>
    <s v="Cathcart"/>
    <s v="id3tag --song=&quot;Cathcart (8.6.8.4.)&quot; --artist=&quot;Gordon Millar&quot; --comment=&quot;&quot; --album=&quot;Red Book&quot; --track=&quot;134&quot; 134r.mid.mp3"/>
    <s v="https://www.dropbox.com/sh/cx7tus4mgkt9o4n/AAAzkrg_ZDesaa4AuYdjp2FGa/134r.mid.mp3?raw=1"/>
  </r>
  <r>
    <x v="119"/>
    <s v="Celebration"/>
    <s v="8.6.8.6.8.8."/>
    <n v="55"/>
    <m/>
    <s v="LFTBs"/>
    <s v="Red Book"/>
    <x v="95"/>
    <s v="142r.mid"/>
    <s v="142r.mid.mp3"/>
    <m/>
    <m/>
    <n v="97"/>
    <s v="Celebration"/>
    <s v="id3tag --song=&quot;Celebration (8.6.8.6.8.8.)&quot; --artist=&quot;R.A. Evershead&quot; --comment=&quot;&quot; --album=&quot;Red Book&quot; --track=&quot;142&quot; 142r.mid.mp3"/>
    <s v="https://www.dropbox.com/sh/cx7tus4mgkt9o4n/AAD46z7glt13A0Xk9eBQhgEAa/142r.mid.mp3?raw=1"/>
  </r>
  <r>
    <x v="120"/>
    <s v="Celeste"/>
    <s v="8.8.8.8."/>
    <n v="30"/>
    <m/>
    <s v="LFTB"/>
    <s v="Green Book"/>
    <x v="9"/>
    <s v="420g.mid"/>
    <s v="420g.mid.mp3"/>
    <m/>
    <m/>
    <n v="6"/>
    <s v="Celeste"/>
    <s v="id3tag --song=&quot;Celeste (8.8.8.8.)&quot; --artist=&quot;Unknown&quot; --comment=&quot;&quot; --album=&quot;Green Book&quot; --track=&quot;420&quot; 420g.mid.mp3"/>
    <s v="https://www.dropbox.com/sh/cx7tus4mgkt9o4n/AAAYlsO9dSA4ecgtrXHLKYs9a/420g.mid.mp3?raw=1"/>
  </r>
  <r>
    <x v="121"/>
    <s v="Chasid"/>
    <s v="L.M."/>
    <n v="16"/>
    <m/>
    <s v="LFTBs"/>
    <s v="Red Book"/>
    <x v="28"/>
    <s v="29r.mid"/>
    <s v="29r.mid.mp3"/>
    <m/>
    <m/>
    <n v="98"/>
    <s v="Chasid"/>
    <s v="id3tag --song=&quot;Chasid (L.M.)&quot; --artist=&quot;E. Carren&quot; --comment=&quot;&quot; --album=&quot;Red Book&quot; --track=&quot;29&quot; 29r.mid.mp3"/>
    <s v="https://www.dropbox.com/sh/cx7tus4mgkt9o4n/AADr7Pfui9rBdB6vnOtx8rBJa/29r.mid.mp3?raw=1"/>
  </r>
  <r>
    <x v="122"/>
    <s v="Chebar"/>
    <s v="7.6.7.6.7.6.7.6."/>
    <n v="34"/>
    <m/>
    <s v="LFTBs"/>
    <s v="Red Book"/>
    <x v="96"/>
    <s v="100r.mid"/>
    <s v="100r.mid.mp3"/>
    <m/>
    <m/>
    <n v="99"/>
    <s v="Chebar"/>
    <s v="id3tag --song=&quot;Chebar (7.6.7.6.7.6.7.6.)&quot; --artist=&quot;Henry Smart&quot; --comment=&quot;&quot; --album=&quot;Red Book&quot; --track=&quot;100&quot; 100r.mid.mp3"/>
    <s v="https://www.dropbox.com/sh/cx7tus4mgkt9o4n/AADbiXe2zF4z00jx-7_cwOSFa/100r.mid.mp3?raw=1"/>
  </r>
  <r>
    <x v="123"/>
    <s v="Cheshunt"/>
    <s v="7.7.7.7.8.8."/>
    <n v="92"/>
    <m/>
    <s v="LFTBs"/>
    <s v="Red Book"/>
    <x v="95"/>
    <s v="121r.mid"/>
    <s v="121r.mid.mp3"/>
    <m/>
    <m/>
    <n v="100"/>
    <s v="Cheshunt"/>
    <s v="id3tag --song=&quot;Cheshunt (7.7.7.7.8.8.)&quot; --artist=&quot;R.A. Evershead&quot; --comment=&quot;&quot; --album=&quot;Red Book&quot; --track=&quot;121&quot; 121r.mid.mp3"/>
    <s v="https://www.dropbox.com/sh/cx7tus4mgkt9o4n/AAArgaVjIybG5SZhR3hYjUfta/121r.mid.mp3?raw=1"/>
  </r>
  <r>
    <x v="124"/>
    <s v="Christchurch"/>
    <s v="6.6.6.6.8.8."/>
    <n v="51"/>
    <m/>
    <s v="LFTB"/>
    <s v="Green Book"/>
    <x v="97"/>
    <s v="194g.mid"/>
    <s v="194g.mid.mp3"/>
    <m/>
    <m/>
    <n v="621"/>
    <s v="Christchurch"/>
    <s v="id3tag --song=&quot;Christchurch (6.6.6.6.8.8.)&quot; --artist=&quot;Dr. C. Steggall&quot; --comment=&quot;&quot; --album=&quot;Green Book&quot; --track=&quot;194&quot; 194g.mid.mp3"/>
    <s v="https://www.dropbox.com/sh/cx7tus4mgkt9o4n/AAANqX1xOnvpSZl05AXv991Za/194g.mid.mp3?raw=1"/>
  </r>
  <r>
    <x v="125"/>
    <s v="Christian's Goodnight"/>
    <s v="10.10.10.6."/>
    <n v="89"/>
    <m/>
    <s v="LFTB"/>
    <s v="Green Book"/>
    <x v="0"/>
    <s v="467g.mid"/>
    <s v="467g.mid.mp3"/>
    <m/>
    <m/>
    <n v="7"/>
    <s v="Christian's Goodnight"/>
    <s v="id3tag --song=&quot;Christian's Goodnight (10.10.10.6.)&quot; --artist=&quot;Ira D. Sankey&quot; --comment=&quot;&quot; --album=&quot;Green Book&quot; --track=&quot;467&quot; 467g.mid.mp3"/>
    <s v="https://www.dropbox.com/sh/cx7tus4mgkt9o4n/AACTrYprQziiPJynQQ7NlPgla/467g.mid.mp3?raw=1"/>
  </r>
  <r>
    <x v="126"/>
    <s v="Cissbury"/>
    <s v="S.M."/>
    <n v="22"/>
    <m/>
    <s v="LFTBs"/>
    <s v="Red Book"/>
    <x v="98"/>
    <s v="43r.mid"/>
    <s v="43r.mid.mp3"/>
    <m/>
    <m/>
    <n v="101"/>
    <s v="Cissbury"/>
    <s v="id3tag --song=&quot;Cissbury (S.M.)&quot; --artist=&quot;Miss A.E. Houseman&quot; --comment=&quot;&quot; --album=&quot;Red Book&quot; --track=&quot;43&quot; 43r.mid.mp3"/>
    <s v="https://www.dropbox.com/sh/cx7tus4mgkt9o4n/AABsVOfrXGXqEJAAupCoe2AGa/43r.mid.mp3?raw=1"/>
  </r>
  <r>
    <x v="127"/>
    <s v="Clarendon"/>
    <s v="6.6.6.5.6.6.6.5."/>
    <n v="43"/>
    <m/>
    <s v="LFTB"/>
    <s v="Green Book"/>
    <x v="75"/>
    <s v="189g.mid"/>
    <s v="189g.mid.mp3"/>
    <m/>
    <m/>
    <n v="548"/>
    <s v="Clarendon"/>
    <s v="id3tag --song=&quot;Clarendon (6.6.6.5.6.6.6.5.)&quot; --artist=&quot;Miss La Thangue&quot; --comment=&quot;&quot; --album=&quot;Green Book&quot; --track=&quot;189&quot; 189g.mid.mp3"/>
    <s v="https://www.dropbox.com/sh/cx7tus4mgkt9o4n/AABl5U1-4FfwzVFXriZUKUP9a/189g.mid.mp3?raw=1"/>
  </r>
  <r>
    <x v="128"/>
    <s v="Clementswood"/>
    <s v="8.5.8.3."/>
    <n v="53"/>
    <m/>
    <s v="LFTBs"/>
    <s v="Red Book"/>
    <x v="99"/>
    <s v="127r.mid"/>
    <s v="127r.mid.mp3"/>
    <m/>
    <m/>
    <n v="102"/>
    <s v="Clementswood"/>
    <s v="id3tag --song=&quot;Clementswood (8.5.8.3.)&quot; --artist=&quot;A.L. Bloomingfield&quot; --comment=&quot;&quot; --album=&quot;Red Book&quot; --track=&quot;127&quot; 127r.mid.mp3"/>
    <s v="https://www.dropbox.com/sh/cx7tus4mgkt9o4n/AABf2CWPRwFUW4_x1nv0SI3Sa/127r.mid.mp3?raw=1"/>
  </r>
  <r>
    <x v="129"/>
    <s v="Cleveland"/>
    <s v="8.6.8.8.6.8.8."/>
    <n v="36"/>
    <m/>
    <s v="LFTBs"/>
    <s v="Red Book"/>
    <x v="70"/>
    <s v="148r.mid"/>
    <s v="148r.mid.mp3"/>
    <m/>
    <m/>
    <n v="103"/>
    <s v="Cleveland"/>
    <s v="id3tag --song=&quot;Cleveland (8.6.8.8.6.8.8.)&quot; --artist=&quot;Miss. E.C. Shanks&quot; --comment=&quot;&quot; --album=&quot;Red Book&quot; --track=&quot;148&quot; 148r.mid.mp3"/>
    <s v="https://www.dropbox.com/sh/cx7tus4mgkt9o4n/AABNu5pAAmNZyhDt4qURsjC3a/148r.mid.mp3?raw=1"/>
  </r>
  <r>
    <x v="130"/>
    <s v="Clifton Hampten"/>
    <s v="6.6.6.6.8.8."/>
    <n v="51"/>
    <m/>
    <s v="LFTBs"/>
    <s v="Red Book"/>
    <x v="75"/>
    <s v="82r.mid"/>
    <s v="82r.mid.mp3"/>
    <m/>
    <m/>
    <n v="104"/>
    <s v="Clifton Hampten"/>
    <s v="id3tag --song=&quot;Clifton Hampten (6.6.6.6.8.8.)&quot; --artist=&quot;Miss La Thangue&quot; --comment=&quot;&quot; --album=&quot;Red Book&quot; --track=&quot;82&quot; 82r.mid.mp3"/>
    <s v="https://www.dropbox.com/sh/cx7tus4mgkt9o4n/AAAX3PIyRpcadQV2x9z7cFBMa/82r.mid.mp3?raw=1"/>
  </r>
  <r>
    <x v="131"/>
    <s v="Collingwood"/>
    <s v="9.9.6.6.6.4."/>
    <n v="69"/>
    <m/>
    <s v="LFTB"/>
    <s v="Green Book"/>
    <x v="100"/>
    <s v="451g.mid"/>
    <s v="451g.mid.mp3"/>
    <n v="1951"/>
    <m/>
    <n v="709"/>
    <s v="Collingwood"/>
    <s v="id3tag --song=&quot;Collingwood (9.9.6.6.6.4.)&quot; --artist=&quot;R. A. Evershed&quot; --comment=&quot;&quot; --album=&quot;Green Book&quot; --track=&quot;451&quot; 451g.mid.mp3"/>
    <s v="https://www.dropbox.com/sh/cx7tus4mgkt9o4n/AABIZcf4FMI748NNYYaFep1La/451g.mid.mp3?raw=1"/>
  </r>
  <r>
    <x v="132"/>
    <s v="Colwyn"/>
    <s v="7.6.7.6.7.6.7.6."/>
    <n v="34"/>
    <m/>
    <s v="LFTBs"/>
    <s v="Red Book"/>
    <x v="34"/>
    <s v="101r.mid"/>
    <s v="101r.mid.mp3"/>
    <m/>
    <m/>
    <n v="105"/>
    <s v="Colwyn"/>
    <s v="id3tag --song=&quot;Colwyn (7.6.7.6.7.6.7.6.)&quot; --artist=&quot;Gordon Millar&quot; --comment=&quot;&quot; --album=&quot;Red Book&quot; --track=&quot;101&quot; 101r.mid.mp3"/>
    <s v="https://www.dropbox.com/sh/cx7tus4mgkt9o4n/AABALUIpeEyD6EOQB3XV4oJqa/101r.mid.mp3?raw=1"/>
  </r>
  <r>
    <x v="133"/>
    <s v="Come"/>
    <s v="6.4.6.4.6.4.6.4."/>
    <n v="32"/>
    <m/>
    <s v="LFTBs"/>
    <s v="Red Book"/>
    <x v="101"/>
    <s v="62r.mid"/>
    <s v="62r.mid.mp3"/>
    <m/>
    <m/>
    <n v="106"/>
    <s v="Come"/>
    <s v="id3tag --song=&quot;Come (6.4.6.4.6.4.6.4.)&quot; --artist=&quot;H.F. Morley&quot; --comment=&quot;&quot; --album=&quot;Red Book&quot; --track=&quot;62&quot; 62r.mid.mp3"/>
    <s v="https://www.dropbox.com/sh/cx7tus4mgkt9o4n/AABKW_7pZi_PFy344n_M9H_sa/62r.mid.mp3?raw=1"/>
  </r>
  <r>
    <x v="48"/>
    <s v="Come Thou Weary"/>
    <s v="8.5.8.3."/>
    <n v="53"/>
    <m/>
    <s v="LFTB"/>
    <s v="Green Book"/>
    <x v="0"/>
    <s v="292g.mid"/>
    <s v="292g.mid.mp3"/>
    <m/>
    <m/>
    <n v="649"/>
    <s v="Come Thou Weary"/>
    <s v="id3tag --song=&quot;Come Thou Weary (8.5.8.3.)&quot; --artist=&quot;Ira D. Sankey&quot; --comment=&quot;&quot; --album=&quot;Green Book&quot; --track=&quot;292&quot; 292g.mid.mp3"/>
    <s v="https://www.dropbox.com/sh/cx7tus4mgkt9o4n/AACwEsLBJg6BZ7ZV4hM044Wpa/292g.mid.mp3?raw=1"/>
  </r>
  <r>
    <x v="134"/>
    <s v="Come unto Me"/>
    <s v="10.10.10.10."/>
    <n v="21"/>
    <m/>
    <s v="LFTB"/>
    <s v="Green Book"/>
    <x v="18"/>
    <s v="478g.mid"/>
    <s v="478g.mid.mp3"/>
    <m/>
    <m/>
    <n v="400"/>
    <s v="Come unto Me"/>
    <s v="id3tag --song=&quot;Come unto Me (10.10.10.10.)&quot; --artist=&quot;G. C. Stebbins&quot; --comment=&quot;&quot; --album=&quot;Green Book&quot; --track=&quot;478&quot; 478g.mid.mp3"/>
    <s v="https://www.dropbox.com/sh/cx7tus4mgkt9o4n/AAA3OcqwAbslmkuTY3W4Syyba/478g.mid.mp3?raw=1"/>
  </r>
  <r>
    <x v="135"/>
    <s v="Comfort"/>
    <s v="8.8.11.8."/>
    <n v="46"/>
    <m/>
    <s v="LFTBs"/>
    <s v="Red Book"/>
    <x v="102"/>
    <s v="217r.mid"/>
    <s v="217r.mid.mp3"/>
    <m/>
    <m/>
    <n v="107"/>
    <s v="Comfort"/>
    <s v="id3tag --song=&quot;Comfort (8.8.11.8.)&quot; --artist=&quot;John. F. Harvey&quot; --comment=&quot;&quot; --album=&quot;Red Book&quot; --track=&quot;217&quot; 217r.mid.mp3"/>
    <s v="https://www.dropbox.com/sh/cx7tus4mgkt9o4n/AAAnN3K--02cFxBpG9pbpjgqa/217r.mid.mp3?raw=1"/>
  </r>
  <r>
    <x v="136"/>
    <s v="Concordia"/>
    <s v="8.7.8.7.4.7."/>
    <n v="50"/>
    <m/>
    <s v="LFTBs"/>
    <s v="Red Book"/>
    <x v="82"/>
    <s v="173r.mid"/>
    <s v="173r.mid.mp3"/>
    <m/>
    <s v="Repeat 5th and 6th lines of each verse"/>
    <n v="108"/>
    <s v="Concordia"/>
    <s v="id3tag --song=&quot;Concordia (8.7.8.7.4.7.)&quot; --artist=&quot;Eric Burgess&quot; --comment=&quot;Repeat 5th and 6th lines of each verse&quot; --album=&quot;Red Book&quot; --track=&quot;173&quot; 173r.mid.mp3"/>
    <s v="https://www.dropbox.com/sh/cx7tus4mgkt9o4n/AAAJl5ipQVkdPmnrwMU8Sz59a/173r.mid.mp3?raw=1"/>
  </r>
  <r>
    <x v="137"/>
    <s v="Confianza"/>
    <s v="8.8.8.8."/>
    <n v="30"/>
    <m/>
    <s v="LFTB"/>
    <s v="Green Book"/>
    <x v="16"/>
    <s v="421g.mid"/>
    <s v="421g.mid.mp3"/>
    <m/>
    <m/>
    <n v="8"/>
    <s v="Confianza"/>
    <s v="id3tag --song=&quot;Confianza (8.8.8.8.)&quot; --artist=&quot;C. Leflaive&quot; --comment=&quot;&quot; --album=&quot;Green Book&quot; --track=&quot;421&quot; 421g.mid.mp3"/>
    <s v="https://www.dropbox.com/sh/cx7tus4mgkt9o4n/AAAUFQl-NliwprupzwtPcjf0a/421g.mid.mp3?raw=1"/>
  </r>
  <r>
    <x v="138"/>
    <s v="Confidence"/>
    <s v="7.6.7.6.7.6.7.6."/>
    <n v="34"/>
    <m/>
    <s v="LFTB"/>
    <s v="Green Book"/>
    <x v="9"/>
    <s v="232g.mid"/>
    <s v="232g.mid.mp3"/>
    <m/>
    <m/>
    <n v="464"/>
    <s v="Confidence"/>
    <s v="id3tag --song=&quot;Confidence (7.6.7.6.7.6.7.6.)&quot; --artist=&quot;Unknown&quot; --comment=&quot;&quot; --album=&quot;Green Book&quot; --track=&quot;232&quot; 232g.mid.mp3"/>
    <s v="https://www.dropbox.com/sh/cx7tus4mgkt9o4n/AAAMDcE76CEgHYmIm079xYw0a/232g.mid.mp3?raw=1"/>
  </r>
  <r>
    <x v="139"/>
    <s v="Conisborough"/>
    <m/>
    <s v="NONE"/>
    <m/>
    <s v="LFTBs"/>
    <s v="Red Book"/>
    <x v="103"/>
    <s v="263r.mid"/>
    <s v="263r.mid.mp3"/>
    <m/>
    <m/>
    <n v="109"/>
    <s v="Conisborough"/>
    <s v="id3tag --song=&quot;Conisborough ()&quot; --artist=&quot;Wilfred Sanderson&quot; --comment=&quot;&quot; --album=&quot;Red Book&quot; --track=&quot;263&quot; 263r.mid.mp3"/>
    <s v="https://www.dropbox.com/sh/cx7tus4mgkt9o4n/AAB11AHbIvKxCd0AuSe17NuTa/263r.mid.mp3?raw=1"/>
  </r>
  <r>
    <x v="140"/>
    <s v="Coniston"/>
    <s v="10.10.10.10."/>
    <n v="21"/>
    <m/>
    <s v="LFTBs"/>
    <s v="Red Book"/>
    <x v="104"/>
    <s v="249r.mid"/>
    <s v="249r.mid.mp3"/>
    <n v="1928"/>
    <m/>
    <n v="110"/>
    <s v="Coniston"/>
    <s v="id3tag --song=&quot;Coniston (10.10.10.10.)&quot; --artist=&quot;A.B. Skeffington&quot; --comment=&quot;&quot; --album=&quot;Red Book&quot; --track=&quot;249&quot; 249r.mid.mp3"/>
    <s v="https://www.dropbox.com/sh/cx7tus4mgkt9o4n/AADPnPeXAr6QZPh41IR-XiKba/249r.mid.mp3?raw=1"/>
  </r>
  <r>
    <x v="141"/>
    <s v="Converse"/>
    <s v="8.7.8.7.8.7.8.7."/>
    <n v="25"/>
    <m/>
    <s v="LFTB"/>
    <s v="Green Book"/>
    <x v="105"/>
    <s v="377g.mid"/>
    <s v="377g.mid.mp3"/>
    <m/>
    <m/>
    <n v="669"/>
    <s v="Converse"/>
    <s v="id3tag --song=&quot;Converse (8.7.8.7.8.7.8.7.)&quot; --artist=&quot;C.C. Converse&quot; --comment=&quot;&quot; --album=&quot;Green Book&quot; --track=&quot;377&quot; 377g.mid.mp3"/>
    <s v="https://www.dropbox.com/sh/cx7tus4mgkt9o4n/AACTEEzVwqjJo6EVxVmXNpxma/377g.mid.mp3?raw=1"/>
  </r>
  <r>
    <x v="142"/>
    <s v="Covenant (Millar)"/>
    <s v="8.7.8.7. Iambic"/>
    <n v="94"/>
    <m/>
    <s v="LFTBs"/>
    <s v="Red Book"/>
    <x v="34"/>
    <s v="167r.mid"/>
    <s v="167r.mid.mp3"/>
    <m/>
    <m/>
    <n v="111"/>
    <s v="Covenant (Millar)"/>
    <s v="id3tag --song=&quot;Covenant (Millar) (8.7.8.7. Iambic)&quot; --artist=&quot;Gordon Millar&quot; --comment=&quot;&quot; --album=&quot;Red Book&quot; --track=&quot;167&quot; 167r.mid.mp3"/>
    <s v="https://www.dropbox.com/sh/cx7tus4mgkt9o4n/AAB6Bus4ZI7Td8XmNkHvh3fba/167r.mid.mp3?raw=1"/>
  </r>
  <r>
    <x v="143"/>
    <s v="Creation"/>
    <s v="8.8.8.8.8.8."/>
    <n v="26"/>
    <m/>
    <s v="LFTB"/>
    <s v="Green Book"/>
    <x v="50"/>
    <s v="430g.mid"/>
    <s v="430g.mid.mp3"/>
    <m/>
    <m/>
    <n v="696"/>
    <s v="Creation"/>
    <s v="id3tag --song=&quot;Creation (8.8.8.8.8.8.)&quot; --artist=&quot;From Haydn&quot; --comment=&quot;&quot; --album=&quot;Green Book&quot; --track=&quot;430&quot; 430g.mid.mp3"/>
    <s v="https://www.dropbox.com/sh/cx7tus4mgkt9o4n/AAC9NFWDWfOsAKyeFIMuN2VJa/430g.mid.mp3?raw=1"/>
  </r>
  <r>
    <x v="144"/>
    <s v="Crimea Street"/>
    <s v="8.7.8.7."/>
    <n v="24"/>
    <m/>
    <s v="LFTB"/>
    <s v="Green Book"/>
    <x v="11"/>
    <s v="319g.mid"/>
    <s v="319g.mid.mp3"/>
    <m/>
    <m/>
    <n v="495"/>
    <s v="Crimea Street"/>
    <s v="id3tag --song=&quot;Crimea Street (8.7.8.7.)&quot; --artist=&quot;T. Collins&quot; --comment=&quot;&quot; --album=&quot;Green Book&quot; --track=&quot;319&quot; 319g.mid.mp3"/>
    <s v="https://www.dropbox.com/sh/cx7tus4mgkt9o4n/AABXAlqrplzMB6sYGxuETyuVa/319g.mid.mp3?raw=1"/>
  </r>
  <r>
    <x v="145"/>
    <s v="Cromer"/>
    <s v="6.4.6.4.6.6.6.4."/>
    <n v="44"/>
    <m/>
    <s v="LFTBs"/>
    <s v="Red Book"/>
    <x v="45"/>
    <s v="69r.mid"/>
    <s v="69r.mid.mp3"/>
    <m/>
    <m/>
    <n v="112"/>
    <s v="Cromer"/>
    <s v="id3tag --song=&quot;Cromer (6.4.6.4.6.6.6.4.)&quot; --artist=&quot;R. A. Evershead&quot; --comment=&quot;&quot; --album=&quot;Red Book&quot; --track=&quot;69&quot; 69r.mid.mp3"/>
    <s v="https://www.dropbox.com/sh/cx7tus4mgkt9o4n/AACmLfNO1V8vBNKPIX9sSMACa/69r.mid.mp3?raw=1"/>
  </r>
  <r>
    <x v="146"/>
    <s v="Cross of Jesus"/>
    <s v="8.7.8.7."/>
    <n v="24"/>
    <m/>
    <s v="LFTB"/>
    <s v="Green Book"/>
    <x v="21"/>
    <s v="320g.mid"/>
    <s v="320g.mid.mp3"/>
    <m/>
    <m/>
    <n v="496"/>
    <s v="Cross of Jesus"/>
    <s v="id3tag --song=&quot;Cross of Jesus (8.7.8.7.)&quot; --artist=&quot;Sir John Stainer&quot; --comment=&quot;&quot; --album=&quot;Green Book&quot; --track=&quot;320&quot; 320g.mid.mp3"/>
    <s v="https://www.dropbox.com/sh/cx7tus4mgkt9o4n/AADKs9GOK3kZWjhXWy5KoREMa/320g.mid.mp3?raw=1"/>
  </r>
  <r>
    <x v="118"/>
    <s v="Crotch's Chant"/>
    <s v="S.M."/>
    <n v="22"/>
    <m/>
    <s v="LFTB"/>
    <s v="Green Book"/>
    <x v="106"/>
    <s v="134g.mid"/>
    <s v="134g.mid.mp3"/>
    <m/>
    <m/>
    <n v="611"/>
    <s v="Crotch's Chant"/>
    <s v="id3tag --song=&quot;Crotch's Chant (S.M.)&quot; --artist=&quot;Dr. W. Crotch&quot; --comment=&quot;&quot; --album=&quot;Green Book&quot; --track=&quot;134&quot; 134g.mid.mp3"/>
    <s v="https://www.dropbox.com/sh/cx7tus4mgkt9o4n/AADng5KaOy2OESu_oTFR_vlNa/134g.mid.mp3?raw=1"/>
  </r>
  <r>
    <x v="147"/>
    <s v="Crucifixion"/>
    <s v="8.6.8.8.6.8.8."/>
    <n v="36"/>
    <m/>
    <s v="LFTB"/>
    <s v="Green Book"/>
    <x v="107"/>
    <s v="311g.mid"/>
    <s v="311g.mid.mp3"/>
    <m/>
    <m/>
    <n v="379"/>
    <s v="Crucifixion"/>
    <s v="id3tag --song=&quot;Crucifixion (8.6.8.8.6.8.8.)&quot; --artist=&quot;T. Willey&quot; --comment=&quot;&quot; --album=&quot;Green Book&quot; --track=&quot;311&quot; 311g.mid.mp3"/>
    <s v="https://www.dropbox.com/sh/cx7tus4mgkt9o4n/AAAiCLJYYGoAqwBwmuPbGn9Ca/311g.mid.mp3?raw=1"/>
  </r>
  <r>
    <x v="148"/>
    <s v="Cruger"/>
    <s v="7.6.7.6.7.6.7.6."/>
    <n v="34"/>
    <m/>
    <s v="LFTB"/>
    <s v="Green Book"/>
    <x v="108"/>
    <s v="233g.mid"/>
    <s v="233g.mid.mp3"/>
    <m/>
    <m/>
    <n v="465"/>
    <s v="Cruger"/>
    <s v="id3tag --song=&quot;Cruger (7.6.7.6.7.6.7.6.)&quot; --artist=&quot;J. Cruger&quot; --comment=&quot;&quot; --album=&quot;Green Book&quot; --track=&quot;233&quot; 233g.mid.mp3"/>
    <s v="https://www.dropbox.com/sh/cx7tus4mgkt9o4n/AABFCp4bvfayUx28KhIdqgPba/233g.mid.mp3?raw=1"/>
  </r>
  <r>
    <x v="149"/>
    <s v="Crummock"/>
    <s v="8.7.8.7.8.7.8.7.7.7."/>
    <n v="68"/>
    <m/>
    <s v="LFTBs"/>
    <s v="Red Book"/>
    <x v="109"/>
    <s v="193r.mid"/>
    <s v="193r.mid.mp3"/>
    <m/>
    <m/>
    <n v="113"/>
    <s v="Crummock"/>
    <s v="id3tag --song=&quot;Crummock (8.7.8.7.8.7.8.7.7.7.)&quot; --artist=&quot;Dr. Alan Clarke&quot; --comment=&quot;&quot; --album=&quot;Red Book&quot; --track=&quot;193&quot; 193r.mid.mp3"/>
    <s v="https://www.dropbox.com/sh/cx7tus4mgkt9o4n/AABII9U7rtmtIFAnFwlHLedMa/193r.mid.mp3?raw=1"/>
  </r>
  <r>
    <x v="150"/>
    <s v="Culzean"/>
    <s v="6.4.6.4.6.4.6.4."/>
    <n v="32"/>
    <m/>
    <s v="LFTBs"/>
    <s v="Red Book"/>
    <x v="34"/>
    <s v="63r.mid"/>
    <s v="63r.mid.mp3"/>
    <m/>
    <m/>
    <n v="114"/>
    <s v="Culzean"/>
    <s v="id3tag --song=&quot;Culzean (6.4.6.4.6.4.6.4.)&quot; --artist=&quot;Gordon Millar&quot; --comment=&quot;&quot; --album=&quot;Red Book&quot; --track=&quot;63&quot; 63r.mid.mp3"/>
    <s v="https://www.dropbox.com/sh/cx7tus4mgkt9o4n/AADanftOekAi-6T7V8DsB0lpa/63r.mid.mp3?raw=1"/>
  </r>
  <r>
    <x v="151"/>
    <s v="Cwm Rhondda"/>
    <s v="8.7.8.7.4.7."/>
    <n v="50"/>
    <m/>
    <s v="LFTB"/>
    <s v="Green Book"/>
    <x v="110"/>
    <s v="357g.mid"/>
    <s v="357g.mid.mp3"/>
    <m/>
    <m/>
    <n v="663"/>
    <s v="Cwm Rhondda"/>
    <s v="id3tag --song=&quot;Cwm Rhondda (8.7.8.7.4.7.)&quot; --artist=&quot;J. Hughes&quot; --comment=&quot;&quot; --album=&quot;Green Book&quot; --track=&quot;357&quot; 357g.mid.mp3"/>
    <s v="https://www.dropbox.com/sh/cx7tus4mgkt9o4n/AAD0PKK0HpAo3RTS0WCRL0Bia/357g.mid.mp3?raw=1"/>
  </r>
  <r>
    <x v="152"/>
    <s v="Cypress"/>
    <s v="4.8.4.8.8."/>
    <n v="28"/>
    <m/>
    <s v="LFTB"/>
    <s v="Green Book"/>
    <x v="111"/>
    <s v="164g.mid"/>
    <s v="164g.mid.mp3"/>
    <n v="1951"/>
    <m/>
    <n v="9"/>
    <s v="Cypress"/>
    <s v="id3tag --song=&quot;Cypress (4.8.4.8.8.)&quot; --artist=&quot;Mrs. A. C. Stowell&quot; --comment=&quot;&quot; --album=&quot;Green Book&quot; --track=&quot;164&quot; 164g.mid.mp3"/>
    <s v="https://www.dropbox.com/sh/cx7tus4mgkt9o4n/AAAVNbU7ESPQrHcC3CjlesL1a/164g.mid.mp3?raw=1"/>
  </r>
  <r>
    <x v="12"/>
    <s v="Cyprus"/>
    <s v="7.7.8.7.7.7.8.7."/>
    <n v="82"/>
    <m/>
    <s v="LFTB"/>
    <s v="Green Book"/>
    <x v="112"/>
    <s v="285g.mid"/>
    <s v="285g.mid.mp3"/>
    <n v="1785"/>
    <m/>
    <n v="481"/>
    <s v="Cyprus"/>
    <s v="id3tag --song=&quot;Cyprus (7.7.8.7.7.7.8.7.)&quot; --artist=&quot;Greek Melody&quot; --comment=&quot;&quot; --album=&quot;Green Book&quot; --track=&quot;285&quot; 285g.mid.mp3"/>
    <s v="https://www.dropbox.com/sh/cx7tus4mgkt9o4n/AACnMMb0HV4Kksae49XK74Oya/285g.mid.mp3?raw=1"/>
  </r>
  <r>
    <x v="153"/>
    <s v="Dalmeny"/>
    <s v="14.14.14.14."/>
    <n v="85"/>
    <m/>
    <s v="LFTBs"/>
    <s v="Red Book"/>
    <x v="100"/>
    <s v="295r.mid"/>
    <s v="295r.mid.mp3"/>
    <n v="1953"/>
    <m/>
    <n v="115"/>
    <s v="Dalmeny"/>
    <s v="id3tag --song=&quot;Dalmeny (14.14.14.14.)&quot; --artist=&quot;R. A. Evershed&quot; --comment=&quot;&quot; --album=&quot;Red Book&quot; --track=&quot;295&quot; 295r.mid.mp3"/>
    <s v="https://www.dropbox.com/sh/cx7tus4mgkt9o4n/AAAt5CtwtYDqTypg5ER1_ItSa/295r.mid.mp3?raw=1"/>
  </r>
  <r>
    <x v="154"/>
    <s v="Damascus"/>
    <s v="S.M.D."/>
    <n v="70"/>
    <m/>
    <s v="LFTBs"/>
    <s v="Red Book"/>
    <x v="28"/>
    <s v="51r.mid"/>
    <s v="51r.mid.mp3"/>
    <m/>
    <m/>
    <n v="116"/>
    <s v="Damascus"/>
    <s v="id3tag --song=&quot;Damascus (S.M.D.)&quot; --artist=&quot;E. Carren&quot; --comment=&quot;&quot; --album=&quot;Red Book&quot; --track=&quot;51&quot; 51r.mid.mp3"/>
    <s v="https://www.dropbox.com/sh/cx7tus4mgkt9o4n/AABKGOBETBzkl97qEV7b1o_Ba/51r.mid.mp3?raw=1"/>
  </r>
  <r>
    <x v="155"/>
    <s v="Dartford"/>
    <s v="8.8.6.8.8.6."/>
    <n v="20"/>
    <m/>
    <s v="LFTB"/>
    <s v="Green Book"/>
    <x v="113"/>
    <s v="403g.mid"/>
    <s v="403g.mid.mp3"/>
    <m/>
    <m/>
    <n v="395"/>
    <s v="Dartford"/>
    <s v="id3tag --song=&quot;Dartford (8.8.6.8.8.6.)&quot; --artist=&quot;From 'Geistliche Leider'&quot; --comment=&quot;&quot; --album=&quot;Green Book&quot; --track=&quot;403&quot; 403g.mid.mp3"/>
    <s v="https://www.dropbox.com/sh/cx7tus4mgkt9o4n/AACCr5A3y8tQqee0WedK33Bqa/403g.mid.mp3?raw=1"/>
  </r>
  <r>
    <x v="156"/>
    <s v="Dartry"/>
    <s v="10.4.10.4.10.10."/>
    <n v="45"/>
    <m/>
    <s v="LFTBs"/>
    <s v="Red Book"/>
    <x v="3"/>
    <s v="244r.mid"/>
    <s v="244r.mid.mp3"/>
    <m/>
    <m/>
    <n v="117"/>
    <s v="Dartry"/>
    <s v="id3tag --song=&quot;Dartry (10.4.10.4.10.10.)&quot; --artist=&quot;John Mason&quot; --comment=&quot;&quot; --album=&quot;Red Book&quot; --track=&quot;244&quot; 244r.mid.mp3"/>
    <s v="https://www.dropbox.com/sh/cx7tus4mgkt9o4n/AABc2NhuQqC7X5nWE_cvjZuUa/244r.mid.mp3?raw=1"/>
  </r>
  <r>
    <x v="157"/>
    <s v="Darwall's 148th"/>
    <s v="6.6.6.6.8.8."/>
    <n v="51"/>
    <m/>
    <s v="LFTB"/>
    <s v="Green Book"/>
    <x v="114"/>
    <s v="195g.mid"/>
    <s v="195g.mid.mp3"/>
    <m/>
    <m/>
    <n v="456"/>
    <s v="Darwall's 148th"/>
    <s v="id3tag --song=&quot;Darwall's 148th (6.6.6.6.8.8.)&quot; --artist=&quot;J. Darwall&quot; --comment=&quot;&quot; --album=&quot;Green Book&quot; --track=&quot;195&quot; 195g.mid.mp3"/>
    <s v="https://www.dropbox.com/sh/cx7tus4mgkt9o4n/AACSlS76wGk5k1QU2U_2mv7ia/195g.mid.mp3?raw=1"/>
  </r>
  <r>
    <x v="158"/>
    <s v="David"/>
    <s v="8.8.8.8."/>
    <n v="30"/>
    <m/>
    <s v="LFTB"/>
    <s v="Green Book"/>
    <x v="115"/>
    <s v="422g.mid"/>
    <s v="422g.mid.mp3"/>
    <m/>
    <m/>
    <n v="10"/>
    <s v="David"/>
    <s v="id3tag --song=&quot;David (8.8.8.8.)&quot; --artist=&quot;From Handel&quot; --comment=&quot;&quot; --album=&quot;Green Book&quot; --track=&quot;422&quot; 422g.mid.mp3"/>
    <s v="https://www.dropbox.com/sh/cx7tus4mgkt9o4n/AAAkgcfwzZMuH0a0Cv1Ka_BBa/422g.mid.mp3?raw=1"/>
  </r>
  <r>
    <x v="159"/>
    <s v="Dawning"/>
    <s v="11.11.11.11."/>
    <n v="31"/>
    <m/>
    <s v="LFTBs"/>
    <s v="Red Book"/>
    <x v="90"/>
    <s v="276r.mid"/>
    <s v="276r.mid.mp3"/>
    <m/>
    <m/>
    <n v="118"/>
    <s v="Dawning"/>
    <s v="id3tag --song=&quot;Dawning (11.11.11.11.)&quot; --artist=&quot;John F. Harvey&quot; --comment=&quot;&quot; --album=&quot;Red Book&quot; --track=&quot;276&quot; 276r.mid.mp3"/>
    <s v="https://www.dropbox.com/sh/cx7tus4mgkt9o4n/AAAsLcZUgfQgovGoigkaOVMYa/276r.mid.mp3?raw=1"/>
  </r>
  <r>
    <x v="160"/>
    <s v="Day Dawn"/>
    <s v="C.M."/>
    <n v="19"/>
    <m/>
    <s v="LFTB"/>
    <s v="Green Book"/>
    <x v="116"/>
    <s v="15g.mid"/>
    <s v="15g.mid.mp3"/>
    <m/>
    <m/>
    <n v="419"/>
    <s v="Day Dawn"/>
    <s v="id3tag --song=&quot;Day Dawn (C.M.)&quot; --artist=&quot;H. F. Morley&quot; --comment=&quot;&quot; --album=&quot;Green Book&quot; --track=&quot;15&quot; 15g.mid.mp3"/>
    <s v="https://www.dropbox.com/sh/cx7tus4mgkt9o4n/AACjVeSDGG4uRE0B4lHTnyE1a/15g.mid.mp3?raw=1"/>
  </r>
  <r>
    <x v="161"/>
    <s v="Day of Rest"/>
    <s v="7.6.7.6.7.6.7.6."/>
    <n v="34"/>
    <m/>
    <s v="LFTB"/>
    <s v="Green Book"/>
    <x v="117"/>
    <s v="234g.mid"/>
    <s v="234g.mid.mp3"/>
    <m/>
    <m/>
    <n v="630"/>
    <s v="Day of Rest"/>
    <s v="id3tag --song=&quot;Day of Rest (7.6.7.6.7.6.7.6.)&quot; --artist=&quot;J. W. Elliott&quot; --comment=&quot;&quot; --album=&quot;Green Book&quot; --track=&quot;234&quot; 234g.mid.mp3"/>
    <s v="https://www.dropbox.com/sh/cx7tus4mgkt9o4n/AABu6v65LjAYiLC01Kn1Mor9a/234g.mid.mp3?raw=1"/>
  </r>
  <r>
    <x v="162"/>
    <s v="Dayspring"/>
    <s v="8.6.8.4."/>
    <n v="72"/>
    <m/>
    <s v="LFTBs"/>
    <s v="Red Book"/>
    <x v="118"/>
    <s v="135r.mid"/>
    <s v="135r.mid.mp3"/>
    <m/>
    <m/>
    <n v="119"/>
    <s v="Dayspring"/>
    <s v="id3tag --song=&quot;Dayspring (8.6.8.4.)&quot; --artist=&quot;J. F. Taylor&quot; --comment=&quot;&quot; --album=&quot;Red Book&quot; --track=&quot;135&quot; 135r.mid.mp3"/>
    <s v="https://www.dropbox.com/sh/cx7tus4mgkt9o4n/AABATWZvT9jj-VwQXoBEWF4Ca/135r.mid.mp3?raw=1"/>
  </r>
  <r>
    <x v="109"/>
    <s v="Deboroah"/>
    <s v="6.4.6.4.6.4.6.4."/>
    <n v="32"/>
    <m/>
    <s v="LFTB"/>
    <s v="Green Book"/>
    <x v="119"/>
    <s v="172g.mid"/>
    <s v="172g.mid.mp3"/>
    <n v="1951"/>
    <m/>
    <n v="11"/>
    <s v="Deboroah"/>
    <s v="id3tag --song=&quot;Deboroah (6.4.6.4.6.4.6.4.)&quot; --artist=&quot;Miss D. A. Elderton&quot; --comment=&quot;&quot; --album=&quot;Green Book&quot; --track=&quot;172&quot; 172g.mid.mp3"/>
    <s v="https://www.dropbox.com/sh/cx7tus4mgkt9o4n/AAAEDgPhDj1FGOWLXv8mD0Iha/172g.mid.mp3?raw=1"/>
  </r>
  <r>
    <x v="163"/>
    <s v="Deep Harmony"/>
    <s v="L.M."/>
    <n v="16"/>
    <m/>
    <s v="LFTB"/>
    <s v="Green Book"/>
    <x v="120"/>
    <s v="96g.mid"/>
    <s v="96g.mid.mp3"/>
    <m/>
    <m/>
    <n v="346"/>
    <s v="Deep Harmony"/>
    <s v="id3tag --song=&quot;Deep Harmony (L.M.)&quot; --artist=&quot;Handel Parker&quot; --comment=&quot;&quot; --album=&quot;Green Book&quot; --track=&quot;96&quot; 96g.mid.mp3"/>
    <s v="https://www.dropbox.com/sh/cx7tus4mgkt9o4n/AACevssgHu1lt7dZXi6aTFT3a/96g.mid.mp3?raw=1"/>
  </r>
  <r>
    <x v="164"/>
    <s v="Deerhurst"/>
    <s v="8.7.8.7.8.7.8.7."/>
    <n v="25"/>
    <m/>
    <s v="LFTB"/>
    <s v="Green Book"/>
    <x v="121"/>
    <s v="378g.mid"/>
    <s v="378g.mid.mp3"/>
    <m/>
    <m/>
    <n v="670"/>
    <s v="Deerhurst"/>
    <s v="id3tag --song=&quot;Deerhurst (8.7.8.7.8.7.8.7.)&quot; --artist=&quot;J. Langran&quot; --comment=&quot;&quot; --album=&quot;Green Book&quot; --track=&quot;378&quot; 378g.mid.mp3"/>
    <s v="https://www.dropbox.com/sh/cx7tus4mgkt9o4n/AADJAQ3lW_R_tRIY4bxHxnloa/378g.mid.mp3?raw=1"/>
  </r>
  <r>
    <x v="165"/>
    <s v="Denton"/>
    <s v="10.10.10.10."/>
    <n v="21"/>
    <m/>
    <s v="LFTBs"/>
    <s v="Red Book"/>
    <x v="107"/>
    <s v="250r.mid"/>
    <s v="250r.mid.mp3"/>
    <n v="1903"/>
    <m/>
    <n v="120"/>
    <s v="Denton"/>
    <s v="id3tag --song=&quot;Denton (10.10.10.10.)&quot; --artist=&quot;T. Willey&quot; --comment=&quot;&quot; --album=&quot;Red Book&quot; --track=&quot;250&quot; 250r.mid.mp3"/>
    <s v="https://www.dropbox.com/sh/cx7tus4mgkt9o4n/AAB8sUz9BjCIuCO9PRNJHA0pa/250r.mid.mp3?raw=1"/>
  </r>
  <r>
    <x v="166"/>
    <s v="Deramore"/>
    <s v="10.10.10.10."/>
    <n v="21"/>
    <m/>
    <s v="LFTB"/>
    <s v="Green Book"/>
    <x v="16"/>
    <s v="480g.mid"/>
    <s v="480g.mid.mp3"/>
    <m/>
    <m/>
    <n v="401"/>
    <s v="Deramore"/>
    <s v="id3tag --song=&quot;Deramore (10.10.10.10.)&quot; --artist=&quot;C. Leflaive&quot; --comment=&quot;&quot; --album=&quot;Green Book&quot; --track=&quot;480&quot; 480g.mid.mp3"/>
    <s v="https://www.dropbox.com/sh/cx7tus4mgkt9o4n/AADOv9TMniMt84_LLdqfNe3ea/480g.mid.mp3?raw=1"/>
  </r>
  <r>
    <x v="167"/>
    <s v="Derry"/>
    <s v="9.8.9.8."/>
    <n v="35"/>
    <m/>
    <s v="LFTBs"/>
    <s v="Red Book"/>
    <x v="34"/>
    <s v="223r.mid"/>
    <s v="223r.mid.mp3"/>
    <m/>
    <m/>
    <n v="121"/>
    <s v="Derry"/>
    <s v="id3tag --song=&quot;Derry (9.8.9.8.)&quot; --artist=&quot;Gordon Millar&quot; --comment=&quot;&quot; --album=&quot;Red Book&quot; --track=&quot;223&quot; 223r.mid.mp3"/>
    <s v="https://www.dropbox.com/sh/cx7tus4mgkt9o4n/AABzMnZvvFbkioXN0S_hosKJa/223r.mid.mp3?raw=1"/>
  </r>
  <r>
    <x v="168"/>
    <s v="Derwent"/>
    <s v="8.5.8.3."/>
    <n v="53"/>
    <m/>
    <s v="LFTBs"/>
    <s v="Red Book"/>
    <x v="122"/>
    <s v="128r.mid"/>
    <s v="128r.mid.mp3"/>
    <m/>
    <s v="Copyright.  By permission of the Methodist Youth Department."/>
    <n v="122"/>
    <s v="Derwent"/>
    <s v="id3tag --song=&quot;Derwent (8.5.8.3.)&quot; --artist=&quot;C.L. Naylor&quot; --comment=&quot;Copyright.  By permission of the Methodist Youth Department.&quot; --album=&quot;Red Book&quot; --track=&quot;128&quot; 128r.mid.mp3"/>
    <s v="https://www.dropbox.com/sh/cx7tus4mgkt9o4n/AABgNwgQWVxZT7-PT6OO8ocSa/128r.mid.mp3?raw=1"/>
  </r>
  <r>
    <x v="169"/>
    <s v="Detroit"/>
    <s v="12.13.12.10."/>
    <n v="48"/>
    <m/>
    <s v="LFTB"/>
    <s v="Green Book"/>
    <x v="28"/>
    <s v="545g.mid"/>
    <s v="545g.mid.mp3"/>
    <n v="1951"/>
    <m/>
    <n v="565"/>
    <s v="Detroit"/>
    <s v="id3tag --song=&quot;Detroit (12.13.12.10.)&quot; --artist=&quot;E. Carren&quot; --comment=&quot;&quot; --album=&quot;Green Book&quot; --track=&quot;545&quot; 545g.mid.mp3"/>
    <s v="https://www.dropbox.com/sh/cx7tus4mgkt9o4n/AACC3M2mKvkhrc3WhQvaeGD2a/545g.mid.mp3?raw=1"/>
  </r>
  <r>
    <x v="170"/>
    <s v="Diademata"/>
    <s v="S.M.D."/>
    <n v="70"/>
    <m/>
    <s v="LFTB"/>
    <s v="Green Book"/>
    <x v="123"/>
    <s v="160g.mid"/>
    <s v="160g.mid.mp3"/>
    <m/>
    <m/>
    <n v="448"/>
    <s v="Diademata"/>
    <s v="id3tag --song=&quot;Diademata (S.M.D.)&quot; --artist=&quot;Sir George J. Elvey&quot; --comment=&quot;&quot; --album=&quot;Green Book&quot; --track=&quot;160&quot; 160g.mid.mp3"/>
    <s v="https://www.dropbox.com/sh/cx7tus4mgkt9o4n/AADRO2gEYO4PbEpG9aoN4TT8a/160g.mid.mp3?raw=1"/>
  </r>
  <r>
    <x v="171"/>
    <s v="Dominus Regit Me"/>
    <s v="8.7.8.7. Iambic"/>
    <n v="94"/>
    <m/>
    <s v="LFTB"/>
    <s v="Green Book"/>
    <x v="124"/>
    <s v="355g.mid"/>
    <s v="355g.mid.mp3"/>
    <m/>
    <m/>
    <n v="506"/>
    <s v="Dominus Regit Me"/>
    <s v="id3tag --song=&quot;Dominus Regit Me (8.7.8.7. Iambic)&quot; --artist=&quot;Dr J. B. Dykes&quot; --comment=&quot;&quot; --album=&quot;Green Book&quot; --track=&quot;355&quot; 355g.mid.mp3"/>
    <s v="https://www.dropbox.com/sh/cx7tus4mgkt9o4n/AADHqGzCOVCzjuivVUwCUzMaa/355g.mid.mp3?raw=1"/>
  </r>
  <r>
    <x v="172"/>
    <s v="Doranne"/>
    <s v="11.10.11.10. Dactylic"/>
    <n v="17"/>
    <m/>
    <s v="LFTB"/>
    <s v="Green Book"/>
    <x v="125"/>
    <s v="523g.mid"/>
    <s v="523g.mid.mp3"/>
    <n v="1932"/>
    <m/>
    <n v="744"/>
    <s v="Doranne"/>
    <s v="id3tag --song=&quot;Doranne (11.10.11.10. Dactylic)&quot; --artist=&quot;Mrs. H. B. Cowie&quot; --comment=&quot;&quot; --album=&quot;Green Book&quot; --track=&quot;523&quot; 523g.mid.mp3"/>
    <s v="https://www.dropbox.com/sh/cx7tus4mgkt9o4n/AAC9-Z1bW_ZVR0FyuW-A4JPSa/523g.mid.mp3?raw=1"/>
  </r>
  <r>
    <x v="173"/>
    <s v="Dorea"/>
    <s v="8.8.8.8.6."/>
    <n v="58"/>
    <m/>
    <s v="LFTBs"/>
    <s v="Red Book"/>
    <x v="28"/>
    <s v="207r.mid"/>
    <s v="207r.mid.mp3"/>
    <m/>
    <m/>
    <n v="123"/>
    <s v="Dorea"/>
    <s v="id3tag --song=&quot;Dorea (8.8.8.8.6.)&quot; --artist=&quot;E. Carren&quot; --comment=&quot;&quot; --album=&quot;Red Book&quot; --track=&quot;207&quot; 207r.mid.mp3"/>
    <s v="https://www.dropbox.com/sh/cx7tus4mgkt9o4n/AAA5EZKN9ExghDy1Tn8fr3Xva/207r.mid.mp3?raw=1"/>
  </r>
  <r>
    <x v="174"/>
    <s v="Downham"/>
    <s v="8.7.8.7.8.7.8.7."/>
    <n v="25"/>
    <m/>
    <s v="LFTB"/>
    <s v="Green Book"/>
    <x v="126"/>
    <s v="379g.mid"/>
    <s v="379g.mid.mp3"/>
    <m/>
    <m/>
    <n v="671"/>
    <s v="Downham"/>
    <s v="id3tag --song=&quot;Downham (8.7.8.7.8.7.8.7.)&quot; --artist=&quot;J. N. Barrett&quot; --comment=&quot;&quot; --album=&quot;Green Book&quot; --track=&quot;379&quot; 379g.mid.mp3"/>
    <s v="https://www.dropbox.com/sh/cx7tus4mgkt9o4n/AAC3eky5hjJQFZsDFdyv4kaIa/379g.mid.mp3?raw=1"/>
  </r>
  <r>
    <x v="175"/>
    <s v="Draw Me Nearer"/>
    <s v="10.7.10.7. Chorus 11.7.11.7."/>
    <n v="91"/>
    <m/>
    <s v="LFTB"/>
    <s v="Green Book"/>
    <x v="127"/>
    <s v="459g.mid"/>
    <s v="459g.mid.mp3"/>
    <m/>
    <m/>
    <n v="12"/>
    <s v="Draw Me Nearer"/>
    <s v="id3tag --song=&quot;Draw Me Nearer (10.7.10.7. Chorus 11.7.11.7.)&quot; --artist=&quot;W. H. Doane&quot; --comment=&quot;&quot; --album=&quot;Green Book&quot; --track=&quot;459&quot; 459g.mid.mp3"/>
    <s v="https://www.dropbox.com/sh/cx7tus4mgkt9o4n/AAAWlw7IE-lwv386aenOOjVpa/459g.mid.mp3?raw=1"/>
  </r>
  <r>
    <x v="176"/>
    <s v="Dresden"/>
    <s v="7.6.7.6.7.6.7.6."/>
    <n v="34"/>
    <m/>
    <s v="LFTB"/>
    <s v="Green Book"/>
    <x v="128"/>
    <s v="235g.mid"/>
    <s v="235g.mid.mp3"/>
    <m/>
    <m/>
    <n v="631"/>
    <s v="Dresden"/>
    <s v="id3tag --song=&quot;Dresden (7.6.7.6.7.6.7.6.)&quot; --artist=&quot;J. A. P. Schulz&quot; --comment=&quot;&quot; --album=&quot;Green Book&quot; --track=&quot;235&quot; 235g.mid.mp3"/>
    <s v="https://www.dropbox.com/sh/cx7tus4mgkt9o4n/AADn99pIVYJe7goCZ4rAwOO_a/235g.mid.mp3?raw=1"/>
  </r>
  <r>
    <x v="177"/>
    <s v="Drumbathie"/>
    <s v="11.10.11.10.9.11."/>
    <n v="67"/>
    <m/>
    <s v="LFTBs"/>
    <s v="Red Book"/>
    <x v="34"/>
    <s v="275r.mid"/>
    <s v="275r.mid.mp3"/>
    <m/>
    <m/>
    <n v="124"/>
    <s v="Drumbathie"/>
    <s v="id3tag --song=&quot;Drumbathie (11.10.11.10.9.11.)&quot; --artist=&quot;Gordon Millar&quot; --comment=&quot;&quot; --album=&quot;Red Book&quot; --track=&quot;275&quot; 275r.mid.mp3"/>
    <s v="https://www.dropbox.com/sh/cx7tus4mgkt9o4n/AAB4o_xFA0rDSlL05nRRVveFa/275r.mid.mp3?raw=1"/>
  </r>
  <r>
    <x v="178"/>
    <s v="Drumduan"/>
    <s v="6.6.8.6.6.8."/>
    <n v="73"/>
    <m/>
    <s v="LFTB"/>
    <s v="Green Book"/>
    <x v="34"/>
    <s v="212.mid"/>
    <s v="212.mid.mp3"/>
    <m/>
    <m/>
    <n v="13"/>
    <s v="Drumduan"/>
    <s v="id3tag --song=&quot;Drumduan (6.6.8.6.6.8.)&quot; --artist=&quot;Gordon Millar&quot; --comment=&quot;&quot; --album=&quot;Green Book&quot; --track=&quot;212&quot; 212.mid.mp3"/>
    <s v="https://www.dropbox.com/sh/cx7tus4mgkt9o4n/AAA-V4FPF-_Wqxgdy6lsvB1Ja/212.mid.mp3?raw=1"/>
  </r>
  <r>
    <x v="179"/>
    <s v="Dublin (Stevenson)"/>
    <s v="C.M."/>
    <n v="19"/>
    <m/>
    <s v="LFTB"/>
    <s v="Green Book"/>
    <x v="129"/>
    <s v="16g.mid"/>
    <s v="16g.mid.mp3"/>
    <m/>
    <m/>
    <n v="420"/>
    <s v="Dublin (Stevenson)"/>
    <s v="id3tag --song=&quot;Dublin (Stevenson) (C.M.)&quot; --artist=&quot;Sir John Stevenson&quot; --comment=&quot;&quot; --album=&quot;Green Book&quot; --track=&quot;16&quot; 16g.mid.mp3"/>
    <s v="https://www.dropbox.com/sh/cx7tus4mgkt9o4n/AABdb_4lZdjy6GTKetqkwSf1a/16g.mid.mp3?raw=1"/>
  </r>
  <r>
    <x v="180"/>
    <s v="Dublin (Trench)"/>
    <s v="7.6.7.6.7.6.7.6."/>
    <n v="34"/>
    <m/>
    <s v="LFTB"/>
    <s v="Green Book"/>
    <x v="130"/>
    <s v="236g.mid"/>
    <s v="236g.mid.mp3"/>
    <n v="1880"/>
    <m/>
    <n v="466"/>
    <s v="Dublin (Trench)"/>
    <s v="id3tag --song=&quot;Dublin (Trench) (7.6.7.6.7.6.7.6.)&quot; --artist=&quot;J. C. Trench&quot; --comment=&quot;&quot; --album=&quot;Green Book&quot; --track=&quot;236&quot; 236g.mid.mp3"/>
    <s v="https://www.dropbox.com/sh/cx7tus4mgkt9o4n/AAAflaGp_EVWlPqBNreFJR0Ca/236g.mid.mp3?raw=1"/>
  </r>
  <r>
    <x v="9"/>
    <s v="Duke Street"/>
    <s v="L.M."/>
    <n v="16"/>
    <m/>
    <s v="LFTB"/>
    <s v="Green Book"/>
    <x v="131"/>
    <s v="97g.mid"/>
    <s v="97g.mid.mp3"/>
    <m/>
    <m/>
    <n v="347"/>
    <s v="Duke Street"/>
    <s v="id3tag --song=&quot;Duke Street (L.M.)&quot; --artist=&quot;John Hatton&quot; --comment=&quot;&quot; --album=&quot;Green Book&quot; --track=&quot;97&quot; 97g.mid.mp3"/>
    <s v="https://www.dropbox.com/sh/cx7tus4mgkt9o4n/AAC97LbCEfXuhgAmmorStzl8a/97g.mid.mp3?raw=1"/>
  </r>
  <r>
    <x v="181"/>
    <s v="Dunfermline"/>
    <s v="C.M."/>
    <n v="19"/>
    <m/>
    <s v="LFTB"/>
    <s v="Green Book"/>
    <x v="132"/>
    <s v="17g.mid"/>
    <s v="17g.mid.mp3"/>
    <n v="1615"/>
    <m/>
    <n v="421"/>
    <s v="Dunfermline"/>
    <s v="id3tag --song=&quot;Dunfermline (C.M.)&quot; --artist=&quot;From 'Scottish Psalter'&quot; --comment=&quot;&quot; --album=&quot;Green Book&quot; --track=&quot;17&quot; 17g.mid.mp3"/>
    <s v="https://www.dropbox.com/sh/cx7tus4mgkt9o4n/AABTU5Zb6nZAFwcZVCXalOz0a/17g.mid.mp3?raw=1"/>
  </r>
  <r>
    <x v="182"/>
    <s v="Dunure"/>
    <s v="9.9.6.6.6.4."/>
    <n v="69"/>
    <m/>
    <s v="LFTBs"/>
    <s v="Red Book"/>
    <x v="34"/>
    <s v="239r.mid"/>
    <s v="239r.mid.mp3"/>
    <m/>
    <m/>
    <n v="125"/>
    <s v="Dunure"/>
    <s v="id3tag --song=&quot;Dunure (9.9.6.6.6.4.)&quot; --artist=&quot;Gordon Millar&quot; --comment=&quot;&quot; --album=&quot;Red Book&quot; --track=&quot;239&quot; 239r.mid.mp3"/>
    <s v="https://www.dropbox.com/sh/cx7tus4mgkt9o4n/AABykl4XSFYIpAdb-0iiA0fya/239r.mid.mp3?raw=1"/>
  </r>
  <r>
    <x v="183"/>
    <s v="Eagley"/>
    <s v="C.M."/>
    <n v="19"/>
    <m/>
    <s v="LFTB"/>
    <s v="Green Book"/>
    <x v="133"/>
    <s v="18g.mid"/>
    <s v="18g.mid.mp3"/>
    <m/>
    <m/>
    <n v="422"/>
    <s v="Eagley"/>
    <s v="id3tag --song=&quot;Eagley (C.M.)&quot; --artist=&quot;J. Walch&quot; --comment=&quot;&quot; --album=&quot;Green Book&quot; --track=&quot;18&quot; 18g.mid.mp3"/>
    <s v="https://www.dropbox.com/sh/cx7tus4mgkt9o4n/AADRZDk5wA37w6G1wPgfe3Dva/18g.mid.mp3?raw=1"/>
  </r>
  <r>
    <x v="184"/>
    <s v="Eastbourne"/>
    <s v="L.M."/>
    <n v="16"/>
    <m/>
    <s v="LFTBs"/>
    <s v="Red Book"/>
    <x v="134"/>
    <s v="30r.mid"/>
    <s v="30r.mid.mp3"/>
    <m/>
    <m/>
    <n v="126"/>
    <s v="Eastbourne"/>
    <s v="id3tag --song=&quot;Eastbourne (L.M.)&quot; --artist=&quot;C. T. Lambers&quot; --comment=&quot;&quot; --album=&quot;Red Book&quot; --track=&quot;30&quot; 30r.mid.mp3"/>
    <s v="https://www.dropbox.com/sh/cx7tus4mgkt9o4n/AABcmKX2NKUx1tivI6dGP3gBa/30r.mid.mp3?raw=1"/>
  </r>
  <r>
    <x v="185"/>
    <s v="Eastgate"/>
    <s v="C.M."/>
    <n v="19"/>
    <m/>
    <s v="LFTB"/>
    <s v="Green Book"/>
    <x v="135"/>
    <s v="19g.mid"/>
    <s v="19g.mid.mp3"/>
    <m/>
    <m/>
    <n v="519"/>
    <s v="Eastgate"/>
    <s v="id3tag --song=&quot;Eastgate (C.M.)&quot; --artist=&quot;R. Bennett&quot; --comment=&quot;&quot; --album=&quot;Green Book&quot; --track=&quot;19&quot; 19g.mid.mp3"/>
    <s v="https://www.dropbox.com/sh/cx7tus4mgkt9o4n/AABb_7hCSUddPpjPUw1uwC8ba/19g.mid.mp3?raw=1"/>
  </r>
  <r>
    <x v="43"/>
    <s v="Easton"/>
    <s v="6.6.8.4."/>
    <n v="42"/>
    <m/>
    <s v="LFTB"/>
    <s v="Green Book"/>
    <x v="136"/>
    <s v="206g.mid"/>
    <s v="206g.mid.mp3"/>
    <n v="1870"/>
    <m/>
    <n v="551"/>
    <s v="Easton"/>
    <s v="id3tag --song=&quot;Easton (6.6.8.4.)&quot; --artist=&quot;W. Easton&quot; --comment=&quot;&quot; --album=&quot;Green Book&quot; --track=&quot;206&quot; 206g.mid.mp3"/>
    <s v="https://www.dropbox.com/sh/cx7tus4mgkt9o4n/AABil2NIcpw7Na1-xxIw8tJVa/206g.mid.mp3?raw=1"/>
  </r>
  <r>
    <x v="186"/>
    <s v="Eaton Square"/>
    <s v="7.6.7.6.7.6.7.6."/>
    <n v="34"/>
    <m/>
    <s v="LFTB"/>
    <s v="Green Book"/>
    <x v="137"/>
    <s v="237g.mid"/>
    <s v="237g.mid.mp3"/>
    <m/>
    <m/>
    <n v="467"/>
    <s v="Eaton Square"/>
    <s v="id3tag --song=&quot;Eaton Square (7.6.7.6.7.6.7.6.)&quot; --artist=&quot;W. G. Fischer&quot; --comment=&quot;&quot; --album=&quot;Green Book&quot; --track=&quot;237&quot; 237g.mid.mp3"/>
    <s v="https://www.dropbox.com/sh/cx7tus4mgkt9o4n/AADcSAUPKqrxcHPUawHy-vh2a/237g.mid.mp3?raw=1"/>
  </r>
  <r>
    <x v="187"/>
    <s v="Ecce Homo"/>
    <s v="L.M."/>
    <n v="16"/>
    <m/>
    <s v="LFTBs"/>
    <s v="Red Book"/>
    <x v="28"/>
    <s v="31r.mid"/>
    <s v="31r.mid.mp3"/>
    <m/>
    <m/>
    <n v="127"/>
    <s v="Ecce Homo"/>
    <s v="id3tag --song=&quot;Ecce Homo (L.M.)&quot; --artist=&quot;E. Carren&quot; --comment=&quot;&quot; --album=&quot;Red Book&quot; --track=&quot;31&quot; 31r.mid.mp3"/>
    <s v="https://www.dropbox.com/sh/cx7tus4mgkt9o4n/AAC901oBXlQCeAQs0G5iHQ__a/31r.mid.mp3?raw=1"/>
  </r>
  <r>
    <x v="122"/>
    <s v="Eden"/>
    <s v="L.M."/>
    <n v="16"/>
    <m/>
    <s v="LFTB"/>
    <s v="Green Book"/>
    <x v="63"/>
    <s v="100g.mid"/>
    <s v="100g.mid.mp3"/>
    <m/>
    <m/>
    <n v="348"/>
    <s v="Eden"/>
    <s v="id3tag --song=&quot;Eden (L.M.)&quot; --artist=&quot;Dr. Lowell Mason&quot; --comment=&quot;&quot; --album=&quot;Green Book&quot; --track=&quot;100&quot; 100g.mid.mp3"/>
    <s v="https://www.dropbox.com/sh/cx7tus4mgkt9o4n/AABHY14f8vqz3dUfUHhVW8MAa/100g.mid.mp3?raw=1"/>
  </r>
  <r>
    <x v="188"/>
    <s v="Edinburgh"/>
    <s v="8.8.11.8."/>
    <n v="46"/>
    <m/>
    <s v="LFTBs"/>
    <s v="Red Book"/>
    <x v="138"/>
    <s v="218r.mid"/>
    <s v="218r.mid.mp3"/>
    <m/>
    <m/>
    <n v="128"/>
    <s v="Edinburgh"/>
    <s v="id3tag --song=&quot;Edinburgh (8.8.11.8.)&quot; --artist=&quot;E.J. Judd&quot; --comment=&quot;&quot; --album=&quot;Red Book&quot; --track=&quot;218&quot; 218r.mid.mp3"/>
    <s v="https://www.dropbox.com/sh/cx7tus4mgkt9o4n/AAAOrzGOaUJVw4QwhA4aFyzBa/218r.mid.mp3?raw=1"/>
  </r>
  <r>
    <x v="189"/>
    <s v="Edinor"/>
    <s v="8.7.8.7. Iambic"/>
    <n v="94"/>
    <m/>
    <s v="LFTBs"/>
    <s v="Red Book"/>
    <x v="90"/>
    <s v="168r.mid"/>
    <s v="168r.mid.mp3"/>
    <m/>
    <m/>
    <n v="129"/>
    <s v="Edinor"/>
    <s v="id3tag --song=&quot;Edinor (8.7.8.7. Iambic)&quot; --artist=&quot;John F. Harvey&quot; --comment=&quot;&quot; --album=&quot;Red Book&quot; --track=&quot;168&quot; 168r.mid.mp3"/>
    <s v="https://www.dropbox.com/sh/cx7tus4mgkt9o4n/AAAA7jf3SSRpol45uqvmvlYNa/168r.mid.mp3?raw=1"/>
  </r>
  <r>
    <x v="190"/>
    <s v="Eilden"/>
    <s v="10.10.10.10."/>
    <n v="21"/>
    <m/>
    <s v="LFTBs"/>
    <s v="Red Book"/>
    <x v="139"/>
    <s v="251r.mid"/>
    <s v="251r.mid.mp3"/>
    <m/>
    <s v="Harmonized by Klaus Otsby"/>
    <n v="130"/>
    <s v="Eilden"/>
    <s v="id3tag --song=&quot;Eilden (10.10.10.10.)&quot; --artist=&quot;Arthur Skrede&quot; --comment=&quot;Harmonized by Klaus Otsby&quot; --album=&quot;Red Book&quot; --track=&quot;251&quot; 251r.mid.mp3"/>
    <s v="https://www.dropbox.com/sh/cx7tus4mgkt9o4n/AABAh3u2C8ApdUKYHgfMv32Ha/251r.mid.mp3?raw=1"/>
  </r>
  <r>
    <x v="191"/>
    <s v="Eirene"/>
    <s v="8.8.11.8."/>
    <n v="46"/>
    <m/>
    <s v="LFTB"/>
    <s v="Green Book"/>
    <x v="11"/>
    <s v="442g.mid"/>
    <s v="442g.mid.mp3"/>
    <m/>
    <m/>
    <n v="397"/>
    <s v="Eirene"/>
    <s v="id3tag --song=&quot;Eirene (8.8.11.8.)&quot; --artist=&quot;T. Collins&quot; --comment=&quot;&quot; --album=&quot;Green Book&quot; --track=&quot;442&quot; 442g.mid.mp3"/>
    <s v="https://www.dropbox.com/sh/cx7tus4mgkt9o4n/AADUW25bq8icGtkHUbcOULABa/442g.mid.mp3?raw=1"/>
  </r>
  <r>
    <x v="192"/>
    <s v="El Elyon"/>
    <s v="4.8.4.8.8."/>
    <n v="28"/>
    <m/>
    <s v="LFTBs"/>
    <s v="Red Book"/>
    <x v="4"/>
    <s v="54r.mid"/>
    <s v="54r.mid.mp3"/>
    <m/>
    <m/>
    <n v="131"/>
    <s v="El Elyon"/>
    <s v="id3tag --song=&quot;El Elyon (4.8.4.8.8.)&quot; --artist=&quot;Miss E.C. Shanks&quot; --comment=&quot;&quot; --album=&quot;Red Book&quot; --track=&quot;54&quot; 54r.mid.mp3"/>
    <s v="https://www.dropbox.com/sh/cx7tus4mgkt9o4n/AAChXNceQZq8IyHdHFHimOeBa/54r.mid.mp3?raw=1"/>
  </r>
  <r>
    <x v="193"/>
    <s v="Elaine"/>
    <s v="11.10.11.10. Dactylic"/>
    <n v="17"/>
    <m/>
    <s v="LFTBs"/>
    <s v="Red Book"/>
    <x v="138"/>
    <s v="269r.mid"/>
    <s v="269r.mid.mp3"/>
    <m/>
    <m/>
    <n v="132"/>
    <s v="Elaine"/>
    <s v="id3tag --song=&quot;Elaine (11.10.11.10. Dactylic)&quot; --artist=&quot;E.J. Judd&quot; --comment=&quot;&quot; --album=&quot;Red Book&quot; --track=&quot;269&quot; 269r.mid.mp3"/>
    <s v="https://www.dropbox.com/sh/cx7tus4mgkt9o4n/AADHwqILQBf1M4WmMuEfMWw2a/269r.mid.mp3?raw=1"/>
  </r>
  <r>
    <x v="21"/>
    <s v="Elam"/>
    <s v="6.6.8.4."/>
    <n v="42"/>
    <m/>
    <s v="LFTBs"/>
    <s v="Red Book"/>
    <x v="4"/>
    <s v="89r.mid"/>
    <s v="89r.mid.mp3"/>
    <m/>
    <m/>
    <n v="133"/>
    <s v="Elam"/>
    <s v="id3tag --song=&quot;Elam (6.6.8.4.)&quot; --artist=&quot;Miss E.C. Shanks&quot; --comment=&quot;&quot; --album=&quot;Red Book&quot; --track=&quot;89&quot; 89r.mid.mp3"/>
    <s v="https://www.dropbox.com/sh/cx7tus4mgkt9o4n/AADKE1wzb3ghW97LR196NM9ja/89r.mid.mp3?raw=1"/>
  </r>
  <r>
    <x v="194"/>
    <s v="Elberfeld"/>
    <s v="7.6.7.6."/>
    <n v="41"/>
    <m/>
    <s v="LFTB"/>
    <s v="Green Book"/>
    <x v="42"/>
    <s v="215g.mid"/>
    <s v="215g.mid.mp3"/>
    <m/>
    <m/>
    <n v="363"/>
    <s v="Elberfeld"/>
    <s v="id3tag --song=&quot;Elberfeld (7.6.7.6.)&quot; --artist=&quot;German Melody&quot; --comment=&quot;&quot; --album=&quot;Green Book&quot; --track=&quot;215&quot; 215g.mid.mp3"/>
    <s v="https://www.dropbox.com/sh/cx7tus4mgkt9o4n/AAA66yKl1nC_oRTbMya51K8Xa/215g.mid.mp3?raw=1"/>
  </r>
  <r>
    <x v="24"/>
    <s v="Eli"/>
    <s v="12.13.12.10."/>
    <n v="48"/>
    <m/>
    <s v="LFTBs"/>
    <s v="Red Book"/>
    <x v="4"/>
    <s v="286r.mid"/>
    <s v="286r.mid.mp3"/>
    <m/>
    <m/>
    <n v="134"/>
    <s v="Eli"/>
    <s v="id3tag --song=&quot;Eli (12.13.12.10.)&quot; --artist=&quot;Miss E.C. Shanks&quot; --comment=&quot;&quot; --album=&quot;Red Book&quot; --track=&quot;286&quot; 286r.mid.mp3"/>
    <s v="https://www.dropbox.com/sh/cx7tus4mgkt9o4n/AADzPQf1n4ejPk1UvEb7BkrGa/286r.mid.mp3?raw=1"/>
  </r>
  <r>
    <x v="195"/>
    <s v="Elim"/>
    <s v="11.11.11.11. Trochaic"/>
    <n v="64"/>
    <m/>
    <s v="LFTB"/>
    <s v="Green Book"/>
    <x v="140"/>
    <s v="538g.mid"/>
    <s v="538g.mid.mp3"/>
    <n v="1848"/>
    <m/>
    <n v="564"/>
    <s v="Elim"/>
    <s v="id3tag --song=&quot;Elim (11.11.11.11. Trochaic)&quot; --artist=&quot;Miss Davis&quot; --comment=&quot;&quot; --album=&quot;Green Book&quot; --track=&quot;538&quot; 538g.mid.mp3"/>
    <s v="https://www.dropbox.com/sh/cx7tus4mgkt9o4n/AADPBVqdQckthoFTLqe-sbE-a/538g.mid.mp3?raw=1"/>
  </r>
  <r>
    <x v="196"/>
    <s v="Ellacombe"/>
    <s v="7.6.7.6.7.6.7.6."/>
    <n v="34"/>
    <m/>
    <s v="LFTB"/>
    <s v="Green Book"/>
    <x v="141"/>
    <s v="238g.mid"/>
    <s v="238g.mid.mp3"/>
    <n v="1855"/>
    <m/>
    <n v="632"/>
    <s v="Ellacombe"/>
    <s v="id3tag --song=&quot;Ellacombe (7.6.7.6.7.6.7.6.)&quot; --artist=&quot;From 'Kochers Zionsharfe'&quot; --comment=&quot;&quot; --album=&quot;Green Book&quot; --track=&quot;238&quot; 238g.mid.mp3"/>
    <s v="https://www.dropbox.com/sh/cx7tus4mgkt9o4n/AAAG6Sb1hvgp9-Qzog1_CYrDa/238g.mid.mp3?raw=1"/>
  </r>
  <r>
    <x v="197"/>
    <s v="Elland"/>
    <s v="9.9.9.9."/>
    <n v="60"/>
    <m/>
    <s v="LFTB"/>
    <s v="Green Book"/>
    <x v="121"/>
    <s v="452g.mid"/>
    <s v="452g.mid.mp3"/>
    <m/>
    <m/>
    <n v="710"/>
    <s v="Elland"/>
    <s v="id3tag --song=&quot;Elland (9.9.9.9.)&quot; --artist=&quot;J. Langran&quot; --comment=&quot;&quot; --album=&quot;Green Book&quot; --track=&quot;452&quot; 452g.mid.mp3"/>
    <s v="https://www.dropbox.com/sh/cx7tus4mgkt9o4n/AAB_Fk9Gg-OgtKDgbptaGQe4a/452g.mid.mp3?raw=1"/>
  </r>
  <r>
    <x v="198"/>
    <s v="Ellers"/>
    <s v="10.10.10.10."/>
    <n v="21"/>
    <m/>
    <s v="LFTB"/>
    <s v="Green Book"/>
    <x v="142"/>
    <s v="482g.mid"/>
    <s v="482g.mid.mp3"/>
    <m/>
    <m/>
    <n v="727"/>
    <s v="Ellers"/>
    <s v="id3tag --song=&quot;Ellers (10.10.10.10.)&quot; --artist=&quot;Dr. E. J. Hopkins&quot; --comment=&quot;&quot; --album=&quot;Green Book&quot; --track=&quot;482&quot; 482g.mid.mp3"/>
    <s v="https://www.dropbox.com/sh/cx7tus4mgkt9o4n/AAAL0E-oV02aAVo2M7eAZeD5a/482g.mid.mp3?raw=1"/>
  </r>
  <r>
    <x v="199"/>
    <s v="Ellerton (Craster)"/>
    <s v="8.7.8.7."/>
    <n v="24"/>
    <m/>
    <s v="LFTB"/>
    <s v="Green Book"/>
    <x v="9"/>
    <s v="321g.mid"/>
    <s v="321g.mid.mp3"/>
    <m/>
    <m/>
    <n v="553"/>
    <s v="Ellerton (Craster)"/>
    <s v="id3tag --song=&quot;Ellerton (Craster) (8.7.8.7.)&quot; --artist=&quot;Unknown&quot; --comment=&quot;&quot; --album=&quot;Green Book&quot; --track=&quot;321&quot; 321g.mid.mp3"/>
    <s v="https://www.dropbox.com/sh/cx7tus4mgkt9o4n/AABjzIp90ni3yueXRGrcIhTwa/321g.mid.mp3?raw=1"/>
  </r>
  <r>
    <x v="182"/>
    <s v="Eltham"/>
    <s v="7.6.7.6.7.6.7.6."/>
    <n v="34"/>
    <m/>
    <s v="LFTB"/>
    <s v="Green Book"/>
    <x v="113"/>
    <s v="239g.mid"/>
    <s v="239g.mid.mp3"/>
    <m/>
    <m/>
    <n v="633"/>
    <s v="Eltham"/>
    <s v="id3tag --song=&quot;Eltham (7.6.7.6.7.6.7.6.)&quot; --artist=&quot;From 'Geistliche Leider'&quot; --comment=&quot;&quot; --album=&quot;Green Book&quot; --track=&quot;239&quot; 239g.mid.mp3"/>
    <s v="https://www.dropbox.com/sh/cx7tus4mgkt9o4n/AACpKVIugYqzS7aNcQPS4gYma/239g.mid.mp3?raw=1"/>
  </r>
  <r>
    <x v="200"/>
    <s v="Endbach"/>
    <s v="7.4.7.4.7.4.7.4."/>
    <s v="NONE"/>
    <m/>
    <s v="LFTB"/>
    <s v="Green Book"/>
    <x v="143"/>
    <s v="213g.mid"/>
    <s v="213g.mid.mp3"/>
    <m/>
    <m/>
    <n v="459"/>
    <s v="Endbach"/>
    <s v="id3tag --song=&quot;Endbach (7.4.7.4.7.4.7.4.)&quot; --artist=&quot;F. Silcher&quot; --comment=&quot;&quot; --album=&quot;Green Book&quot; --track=&quot;213&quot; 213g.mid.mp3"/>
    <s v="https://www.dropbox.com/sh/cx7tus4mgkt9o4n/AACsy1Lka3-ig8ehb4jfh2sqa/213g.mid.mp3?raw=1"/>
  </r>
  <r>
    <x v="201"/>
    <s v="Entreaty"/>
    <s v="8.7.8.7."/>
    <n v="24"/>
    <m/>
    <s v="LFTBs"/>
    <s v="Red Book"/>
    <x v="90"/>
    <s v="152r.mid"/>
    <s v="152r.mid.mp3"/>
    <m/>
    <m/>
    <n v="135"/>
    <s v="Entreaty"/>
    <s v="id3tag --song=&quot;Entreaty (8.7.8.7.)&quot; --artist=&quot;John F. Harvey&quot; --comment=&quot;&quot; --album=&quot;Red Book&quot; --track=&quot;152&quot; 152r.mid.mp3"/>
    <s v="https://www.dropbox.com/sh/cx7tus4mgkt9o4n/AACJZVMT-4IqiZmDT2gyFQI8a/152r.mid.mp3?raw=1"/>
  </r>
  <r>
    <x v="202"/>
    <s v="Ephesus"/>
    <s v="C.M."/>
    <n v="19"/>
    <m/>
    <s v="LFTBs"/>
    <s v="Red Book"/>
    <x v="9"/>
    <s v="11r.mid"/>
    <s v="11r.mid.mp3"/>
    <m/>
    <m/>
    <n v="136"/>
    <s v="Ephesus"/>
    <s v="id3tag --song=&quot;Ephesus (C.M.)&quot; --artist=&quot;Unknown&quot; --comment=&quot;&quot; --album=&quot;Red Book&quot; --track=&quot;11&quot; 11r.mid.mp3"/>
    <s v="https://www.dropbox.com/sh/cx7tus4mgkt9o4n/AACK6l_JyxjNV0ScKznKe3DLa/11r.mid.mp3?raw=1"/>
  </r>
  <r>
    <x v="203"/>
    <s v="Epiphany Hymn"/>
    <s v="11.10.11.10. Dactylic"/>
    <n v="17"/>
    <m/>
    <s v="LFTB"/>
    <s v="Green Book"/>
    <x v="144"/>
    <s v="524g.mid"/>
    <s v="524g.mid.mp3"/>
    <m/>
    <m/>
    <n v="745"/>
    <s v="Epiphany Hymn"/>
    <s v="id3tag --song=&quot;Epiphany Hymn (11.10.11.10. Dactylic)&quot; --artist=&quot;J. F. Thrupp&quot; --comment=&quot;&quot; --album=&quot;Green Book&quot; --track=&quot;524&quot; 524g.mid.mp3"/>
    <s v="https://www.dropbox.com/sh/cx7tus4mgkt9o4n/AADhnxHpMvXGkLr2itqjYqNfa/524g.mid.mp3?raw=1"/>
  </r>
  <r>
    <x v="204"/>
    <s v="Ercuis"/>
    <s v="9.8.9.8."/>
    <n v="35"/>
    <m/>
    <s v="LFTBs"/>
    <s v="Red Book"/>
    <x v="90"/>
    <s v="224r.mid"/>
    <s v="224r.mid.mp3"/>
    <m/>
    <m/>
    <n v="137"/>
    <s v="Ercuis"/>
    <s v="id3tag --song=&quot;Ercuis (9.8.9.8.)&quot; --artist=&quot;John F. Harvey&quot; --comment=&quot;&quot; --album=&quot;Red Book&quot; --track=&quot;224&quot; 224r.mid.mp3"/>
    <s v="https://www.dropbox.com/sh/cx7tus4mgkt9o4n/AADqOH59ga7s4Fw_ggF9Zje-a/224r.mid.mp3?raw=1"/>
  </r>
  <r>
    <x v="205"/>
    <s v="Erica"/>
    <s v="10.10.4.10.10.4."/>
    <n v="18"/>
    <m/>
    <s v="LFTB"/>
    <s v="Green Book"/>
    <x v="100"/>
    <s v="462g.mid"/>
    <s v="462g.mid.mp3"/>
    <n v="1950"/>
    <m/>
    <n v="716"/>
    <s v="Erica"/>
    <s v="id3tag --song=&quot;Erica (10.10.4.10.10.4.)&quot; --artist=&quot;R. A. Evershed&quot; --comment=&quot;&quot; --album=&quot;Green Book&quot; --track=&quot;462&quot; 462g.mid.mp3"/>
    <s v="https://www.dropbox.com/sh/cx7tus4mgkt9o4n/AACF1ZtQVsfqHrt0LCoK_hLda/462g.mid.mp3?raw=1"/>
  </r>
  <r>
    <x v="206"/>
    <s v="Ernan"/>
    <s v="10.10.10.10."/>
    <n v="21"/>
    <m/>
    <s v="LFTB"/>
    <s v="Green Book"/>
    <x v="63"/>
    <s v="483g.mid"/>
    <s v="483g.mid.mp3"/>
    <m/>
    <m/>
    <n v="728"/>
    <s v="Ernan"/>
    <s v="id3tag --song=&quot;Ernan (10.10.10.10.)&quot; --artist=&quot;Dr. Lowell Mason&quot; --comment=&quot;&quot; --album=&quot;Green Book&quot; --track=&quot;483&quot; 483g.mid.mp3"/>
    <s v="https://www.dropbox.com/sh/cx7tus4mgkt9o4n/AAAXMyOMEMZpq6QXRECXDmZxa/483g.mid.mp3?raw=1"/>
  </r>
  <r>
    <x v="207"/>
    <s v="Eternal Love"/>
    <s v="11.10.11.10."/>
    <n v="52"/>
    <m/>
    <s v="LFTBs"/>
    <s v="Red Book"/>
    <x v="145"/>
    <s v="264r.mid"/>
    <s v="264r.mid.mp3"/>
    <m/>
    <m/>
    <n v="138"/>
    <s v="Eternal Love"/>
    <s v="id3tag --song=&quot;Eternal Love (11.10.11.10.)&quot; --artist=&quot;H. Earnest Nichol&quot; --comment=&quot;&quot; --album=&quot;Red Book&quot; --track=&quot;264&quot; 264r.mid.mp3"/>
    <s v="https://www.dropbox.com/sh/cx7tus4mgkt9o4n/AACFIptbld1x1lykNMdvfAEga/264r.mid.mp3?raw=1"/>
  </r>
  <r>
    <x v="208"/>
    <s v="Eternal Praise"/>
    <s v="8.8.6.8.8.6."/>
    <n v="20"/>
    <m/>
    <s v="LFTB"/>
    <s v="Green Book"/>
    <x v="75"/>
    <s v="404g.mid"/>
    <s v="404g.mid.mp3"/>
    <m/>
    <m/>
    <n v="682"/>
    <s v="Eternal Praise"/>
    <s v="id3tag --song=&quot;Eternal Praise (8.8.6.8.8.6.)&quot; --artist=&quot;Miss La Thangue&quot; --comment=&quot;&quot; --album=&quot;Green Book&quot; --track=&quot;404&quot; 404g.mid.mp3"/>
    <s v="https://www.dropbox.com/sh/cx7tus4mgkt9o4n/AAAB7uWjRLQfdPD_chinW8YFa/404g.mid.mp3?raw=1"/>
  </r>
  <r>
    <x v="209"/>
    <s v="Eternal, Immortal"/>
    <s v="9.8.9.8."/>
    <n v="35"/>
    <m/>
    <s v="LFTBs"/>
    <s v="Red Book"/>
    <x v="28"/>
    <s v="225r.mid"/>
    <s v="225r.mid.mp3"/>
    <m/>
    <m/>
    <n v="139"/>
    <s v="Eternal, Immortal"/>
    <s v="id3tag --song=&quot;Eternal, Immortal (9.8.9.8.)&quot; --artist=&quot;E. Carren&quot; --comment=&quot;&quot; --album=&quot;Red Book&quot; --track=&quot;225&quot; 225r.mid.mp3"/>
    <s v="https://www.dropbox.com/sh/cx7tus4mgkt9o4n/AAA2VHiJw72MEAIxH9XecGVwa/225r.mid.mp3?raw=1"/>
  </r>
  <r>
    <x v="210"/>
    <s v="Eternity"/>
    <s v="6.4.6.4.6.6.6.4."/>
    <n v="44"/>
    <m/>
    <s v="LFTBs"/>
    <s v="Red Book"/>
    <x v="90"/>
    <s v="70r.mid"/>
    <s v="70r.mid.mp3"/>
    <m/>
    <m/>
    <n v="140"/>
    <s v="Eternity"/>
    <s v="id3tag --song=&quot;Eternity (6.4.6.4.6.6.6.4.)&quot; --artist=&quot;John F. Harvey&quot; --comment=&quot;&quot; --album=&quot;Red Book&quot; --track=&quot;70&quot; 70r.mid.mp3"/>
    <s v="https://www.dropbox.com/sh/cx7tus4mgkt9o4n/AAAS-yrK1uFmcPx2lWZdlUFda/70r.mid.mp3?raw=1"/>
  </r>
  <r>
    <x v="33"/>
    <s v="Eucharistica"/>
    <s v="8.7.8.7.8.7.8.7."/>
    <n v="25"/>
    <m/>
    <s v="LFTBs"/>
    <s v="Red Book"/>
    <x v="146"/>
    <s v="182r.mid"/>
    <s v="182r.mid.mp3"/>
    <m/>
    <m/>
    <n v="141"/>
    <s v="Eucharistica"/>
    <s v="id3tag --song=&quot;Eucharistica (8.7.8.7.8.7.8.7.)&quot; --artist=&quot;J.W. Elliott&quot; --comment=&quot;&quot; --album=&quot;Red Book&quot; --track=&quot;182&quot; 182r.mid.mp3"/>
    <s v="https://www.dropbox.com/sh/cx7tus4mgkt9o4n/AADEJxfegg0zm4I1DhIDlw7Pa/182r.mid.mp3?raw=1"/>
  </r>
  <r>
    <x v="211"/>
    <s v="Euphony"/>
    <s v="8.8.8.8.8.8."/>
    <n v="26"/>
    <m/>
    <s v="LFTB"/>
    <s v="Green Book"/>
    <x v="147"/>
    <s v="431g.mid"/>
    <s v="431g.mid.mp3"/>
    <m/>
    <m/>
    <n v="697"/>
    <s v="Euphony"/>
    <s v="id3tag --song=&quot;Euphony (8.8.8.8.8.8.)&quot; --artist=&quot;H. Dennis&quot; --comment=&quot;&quot; --album=&quot;Green Book&quot; --track=&quot;431&quot; 431g.mid.mp3"/>
    <s v="https://www.dropbox.com/sh/cx7tus4mgkt9o4n/AAA6jeIwpCD8aXB25fj4DGrha/431g.mid.mp3?raw=1"/>
  </r>
  <r>
    <x v="212"/>
    <s v="Evan"/>
    <s v="C.M."/>
    <n v="19"/>
    <m/>
    <s v="LFTB"/>
    <s v="Green Book"/>
    <x v="148"/>
    <s v="20g.mid"/>
    <s v="20g.mid.mp3"/>
    <m/>
    <m/>
    <n v="520"/>
    <s v="Evan"/>
    <s v="id3tag --song=&quot;Evan (C.M.)&quot; --artist=&quot;W. H. Havergal&quot; --comment=&quot;&quot; --album=&quot;Green Book&quot; --track=&quot;20&quot; 20g.mid.mp3"/>
    <s v="https://www.dropbox.com/sh/cx7tus4mgkt9o4n/AAAOZ6eEH4pVDd-84t5-sYj1a/20g.mid.mp3?raw=1"/>
  </r>
  <r>
    <x v="213"/>
    <s v="Even So"/>
    <s v="11.10.11.10."/>
    <n v="52"/>
    <m/>
    <s v="LFTB"/>
    <s v="Green Book"/>
    <x v="149"/>
    <s v="517g.mid"/>
    <s v="517g.mid.mp3"/>
    <m/>
    <m/>
    <n v="515"/>
    <s v="Even So"/>
    <s v="id3tag --song=&quot;Even So (11.10.11.10.)&quot; --artist=&quot;A. P. Gipps&quot; --comment=&quot;&quot; --album=&quot;Green Book&quot; --track=&quot;517&quot; 517g.mid.mp3"/>
    <s v="https://www.dropbox.com/sh/cx7tus4mgkt9o4n/AACAA8EamcbCuQYVmXxr4vHBa/517g.mid.mp3?raw=1"/>
  </r>
  <r>
    <x v="214"/>
    <s v="Evening Blessing"/>
    <s v="8.8.7.7."/>
    <n v="79"/>
    <m/>
    <s v="LFTB"/>
    <s v="Green Book"/>
    <x v="18"/>
    <s v="414.mid"/>
    <s v="414.mid.mp3"/>
    <m/>
    <m/>
    <n v="14"/>
    <s v="Evening Blessing"/>
    <s v="id3tag --song=&quot;Evening Blessing (8.8.7.7.)&quot; --artist=&quot;G. C. Stebbins&quot; --comment=&quot;&quot; --album=&quot;Green Book&quot; --track=&quot;414&quot; 414.mid.mp3"/>
    <s v="https://www.dropbox.com/sh/cx7tus4mgkt9o4n/AABSzIpudnu1-pKghLUtfqQja/414.mid.mp3?raw=1"/>
  </r>
  <r>
    <x v="215"/>
    <s v="Evening Prayer"/>
    <s v="8.7.8.7.7.7."/>
    <n v="77"/>
    <m/>
    <s v="LFTB"/>
    <s v="Green Book"/>
    <x v="63"/>
    <s v="367g.mid"/>
    <s v="367g.mid.mp3"/>
    <m/>
    <m/>
    <n v="646"/>
    <s v="Evening Prayer"/>
    <s v="id3tag --song=&quot;Evening Prayer (8.7.8.7.7.7.)&quot; --artist=&quot;Dr. Lowell Mason&quot; --comment=&quot;&quot; --album=&quot;Green Book&quot; --track=&quot;367&quot; 367g.mid.mp3"/>
    <s v="https://www.dropbox.com/sh/cx7tus4mgkt9o4n/AAAMaDk6nkVTeYbzO8uvfD74a/367g.mid.mp3?raw=1"/>
  </r>
  <r>
    <x v="216"/>
    <s v="Eventide"/>
    <s v="10.10.10.10."/>
    <n v="21"/>
    <m/>
    <s v="LFTB"/>
    <s v="Green Book"/>
    <x v="150"/>
    <s v="484g.mid"/>
    <s v="484g.mid.mp3"/>
    <m/>
    <m/>
    <n v="402"/>
    <s v="Eventide"/>
    <s v="id3tag --song=&quot;Eventide (10.10.10.10.)&quot; --artist=&quot;Dr. W. H. Monk&quot; --comment=&quot;&quot; --album=&quot;Green Book&quot; --track=&quot;484&quot; 484g.mid.mp3"/>
    <s v="https://www.dropbox.com/sh/cx7tus4mgkt9o4n/AAAch_82-9v14-_RJRy7gl9ya/484g.mid.mp3?raw=1"/>
  </r>
  <r>
    <x v="217"/>
    <s v="Evesham"/>
    <s v="10.10.10.10.10.10."/>
    <s v="NONE"/>
    <m/>
    <s v="LFTB"/>
    <s v="Green Book"/>
    <x v="151"/>
    <s v="507g.mid"/>
    <s v="507g.mid.mp3"/>
    <m/>
    <m/>
    <n v="560"/>
    <s v="Evesham"/>
    <s v="id3tag --song=&quot;Evesham (10.10.10.10.10.10.)&quot; --artist=&quot;J. H. Killick&quot; --comment=&quot;&quot; --album=&quot;Green Book&quot; --track=&quot;507&quot; 507g.mid.mp3"/>
    <s v="https://www.dropbox.com/sh/cx7tus4mgkt9o4n/AABLy6y5XQzJec9E_w1io14wa/507g.mid.mp3?raw=1"/>
  </r>
  <r>
    <x v="218"/>
    <s v="Ewing"/>
    <s v="7.6.7.6.7.6.7.6."/>
    <n v="34"/>
    <m/>
    <s v="LFTB"/>
    <s v="Green Book"/>
    <x v="152"/>
    <s v="240g.mid"/>
    <s v="240g.mid.mp3"/>
    <m/>
    <m/>
    <n v="468"/>
    <s v="Ewing"/>
    <s v="id3tag --song=&quot;Ewing (7.6.7.6.7.6.7.6.)&quot; --artist=&quot;A. Ewing&quot; --comment=&quot;&quot; --album=&quot;Green Book&quot; --track=&quot;240&quot; 240g.mid.mp3"/>
    <s v="https://www.dropbox.com/sh/cx7tus4mgkt9o4n/AABHHpwUVF3lvd-K6meLPoRxa/240g.mid.mp3?raw=1"/>
  </r>
  <r>
    <x v="219"/>
    <s v="Exaltation (Walker)"/>
    <s v="14.14.4.7.8."/>
    <n v="78"/>
    <m/>
    <s v="LFTB"/>
    <s v="Green Book"/>
    <x v="153"/>
    <s v="550g.mid"/>
    <s v="550g.mid.mp3"/>
    <m/>
    <m/>
    <n v="757"/>
    <s v="No matching tune"/>
    <s v="id3tag --song=&quot;Exaltation (Walker) (14.14.4.7.8.)&quot; --artist=&quot;Miss S. M. Walker&quot; --comment=&quot;&quot; --album=&quot;Green Book&quot; --track=&quot;550&quot; 550g.mid.mp3"/>
    <e v="#N/A"/>
  </r>
  <r>
    <x v="220"/>
    <s v="Exeter"/>
    <s v="6.6.6.6.8.8."/>
    <n v="51"/>
    <m/>
    <s v="LFTB"/>
    <s v="Green Book"/>
    <x v="9"/>
    <s v="196g.mid"/>
    <s v="196g.mid.mp3"/>
    <m/>
    <m/>
    <n v="550"/>
    <s v="Exeter"/>
    <s v="id3tag --song=&quot;Exeter (6.6.6.6.8.8.)&quot; --artist=&quot;Unknown&quot; --comment=&quot;&quot; --album=&quot;Green Book&quot; --track=&quot;196&quot; 196g.mid.mp3"/>
    <s v="https://www.dropbox.com/sh/cx7tus4mgkt9o4n/AABWgQwmOpd3vdUdikq0QV7Ma/196g.mid.mp3?raw=1"/>
  </r>
  <r>
    <x v="221"/>
    <s v="Extolment"/>
    <s v="8.6.8.6.8.8."/>
    <n v="55"/>
    <m/>
    <s v="LFTBs"/>
    <s v="Red Book"/>
    <x v="154"/>
    <s v="144r.mid"/>
    <s v="144r.mid.mp3"/>
    <m/>
    <m/>
    <n v="142"/>
    <s v="Extolment"/>
    <s v="id3tag --song=&quot;Extolment (8.6.8.6.8.8.)&quot; --artist=&quot;W. R. Mason&quot; --comment=&quot;&quot; --album=&quot;Red Book&quot; --track=&quot;144&quot; 144r.mid.mp3"/>
    <s v="https://www.dropbox.com/sh/cx7tus4mgkt9o4n/AAD9ylVob-gJp4srJ4Ezv4pMa/144r.mid.mp3?raw=1"/>
  </r>
  <r>
    <x v="222"/>
    <s v="Exultation"/>
    <s v="8.7.8.7."/>
    <n v="24"/>
    <m/>
    <s v="LFTB"/>
    <s v="Green Book"/>
    <x v="155"/>
    <s v="322g.mid"/>
    <s v="322g.mid.mp3"/>
    <m/>
    <m/>
    <n v="554"/>
    <s v="Exultation"/>
    <s v="id3tag --song=&quot;Exultation (8.7.8.7.)&quot; --artist=&quot;P. Blanche&quot; --comment=&quot;&quot; --album=&quot;Green Book&quot; --track=&quot;322&quot; 322g.mid.mp3"/>
    <s v="https://www.dropbox.com/sh/cx7tus4mgkt9o4n/AAB1MvB2d7dyyWCQMlHQ1rO_a/322g.mid.mp3?raw=1"/>
  </r>
  <r>
    <x v="46"/>
    <s v="Fairford"/>
    <s v="6.6.6.6.8.8."/>
    <n v="51"/>
    <m/>
    <s v="LFTB"/>
    <s v="Green Book"/>
    <x v="9"/>
    <s v="197g.mid"/>
    <s v="197g.mid.mp3"/>
    <m/>
    <s v="Repeat last line of each verse"/>
    <n v="361"/>
    <s v="Fairford"/>
    <s v="id3tag --song=&quot;Fairford (6.6.6.6.8.8.)&quot; --artist=&quot;Unknown&quot; --comment=&quot;Repeat last line of each verse&quot; --album=&quot;Green Book&quot; --track=&quot;197&quot; 197g.mid.mp3"/>
    <s v="https://www.dropbox.com/sh/cx7tus4mgkt9o4n/AABoSoQrv0WUlmFoSaK_yr1Ka/197g.mid.mp3?raw=1"/>
  </r>
  <r>
    <x v="223"/>
    <s v="Farewell"/>
    <s v="7.6.7.6.7.6.7.6."/>
    <n v="34"/>
    <m/>
    <s v="LFTB"/>
    <s v="Green Book"/>
    <x v="62"/>
    <s v="241g.mid"/>
    <s v="241g.mid.mp3"/>
    <m/>
    <m/>
    <n v="469"/>
    <s v="Farewell"/>
    <s v="id3tag --song=&quot;Farewell (7.6.7.6.7.6.7.6.)&quot; --artist=&quot;From Mendelssohn&quot; --comment=&quot;&quot; --album=&quot;Green Book&quot; --track=&quot;241&quot; 241g.mid.mp3"/>
    <s v="https://www.dropbox.com/sh/cx7tus4mgkt9o4n/AABPlrCcxo_7olJwTdLwPGWaa/241g.mid.mp3?raw=1"/>
  </r>
  <r>
    <x v="224"/>
    <s v="Farne"/>
    <s v="8.8.8.8.6."/>
    <n v="58"/>
    <m/>
    <s v="LFTBs"/>
    <s v="Red Book"/>
    <x v="124"/>
    <s v="208r.mid"/>
    <s v="208r.mid.mp3"/>
    <m/>
    <m/>
    <n v="143"/>
    <s v="Farne"/>
    <s v="id3tag --song=&quot;Farne (8.8.8.8.6.)&quot; --artist=&quot;Dr J. B. Dykes&quot; --comment=&quot;&quot; --album=&quot;Red Book&quot; --track=&quot;208&quot; 208r.mid.mp3"/>
    <s v="https://www.dropbox.com/sh/cx7tus4mgkt9o4n/AAD5ZZDgn6yG0smHLIfW5AVIa/208r.mid.mp3?raw=1"/>
  </r>
  <r>
    <x v="89"/>
    <s v="Farrant"/>
    <s v="C.M."/>
    <n v="19"/>
    <m/>
    <s v="LFTB"/>
    <s v="Green Book"/>
    <x v="156"/>
    <s v="21g.mid"/>
    <s v="21g.mid.mp3"/>
    <m/>
    <m/>
    <n v="521"/>
    <s v="Farrant"/>
    <s v="id3tag --song=&quot;Farrant (C.M.)&quot; --artist=&quot;R. Farrant&quot; --comment=&quot;&quot; --album=&quot;Green Book&quot; --track=&quot;21&quot; 21g.mid.mp3"/>
    <s v="https://www.dropbox.com/sh/cx7tus4mgkt9o4n/AACPwZr7on9FvXWbhO1Y9HOTa/21g.mid.mp3?raw=1"/>
  </r>
  <r>
    <x v="47"/>
    <s v="Father, Now in Adoration"/>
    <s v="8.7.8.7.8.7.8.7."/>
    <n v="25"/>
    <m/>
    <s v="LFTBs"/>
    <s v="Red Book"/>
    <x v="157"/>
    <s v="183r.mid"/>
    <s v="183r.mid.mp3"/>
    <m/>
    <m/>
    <n v="144"/>
    <s v="Father, Now in Adoration"/>
    <s v="id3tag --song=&quot;Father, Now in Adoration (8.7.8.7.8.7.8.7.)&quot; --artist=&quot;Douglas T. Holding&quot; --comment=&quot;&quot; --album=&quot;Red Book&quot; --track=&quot;183&quot; 183r.mid.mp3"/>
    <s v="https://www.dropbox.com/sh/cx7tus4mgkt9o4n/AADekEacaW9aoReAlNT3X1s5a/183r.mid.mp3?raw=1"/>
  </r>
  <r>
    <x v="225"/>
    <s v="Featherstone"/>
    <s v="8.6.8.6.8.8."/>
    <n v="55"/>
    <m/>
    <s v="LFTBs"/>
    <s v="Red Book"/>
    <x v="158"/>
    <s v="145r.mid"/>
    <s v="145r.mid.mp3"/>
    <m/>
    <m/>
    <n v="145"/>
    <s v="Featherstone"/>
    <s v="id3tag --song=&quot;Featherstone (8.6.8.6.8.8.)&quot; --artist=&quot;F. S. Pope&quot; --comment=&quot;&quot; --album=&quot;Red Book&quot; --track=&quot;145&quot; 145r.mid.mp3"/>
    <s v="https://www.dropbox.com/sh/cx7tus4mgkt9o4n/AACxMW8OqDTPzQmAioKH1Avza/145r.mid.mp3?raw=1"/>
  </r>
  <r>
    <x v="153"/>
    <s v="Filey"/>
    <s v="8.5.8.5."/>
    <n v="56"/>
    <m/>
    <s v="LFTB"/>
    <s v="Green Book"/>
    <x v="16"/>
    <s v="295g.mid"/>
    <s v="295g.mid.mp3"/>
    <m/>
    <m/>
    <n v="485"/>
    <s v="Filey"/>
    <s v="id3tag --song=&quot;Filey (8.5.8.5.)&quot; --artist=&quot;C. Leflaive&quot; --comment=&quot;&quot; --album=&quot;Green Book&quot; --track=&quot;295&quot; 295g.mid.mp3"/>
    <s v="https://www.dropbox.com/sh/cx7tus4mgkt9o4n/AAAunzwODrwFm5xU2PGG4iERa/295g.mid.mp3?raw=1"/>
  </r>
  <r>
    <x v="226"/>
    <s v="Firstborn"/>
    <s v="8.7.8.7.7.7."/>
    <n v="77"/>
    <m/>
    <s v="LFTBs"/>
    <s v="Red Book"/>
    <x v="159"/>
    <s v="177r.mid"/>
    <s v="177r.mid.mp3"/>
    <m/>
    <m/>
    <n v="146"/>
    <s v="Firstborn"/>
    <s v="id3tag --song=&quot;Firstborn (8.7.8.7.7.7.)&quot; --artist=&quot;Daniel F. Dupont&quot; --comment=&quot;&quot; --album=&quot;Red Book&quot; --track=&quot;177&quot; 177r.mid.mp3"/>
    <s v="https://www.dropbox.com/sh/cx7tus4mgkt9o4n/AAAatUcgTOxbXpgtg-4GqnnFa/177r.mid.mp3?raw=1"/>
  </r>
  <r>
    <x v="227"/>
    <s v="Flowing Stream"/>
    <s v="C.M.D."/>
    <n v="61"/>
    <m/>
    <s v="LFTBs"/>
    <s v="Red Book"/>
    <x v="9"/>
    <s v="24r.mid"/>
    <s v="24r.mid.mp3"/>
    <m/>
    <m/>
    <n v="147"/>
    <s v="Flowing Stream"/>
    <s v="id3tag --song=&quot;Flowing Stream (C.M.D.)&quot; --artist=&quot;Unknown&quot; --comment=&quot;&quot; --album=&quot;Red Book&quot; --track=&quot;24&quot; 24r.mid.mp3"/>
    <s v="https://www.dropbox.com/sh/cx7tus4mgkt9o4n/AABqB3y1TjbNQrcKgI2qHdIaa/24r.mid.mp3?raw=1"/>
  </r>
  <r>
    <x v="228"/>
    <s v="Footprints"/>
    <s v="8.7.8.7.8.7.8.7."/>
    <n v="25"/>
    <m/>
    <s v="LFTBs"/>
    <s v="Red Book"/>
    <x v="160"/>
    <s v="184r.mid"/>
    <s v="184r.mid.mp3"/>
    <m/>
    <m/>
    <n v="148"/>
    <s v="Footprints"/>
    <s v="id3tag --song=&quot;Footprints (8.7.8.7.8.7.8.7.)&quot; --artist=&quot;Miss. A. E. Housman&quot; --comment=&quot;&quot; --album=&quot;Red Book&quot; --track=&quot;184&quot; 184r.mid.mp3"/>
    <s v="https://www.dropbox.com/sh/cx7tus4mgkt9o4n/AAACv8THpipwdn5YFsBhWdtsa/184r.mid.mp3?raw=1"/>
  </r>
  <r>
    <x v="50"/>
    <s v="Forest Hill"/>
    <s v="8.5.8.5."/>
    <n v="56"/>
    <m/>
    <s v="LFTBs"/>
    <s v="Red Book"/>
    <x v="161"/>
    <s v="130r.mid"/>
    <s v="130r.mid.mp3"/>
    <m/>
    <m/>
    <n v="149"/>
    <s v="Forest Hill"/>
    <s v="id3tag --song=&quot;Forest Hill (8.5.8.5.)&quot; --artist=&quot;P. S. Pope&quot; --comment=&quot;&quot; --album=&quot;Red Book&quot; --track=&quot;130&quot; 130r.mid.mp3"/>
    <s v="https://www.dropbox.com/sh/cx7tus4mgkt9o4n/AABENfmJM2GfTplgR55pGusRa/130r.mid.mp3?raw=1"/>
  </r>
  <r>
    <x v="229"/>
    <s v="Fountain Street"/>
    <s v="7.6.7.6."/>
    <n v="41"/>
    <m/>
    <s v="LFTB"/>
    <s v="Green Book"/>
    <x v="20"/>
    <s v="216g.mid"/>
    <s v="216g.mid.mp3"/>
    <m/>
    <m/>
    <n v="364"/>
    <s v="Fountain Street"/>
    <s v="id3tag --song=&quot;Fountain Street (7.6.7.6.)&quot; --artist=&quot;C. T. Lambert&quot; --comment=&quot;&quot; --album=&quot;Green Book&quot; --track=&quot;216&quot; 216g.mid.mp3"/>
    <s v="https://www.dropbox.com/sh/cx7tus4mgkt9o4n/AAAi3b2fW8k3NYB31OPznTNca/216g.mid.mp3?raw=1"/>
  </r>
  <r>
    <x v="230"/>
    <s v="Foyle"/>
    <s v="10.10.10.10."/>
    <n v="21"/>
    <m/>
    <s v="LFTBs"/>
    <s v="Red Book"/>
    <x v="3"/>
    <s v="252r.mid"/>
    <s v="252r.mid.mp3"/>
    <n v="1936"/>
    <m/>
    <n v="150"/>
    <s v="Foyle"/>
    <s v="id3tag --song=&quot;Foyle (10.10.10.10.)&quot; --artist=&quot;John Mason&quot; --comment=&quot;&quot; --album=&quot;Red Book&quot; --track=&quot;252&quot; 252r.mid.mp3"/>
    <s v="https://www.dropbox.com/sh/cx7tus4mgkt9o4n/AAC9Ky_iALk503OCdxaJJ63qa/252r.mid.mp3?raw=1"/>
  </r>
  <r>
    <x v="231"/>
    <s v="Framlingham"/>
    <s v="11.10.11.10. Dactylic"/>
    <n v="17"/>
    <m/>
    <s v="LFTBs"/>
    <s v="Red Book"/>
    <x v="162"/>
    <s v="270r.mid"/>
    <s v="270r.mid.mp3"/>
    <m/>
    <m/>
    <n v="151"/>
    <s v="Framlingham"/>
    <s v="id3tag --song=&quot;Framlingham (11.10.11.10. Dactylic)&quot; --artist=&quot;Miss Grace D. Wightman&quot; --comment=&quot;&quot; --album=&quot;Red Book&quot; --track=&quot;270&quot; 270r.mid.mp3"/>
    <s v="https://www.dropbox.com/sh/cx7tus4mgkt9o4n/AADeDFdTdvYrxwR6CUF6uGaza/270r.mid.mp3?raw=1"/>
  </r>
  <r>
    <x v="162"/>
    <s v="Franconia"/>
    <s v="S.M."/>
    <n v="22"/>
    <m/>
    <s v="LFTB"/>
    <s v="Green Book"/>
    <x v="42"/>
    <s v="135g.mid"/>
    <s v="135g.mid.mp3"/>
    <n v="1738"/>
    <m/>
    <n v="612"/>
    <s v="Franconia"/>
    <s v="id3tag --song=&quot;Franconia (S.M.)&quot; --artist=&quot;German Melody&quot; --comment=&quot;&quot; --album=&quot;Green Book&quot; --track=&quot;135&quot; 135g.mid.mp3"/>
    <s v="https://www.dropbox.com/sh/cx7tus4mgkt9o4n/AAB8VajmutPy1sNKtDTUNtqFa/135g.mid.mp3?raw=1"/>
  </r>
  <r>
    <x v="232"/>
    <s v="Frankincense"/>
    <s v="6.4.6.4.6.6.6.4."/>
    <n v="44"/>
    <m/>
    <s v="LFTBs"/>
    <s v="Red Book"/>
    <x v="161"/>
    <s v="71r.mid"/>
    <s v="71r.mid.mp3"/>
    <m/>
    <m/>
    <n v="152"/>
    <s v="Frankincense"/>
    <s v="id3tag --song=&quot;Frankincense (6.4.6.4.6.6.6.4.)&quot; --artist=&quot;P. S. Pope&quot; --comment=&quot;&quot; --album=&quot;Red Book&quot; --track=&quot;71&quot; 71r.mid.mp3"/>
    <s v="https://www.dropbox.com/sh/cx7tus4mgkt9o4n/AADNZc4CV67su0OAdFDEe7Qta/71r.mid.mp3?raw=1"/>
  </r>
  <r>
    <x v="99"/>
    <s v="French"/>
    <s v="C.M."/>
    <n v="19"/>
    <m/>
    <s v="LFTB"/>
    <s v="Green Book"/>
    <x v="132"/>
    <s v="22g.mid"/>
    <s v="22g.mid.mp3"/>
    <n v="1615"/>
    <m/>
    <n v="523"/>
    <s v="French"/>
    <s v="id3tag --song=&quot;French (C.M.)&quot; --artist=&quot;From 'Scottish Psalter'&quot; --comment=&quot;&quot; --album=&quot;Green Book&quot; --track=&quot;22&quot; 22g.mid.mp3"/>
    <s v="https://www.dropbox.com/sh/cx7tus4mgkt9o4n/AADBRaDUjK17yVIQ9hmWuF-La/22g.mid.mp3?raw=1"/>
  </r>
  <r>
    <x v="233"/>
    <s v="Friend Unfailing"/>
    <s v="7.6.7.6.7.6.7.6."/>
    <n v="34"/>
    <m/>
    <s v="LFTB"/>
    <s v="Green Book"/>
    <x v="163"/>
    <s v="242g.mid"/>
    <s v="242g.mid.mp3"/>
    <m/>
    <m/>
    <n v="368"/>
    <s v="Friend Unfailing"/>
    <s v="id3tag --song=&quot;Friend Unfailing (7.6.7.6.7.6.7.6.)&quot; --artist=&quot;From Beethoven&quot; --comment=&quot;&quot; --album=&quot;Green Book&quot; --track=&quot;242&quot; 242g.mid.mp3"/>
    <s v="https://www.dropbox.com/sh/cx7tus4mgkt9o4n/AAA2iLETsq41c9WYysOST1Pia/242g.mid.mp3?raw=1"/>
  </r>
  <r>
    <x v="234"/>
    <s v="Friendship"/>
    <s v="8.7.8.7.8.7.8.7."/>
    <n v="25"/>
    <m/>
    <s v="LFTB"/>
    <s v="Green Book"/>
    <x v="75"/>
    <s v="381g.mid"/>
    <s v="381g.mid.mp3"/>
    <n v="1900"/>
    <m/>
    <n v="390"/>
    <s v="Friendship"/>
    <s v="id3tag --song=&quot;Friendship (8.7.8.7.8.7.8.7.)&quot; --artist=&quot;Miss La Thangue&quot; --comment=&quot;&quot; --album=&quot;Green Book&quot; --track=&quot;381&quot; 381g.mid.mp3"/>
    <s v="https://www.dropbox.com/sh/cx7tus4mgkt9o4n/AABdaJEIsjHK_c_66PeLSydya/381g.mid.mp3?raw=1"/>
  </r>
  <r>
    <x v="235"/>
    <s v="Gardenstown"/>
    <s v="8.8.8.8.8.8."/>
    <n v="26"/>
    <m/>
    <s v="LFTB"/>
    <s v="Green Book"/>
    <x v="9"/>
    <s v="432g.mid"/>
    <s v="432g.mid.mp3"/>
    <m/>
    <m/>
    <n v="698"/>
    <s v="Gardenstown"/>
    <s v="id3tag --song=&quot;Gardenstown (8.8.8.8.8.8.)&quot; --artist=&quot;Unknown&quot; --comment=&quot;&quot; --album=&quot;Green Book&quot; --track=&quot;432&quot; 432g.mid.mp3"/>
    <s v="https://www.dropbox.com/sh/cx7tus4mgkt9o4n/AAAusbOCvZCVp4eeSBPd0Q2wa/432g.mid.mp3?raw=1"/>
  </r>
  <r>
    <x v="236"/>
    <s v="Gerizim"/>
    <s v="7.6.7.6.7.6.7.6."/>
    <n v="34"/>
    <m/>
    <s v="LFTBs"/>
    <s v="Red Book"/>
    <x v="46"/>
    <s v="102r.mid"/>
    <s v="102r.mid.mp3"/>
    <m/>
    <m/>
    <n v="153"/>
    <s v="Gerizim"/>
    <s v="id3tag --song=&quot;Gerizim (7.6.7.6.7.6.7.6.)&quot; --artist=&quot;Miss E. C. Shanks&quot; --comment=&quot;&quot; --album=&quot;Red Book&quot; --track=&quot;102&quot; 102r.mid.mp3"/>
    <s v="https://www.dropbox.com/sh/cx7tus4mgkt9o4n/AAAT0sZ0O74afv90E0K_8HGha/102r.mid.mp3?raw=1"/>
  </r>
  <r>
    <x v="237"/>
    <s v="German Evening Hymn"/>
    <s v="8.7.8.7."/>
    <n v="24"/>
    <m/>
    <s v="LFTB"/>
    <s v="Green Book"/>
    <x v="164"/>
    <s v="323g.mid"/>
    <s v="323g.mid.mp3"/>
    <m/>
    <m/>
    <n v="555"/>
    <s v="German Evening Hymn"/>
    <s v="id3tag --song=&quot;German Evening Hymn (8.7.8.7.)&quot; --artist=&quot;From German&quot; --comment=&quot;&quot; --album=&quot;Green Book&quot; --track=&quot;323&quot; 323g.mid.mp3"/>
    <s v="https://www.dropbox.com/sh/cx7tus4mgkt9o4n/AADOuqXq0Uwy0xoTiBGDe0waa/323g.mid.mp3?raw=1"/>
  </r>
  <r>
    <x v="238"/>
    <s v="German Tunes (1952) No. 135"/>
    <s v="L.M."/>
    <n v="16"/>
    <m/>
    <s v="LFTBs"/>
    <s v="Red Book"/>
    <x v="9"/>
    <s v="32r.mid"/>
    <s v="32r.mid.mp3"/>
    <m/>
    <m/>
    <n v="154"/>
    <s v="German Tunes (1952) No. 135"/>
    <s v="id3tag --song=&quot;German Tunes (1952) No. 135 (L.M.)&quot; --artist=&quot;Unknown&quot; --comment=&quot;&quot; --album=&quot;Red Book&quot; --track=&quot;32&quot; 32r.mid.mp3"/>
    <s v="https://www.dropbox.com/sh/cx7tus4mgkt9o4n/AACivBoT07jz8Bv6asB0qp8qa/32r.mid.mp3?raw=1"/>
  </r>
  <r>
    <x v="239"/>
    <s v="German Tunes (1952) No. 143"/>
    <s v="L.M."/>
    <n v="16"/>
    <m/>
    <s v="LFTBs"/>
    <s v="Red Book"/>
    <x v="9"/>
    <s v="33r.mid"/>
    <s v="33r.mid.mp3"/>
    <m/>
    <m/>
    <n v="155"/>
    <s v="German Tunes (1952) No. 143"/>
    <s v="id3tag --song=&quot;German Tunes (1952) No. 143 (L.M.)&quot; --artist=&quot;Unknown&quot; --comment=&quot;&quot; --album=&quot;Red Book&quot; --track=&quot;33&quot; 33r.mid.mp3"/>
    <s v="https://www.dropbox.com/sh/cx7tus4mgkt9o4n/AAA-7MgGbWy-quNgKpKLbdTxa/33r.mid.mp3?raw=1"/>
  </r>
  <r>
    <x v="156"/>
    <s v="German Tunes (1952) No. 41"/>
    <s v="7.6.7.6.7.6.7.6."/>
    <n v="34"/>
    <m/>
    <s v="LFTB"/>
    <s v="Green Book"/>
    <x v="9"/>
    <s v="244g.mid"/>
    <s v="244g.mid.mp3"/>
    <m/>
    <m/>
    <n v="552"/>
    <s v="German Tunes (1952) No. 41"/>
    <s v="id3tag --song=&quot;German Tunes (1952) No. 41 (7.6.7.6.7.6.7.6.)&quot; --artist=&quot;Unknown&quot; --comment=&quot;&quot; --album=&quot;Green Book&quot; --track=&quot;244&quot; 244g.mid.mp3"/>
    <s v="https://www.dropbox.com/sh/cx7tus4mgkt9o4n/AAB4iGbC2Arnk4FVHaD7z6OCa/244g.mid.mp3?raw=1"/>
  </r>
  <r>
    <x v="178"/>
    <s v="German Tunes (1952) No.148"/>
    <s v="8.8.8.8.8.8."/>
    <n v="26"/>
    <m/>
    <s v="LFTBs"/>
    <s v="Red Book"/>
    <x v="165"/>
    <s v="212r.mid"/>
    <s v="212r.mid.mp3"/>
    <m/>
    <m/>
    <n v="156"/>
    <s v="German Tunes (1952) No.148"/>
    <s v="id3tag --song=&quot;German Tunes (1952) No.148 (8.8.8.8.8.8.)&quot; --artist=&quot;R. Arras&quot; --comment=&quot;&quot; --album=&quot;Red Book&quot; --track=&quot;212&quot; 212r.mid.mp3"/>
    <s v="https://www.dropbox.com/sh/cx7tus4mgkt9o4n/AACV3BpKZo-HC-ATtwRs9nZ-a/212r.mid.mp3?raw=1"/>
  </r>
  <r>
    <x v="95"/>
    <s v="German Tunes (1952) No.219"/>
    <s v="11.10.11.10."/>
    <n v="52"/>
    <m/>
    <s v="LFTBs"/>
    <s v="Red Book"/>
    <x v="165"/>
    <s v="265r.mid"/>
    <s v="265r.mid.mp3"/>
    <m/>
    <m/>
    <n v="157"/>
    <s v="German Tunes (1952) No.219"/>
    <s v="id3tag --song=&quot;German Tunes (1952) No.219 (11.10.11.10.)&quot; --artist=&quot;R. Arras&quot; --comment=&quot;&quot; --album=&quot;Red Book&quot; --track=&quot;265&quot; 265r.mid.mp3"/>
    <s v="https://www.dropbox.com/sh/cx7tus4mgkt9o4n/AAAXEBjgbneXJpyc96hoQDQba/265r.mid.mp3?raw=1"/>
  </r>
  <r>
    <x v="104"/>
    <s v="German Tunes (1952) No.222"/>
    <s v="11.10.11.10."/>
    <n v="52"/>
    <m/>
    <s v="LFTBs"/>
    <s v="Red Book"/>
    <x v="9"/>
    <s v="266r.mid"/>
    <s v="266r.mid.mp3"/>
    <m/>
    <m/>
    <n v="158"/>
    <s v="German Tunes (1952) No.222"/>
    <s v="id3tag --song=&quot;German Tunes (1952) No.222 (11.10.11.10.)&quot; --artist=&quot;Unknown&quot; --comment=&quot;&quot; --album=&quot;Red Book&quot; --track=&quot;266&quot; 266r.mid.mp3"/>
    <s v="https://www.dropbox.com/sh/cx7tus4mgkt9o4n/AADwIsf5Ub0-EIkXncqK6Yiza/266r.mid.mp3?raw=1"/>
  </r>
  <r>
    <x v="240"/>
    <s v="German Tunes (1952) No.37"/>
    <s v="7.6.7.6.7.6.7.6."/>
    <n v="34"/>
    <m/>
    <s v="LFTBs"/>
    <s v="Red Book"/>
    <x v="166"/>
    <s v="103r.mid"/>
    <s v="103r.mid.mp3"/>
    <m/>
    <m/>
    <n v="159"/>
    <s v="German Tunes (1952) No.37"/>
    <s v="id3tag --song=&quot;German Tunes (1952) No.37 (7.6.7.6.7.6.7.6.)&quot; --artist=&quot;J. Michael Haydn&quot; --comment=&quot;&quot; --album=&quot;Red Book&quot; --track=&quot;103&quot; 103r.mid.mp3"/>
    <s v="https://www.dropbox.com/sh/cx7tus4mgkt9o4n/AAAMIFu0t-DOw8BZo7IIGujVa/103r.mid.mp3?raw=1"/>
  </r>
  <r>
    <x v="241"/>
    <s v="German Tunes (1952) No.38"/>
    <s v="7.6.7.6.7.6.7.6."/>
    <n v="34"/>
    <m/>
    <s v="LFTBs"/>
    <s v="Red Book"/>
    <x v="9"/>
    <s v="104r.mid"/>
    <s v="104r.mid.mp3"/>
    <m/>
    <m/>
    <n v="160"/>
    <s v="German Tunes (1952) No.38"/>
    <s v="id3tag --song=&quot;German Tunes (1952) No.38 (7.6.7.6.7.6.7.6.)&quot; --artist=&quot;Unknown&quot; --comment=&quot;&quot; --album=&quot;Red Book&quot; --track=&quot;104&quot; 104r.mid.mp3"/>
    <s v="https://www.dropbox.com/sh/cx7tus4mgkt9o4n/AACdUzh3fT9GKUx1-L4OfSJta/104r.mid.mp3?raw=1"/>
  </r>
  <r>
    <x v="242"/>
    <s v="German Tunes (1952) No.41"/>
    <s v="7.6.7.6.7.6.7.6."/>
    <n v="34"/>
    <m/>
    <s v="LFTBs"/>
    <s v="Red Book"/>
    <x v="9"/>
    <s v="105r.mid"/>
    <s v="105r.mid.mp3"/>
    <m/>
    <m/>
    <n v="161"/>
    <s v="German Tunes (1952) No.41"/>
    <s v="id3tag --song=&quot;German Tunes (1952) No.41 (7.6.7.6.7.6.7.6.)&quot; --artist=&quot;Unknown&quot; --comment=&quot;&quot; --album=&quot;Red Book&quot; --track=&quot;105&quot; 105r.mid.mp3"/>
    <s v="https://www.dropbox.com/sh/cx7tus4mgkt9o4n/AAC2q0lRdtOwRWEjdEKuOVIYa/105r.mid.mp3?raw=1"/>
  </r>
  <r>
    <x v="243"/>
    <s v="German Tunes (1952) No.46"/>
    <s v="7.7.7.7.7.7."/>
    <n v="83"/>
    <m/>
    <s v="LFTBs"/>
    <s v="Red Book"/>
    <x v="167"/>
    <s v="116r.mid"/>
    <s v="116r.mid.mp3"/>
    <m/>
    <m/>
    <n v="162"/>
    <s v="German Tunes (1952) No.46"/>
    <s v="id3tag --song=&quot;German Tunes (1952) No.46 (7.7.7.7.7.7.)&quot; --artist=&quot;Wilh. Moritz Vogel&quot; --comment=&quot;&quot; --album=&quot;Red Book&quot; --track=&quot;116&quot; 116r.mid.mp3"/>
    <s v="https://www.dropbox.com/sh/cx7tus4mgkt9o4n/AACB5w2AlaqJwrsovbBxyIIva/116r.mid.mp3?raw=1"/>
  </r>
  <r>
    <x v="115"/>
    <s v="German Tunes (1952) No.65"/>
    <s v="C.M."/>
    <n v="19"/>
    <m/>
    <s v="LFTB"/>
    <s v="Green Book"/>
    <x v="165"/>
    <s v="23g.mid"/>
    <s v="23g.mid.mp3"/>
    <m/>
    <m/>
    <n v="569"/>
    <s v="German Tunes (1952) No.65"/>
    <s v="id3tag --song=&quot;German Tunes (1952) No.65 (C.M.)&quot; --artist=&quot;R. Arras&quot; --comment=&quot;&quot; --album=&quot;Green Book&quot; --track=&quot;23&quot; 23g.mid.mp3"/>
    <s v="https://www.dropbox.com/sh/cx7tus4mgkt9o4n/AADzwq-pyv1vycCGavxuiq0aa/23g.mid.mp3?raw=1"/>
  </r>
  <r>
    <x v="227"/>
    <s v="Gerontius"/>
    <s v="C.M."/>
    <n v="19"/>
    <m/>
    <s v="LFTB"/>
    <s v="Green Book"/>
    <x v="124"/>
    <s v="24g.mid"/>
    <s v="24g.mid.mp3"/>
    <m/>
    <m/>
    <n v="570"/>
    <s v="Gerontius"/>
    <s v="id3tag --song=&quot;Gerontius (C.M.)&quot; --artist=&quot;Dr J. B. Dykes&quot; --comment=&quot;&quot; --album=&quot;Green Book&quot; --track=&quot;24&quot; 24g.mid.mp3"/>
    <s v="https://www.dropbox.com/sh/cx7tus4mgkt9o4n/AAAgB8qyxRSJ9xQGe5E_pBHea/24g.mid.mp3?raw=1"/>
  </r>
  <r>
    <x v="132"/>
    <s v="Gethsemene"/>
    <s v="L.M."/>
    <n v="16"/>
    <m/>
    <s v="LFTB"/>
    <s v="Green Book"/>
    <x v="168"/>
    <s v="101g.mid"/>
    <s v="101g.mid.mp3"/>
    <m/>
    <m/>
    <n v="349"/>
    <s v="Gethsemene"/>
    <s v="id3tag --song=&quot;Gethsemene (L.M.)&quot; --artist=&quot;W. B. Bradbury&quot; --comment=&quot;&quot; --album=&quot;Green Book&quot; --track=&quot;101&quot; 101g.mid.mp3"/>
    <s v="https://www.dropbox.com/sh/cx7tus4mgkt9o4n/AAA1Vm9lZ33u6VIITD6gSx3Wa/101g.mid.mp3?raw=1"/>
  </r>
  <r>
    <x v="244"/>
    <s v="Gift Unspeakable"/>
    <s v="8.8.8.8.6."/>
    <n v="58"/>
    <m/>
    <s v="LFTB"/>
    <s v="Green Book"/>
    <x v="169"/>
    <s v="426g.mid"/>
    <s v="426g.mid.mp3"/>
    <n v="1952"/>
    <m/>
    <n v="692"/>
    <s v="Gift Unspeakable"/>
    <s v="id3tag --song=&quot;Gift Unspeakable (8.8.8.8.6.)&quot; --artist=&quot;A. F. Tipler&quot; --comment=&quot;&quot; --album=&quot;Green Book&quot; --track=&quot;426&quot; 426g.mid.mp3"/>
    <s v="https://www.dropbox.com/sh/cx7tus4mgkt9o4n/AAD2RCzM9Wp9f8_kxBrc90h2a/426g.mid.mp3?raw=1"/>
  </r>
  <r>
    <x v="245"/>
    <s v="Gihon"/>
    <s v="8.8.7.7."/>
    <n v="79"/>
    <m/>
    <s v="LFTBs"/>
    <s v="Red Book"/>
    <x v="46"/>
    <s v="199r.mid"/>
    <s v="199r.mid.mp3"/>
    <n v="1964"/>
    <m/>
    <n v="163"/>
    <s v="Gihon"/>
    <s v="id3tag --song=&quot;Gihon (8.8.7.7.)&quot; --artist=&quot;Miss E. C. Shanks&quot; --comment=&quot;&quot; --album=&quot;Red Book&quot; --track=&quot;199&quot; 199r.mid.mp3"/>
    <s v="https://www.dropbox.com/sh/cx7tus4mgkt9o4n/AADVL-r4mH-YWfsjOAEZ954fa/199r.mid.mp3?raw=1"/>
  </r>
  <r>
    <x v="80"/>
    <s v="Gittit"/>
    <s v="8.5.8.5.8.5.8.5."/>
    <n v="37"/>
    <m/>
    <s v="LFTBs"/>
    <s v="Red Book"/>
    <x v="28"/>
    <s v="131r.mid"/>
    <s v="131r.mid.mp3"/>
    <m/>
    <m/>
    <n v="164"/>
    <s v="Gittit"/>
    <s v="id3tag --song=&quot;Gittit (8.5.8.5.8.5.8.5.)&quot; --artist=&quot;E. Carren&quot; --comment=&quot;&quot; --album=&quot;Red Book&quot; --track=&quot;131&quot; 131r.mid.mp3"/>
    <s v="https://www.dropbox.com/sh/cx7tus4mgkt9o4n/AAAETynfpUAvjzSTLDWElllVa/131r.mid.mp3?raw=1"/>
  </r>
  <r>
    <x v="246"/>
    <s v="Glasgow"/>
    <s v="C.M."/>
    <n v="19"/>
    <m/>
    <s v="LFTB"/>
    <s v="Green Book"/>
    <x v="170"/>
    <s v="25g.mid"/>
    <s v="25g.mid.mp3"/>
    <m/>
    <m/>
    <n v="571"/>
    <s v="Glasgow"/>
    <s v="id3tag --song=&quot;Glasgow (C.M.)&quot; --artist=&quot;John Holden&quot; --comment=&quot;&quot; --album=&quot;Green Book&quot; --track=&quot;25&quot; 25g.mid.mp3"/>
    <s v="https://www.dropbox.com/sh/cx7tus4mgkt9o4n/AAB2eCkCh9a1ewPdtUzKTD2-a/25g.mid.mp3?raw=1"/>
  </r>
  <r>
    <x v="247"/>
    <s v="Glenartney"/>
    <s v="10.10.10.10."/>
    <n v="21"/>
    <m/>
    <s v="LFTB"/>
    <s v="Green Book"/>
    <x v="171"/>
    <s v="486g.mid"/>
    <s v="486g.mid.mp3"/>
    <n v="1925"/>
    <m/>
    <n v="729"/>
    <s v="Glenartney"/>
    <s v="id3tag --song=&quot;Glenartney (10.10.10.10.)&quot; --artist=&quot;C. H. Gaskin&quot; --comment=&quot;&quot; --album=&quot;Green Book&quot; --track=&quot;486&quot; 486g.mid.mp3"/>
    <s v="https://www.dropbox.com/sh/cx7tus4mgkt9o4n/AAAam0Ni2zRPdjqu8hAMpLaga/486g.mid.mp3?raw=1"/>
  </r>
  <r>
    <x v="248"/>
    <s v="Gloria"/>
    <s v="12.13.12.10."/>
    <n v="48"/>
    <m/>
    <s v="LFTBs"/>
    <s v="Red Book"/>
    <x v="161"/>
    <s v="287r.mid"/>
    <s v="287r.mid.mp3"/>
    <m/>
    <m/>
    <n v="165"/>
    <s v="Gloria"/>
    <s v="id3tag --song=&quot;Gloria (12.13.12.10.)&quot; --artist=&quot;P. S. Pope&quot; --comment=&quot;&quot; --album=&quot;Red Book&quot; --track=&quot;287&quot; 287r.mid.mp3"/>
    <s v="https://www.dropbox.com/sh/cx7tus4mgkt9o4n/AAAh1_Ix3UWrlBavVqmdq8n_a/287r.mid.mp3?raw=1"/>
  </r>
  <r>
    <x v="249"/>
    <s v="Glorious"/>
    <s v="7.7.7.7."/>
    <n v="29"/>
    <m/>
    <s v="LFTBs"/>
    <s v="Red Book"/>
    <x v="28"/>
    <s v="112r.mid"/>
    <s v="112r.mid.mp3"/>
    <m/>
    <m/>
    <n v="166"/>
    <s v="Glorious"/>
    <s v="id3tag --song=&quot;Glorious (7.7.7.7.)&quot; --artist=&quot;E. Carren&quot; --comment=&quot;&quot; --album=&quot;Red Book&quot; --track=&quot;112&quot; 112r.mid.mp3"/>
    <s v="https://www.dropbox.com/sh/cx7tus4mgkt9o4n/AADlnlRpanWm3KgSQXW9nZ-Va/112r.mid.mp3?raw=1"/>
  </r>
  <r>
    <x v="40"/>
    <s v="Golden Key"/>
    <s v="C.M."/>
    <n v="19"/>
    <m/>
    <s v="LFTB"/>
    <s v="Green Book"/>
    <x v="172"/>
    <s v="26g.mid"/>
    <s v="26g.mid.mp3"/>
    <m/>
    <m/>
    <n v="572"/>
    <s v="Golden Key"/>
    <s v="id3tag --song=&quot;Golden Key (C.M.)&quot; --artist=&quot;J.R. Sweney&quot; --comment=&quot;&quot; --album=&quot;Green Book&quot; --track=&quot;26&quot; 26g.mid.mp3"/>
    <s v="https://www.dropbox.com/sh/cx7tus4mgkt9o4n/AAD11L3piljUSVGu581RI2bZa/26g.mid.mp3?raw=1"/>
  </r>
  <r>
    <x v="250"/>
    <s v="Goodrest"/>
    <s v="8.4.8.4.8.8.8.4."/>
    <n v="47"/>
    <m/>
    <s v="LFTBs"/>
    <s v="Red Book"/>
    <x v="173"/>
    <s v="124r.mid"/>
    <s v="124r.mid.mp3"/>
    <m/>
    <m/>
    <n v="167"/>
    <s v="Goodrest"/>
    <s v="id3tag --song=&quot;Goodrest (8.4.8.4.8.8.8.4.)&quot; --artist=&quot;C.E. Kettle&quot; --comment=&quot;&quot; --album=&quot;Red Book&quot; --track=&quot;124&quot; 124r.mid.mp3"/>
    <s v="https://www.dropbox.com/sh/cx7tus4mgkt9o4n/AADKmW2jVHhnwka6Lw5BYUwMa/124r.mid.mp3?raw=1"/>
  </r>
  <r>
    <x v="251"/>
    <s v="Gopsal"/>
    <s v="6.6.6.6.8.8."/>
    <n v="51"/>
    <m/>
    <s v="LFTBs"/>
    <s v="Red Book"/>
    <x v="174"/>
    <s v="83r.mid"/>
    <s v="83r.mid.mp3"/>
    <m/>
    <m/>
    <n v="168"/>
    <s v="Gopsal"/>
    <s v="id3tag --song=&quot;Gopsal (6.6.6.6.8.8.)&quot; --artist=&quot;Georg Friedrich Handel&quot; --comment=&quot;&quot; --album=&quot;Red Book&quot; --track=&quot;83&quot; 83r.mid.mp3"/>
    <s v="https://www.dropbox.com/sh/cx7tus4mgkt9o4n/AABemW6hyozK4IJzFnmf01jpa/83r.mid.mp3?raw=1"/>
  </r>
  <r>
    <x v="252"/>
    <s v="Gotha"/>
    <s v="8.7.8.7."/>
    <n v="24"/>
    <m/>
    <s v="LFTB"/>
    <s v="Green Book"/>
    <x v="175"/>
    <s v="324g.mid"/>
    <s v="324g.mid.mp3"/>
    <m/>
    <m/>
    <n v="556"/>
    <s v="Gotha"/>
    <s v="id3tag --song=&quot;Gotha (8.7.8.7.)&quot; --artist=&quot;H. R. H. Prince Albert&quot; --comment=&quot;&quot; --album=&quot;Green Book&quot; --track=&quot;324&quot; 324g.mid.mp3"/>
    <s v="https://www.dropbox.com/sh/cx7tus4mgkt9o4n/AADm7cqNEKX4W1GqRHRovOMLa/324g.mid.mp3?raw=1"/>
  </r>
  <r>
    <x v="253"/>
    <s v="Grace"/>
    <s v="S.M."/>
    <n v="22"/>
    <m/>
    <s v="LFTB"/>
    <s v="Green Book"/>
    <x v="20"/>
    <s v="137g.mid"/>
    <s v="137g.mid.mp3"/>
    <n v="1912"/>
    <m/>
    <n v="613"/>
    <s v="Grace"/>
    <s v="id3tag --song=&quot;Grace (S.M.)&quot; --artist=&quot;C. T. Lambert&quot; --comment=&quot;&quot; --album=&quot;Green Book&quot; --track=&quot;137&quot; 137g.mid.mp3"/>
    <s v="https://www.dropbox.com/sh/cx7tus4mgkt9o4n/AAB1RvH4_A2uFNb-Ee46k38ka/137g.mid.mp3?raw=1"/>
  </r>
  <r>
    <x v="254"/>
    <s v="Granville"/>
    <s v="8.8.7.7."/>
    <n v="79"/>
    <m/>
    <s v="LFTBs"/>
    <s v="Red Book"/>
    <x v="176"/>
    <s v="200r.mid"/>
    <s v="200r.mid.mp3"/>
    <n v="1941"/>
    <m/>
    <n v="169"/>
    <s v="Granville"/>
    <s v="id3tag --song=&quot;Granville (8.8.7.7.)&quot; --artist=&quot;R.A. Evershed&quot; --comment=&quot;&quot; --album=&quot;Red Book&quot; --track=&quot;200&quot; 200r.mid.mp3"/>
    <s v="https://www.dropbox.com/sh/cx7tus4mgkt9o4n/AABCn2Haw5a_4HiskMnc75FOa/200r.mid.mp3?raw=1"/>
  </r>
  <r>
    <x v="255"/>
    <s v="Greenland"/>
    <s v="7.6.7.6.7.6.7.6."/>
    <n v="34"/>
    <m/>
    <s v="LFTB"/>
    <s v="Green Book"/>
    <x v="177"/>
    <s v="245g.mid"/>
    <s v="245g.mid.mp3"/>
    <m/>
    <m/>
    <n v="369"/>
    <s v="Greenland"/>
    <s v="id3tag --song=&quot;Greenland (7.6.7.6.7.6.7.6.)&quot; --artist=&quot;J. M. Haydn&quot; --comment=&quot;&quot; --album=&quot;Green Book&quot; --track=&quot;245&quot; 245g.mid.mp3"/>
    <s v="https://www.dropbox.com/sh/cx7tus4mgkt9o4n/AAAhKmyZnXX0oi1NtQaUwjIya/245g.mid.mp3?raw=1"/>
  </r>
  <r>
    <x v="256"/>
    <s v="Grenville"/>
    <s v="14.14.4.7.8."/>
    <n v="78"/>
    <m/>
    <s v="LFTBs"/>
    <s v="Red Book"/>
    <x v="34"/>
    <s v="293r.mid"/>
    <s v="293r.mid.mp3"/>
    <n v="1961"/>
    <m/>
    <n v="170"/>
    <s v="Grenville"/>
    <s v="id3tag --song=&quot;Grenville (14.14.4.7.8.)&quot; --artist=&quot;Gordon Millar&quot; --comment=&quot;&quot; --album=&quot;Red Book&quot; --track=&quot;293&quot; 293r.mid.mp3"/>
    <s v="https://www.dropbox.com/sh/cx7tus4mgkt9o4n/AACa7mNJuO0LgNNMgMdapa7Ta/293r.mid.mp3?raw=1"/>
  </r>
  <r>
    <x v="257"/>
    <s v="Groomsport"/>
    <s v="10.10.10.2."/>
    <n v="87"/>
    <m/>
    <s v="LFTB"/>
    <s v="Green Book"/>
    <x v="11"/>
    <s v="465g.mid"/>
    <s v="465g.mid.mp3"/>
    <m/>
    <m/>
    <n v="15"/>
    <s v="Groomsport"/>
    <s v="id3tag --song=&quot;Groomsport (10.10.10.2.)&quot; --artist=&quot;T. Collins&quot; --comment=&quot;&quot; --album=&quot;Green Book&quot; --track=&quot;465&quot; 465g.mid.mp3"/>
    <s v="https://www.dropbox.com/sh/cx7tus4mgkt9o4n/AADx2RlkNtSzWNaL1zRWQSaqa/465g.mid.mp3?raw=1"/>
  </r>
  <r>
    <x v="258"/>
    <s v="Guidance"/>
    <s v="7.4.7.4.7.4.7.4."/>
    <s v="NONE"/>
    <m/>
    <s v="LFTB"/>
    <s v="Green Book"/>
    <x v="178"/>
    <s v="214g.mid"/>
    <s v="214g.mid.mp3"/>
    <n v="1952"/>
    <m/>
    <n v="460"/>
    <s v="Guidance"/>
    <s v="id3tag --song=&quot;Guidance (7.4.7.4.7.4.7.4.)&quot; --artist=&quot;G. Millar&quot; --comment=&quot;&quot; --album=&quot;Green Book&quot; --track=&quot;214&quot; 214g.mid.mp3"/>
    <s v="https://www.dropbox.com/sh/cx7tus4mgkt9o4n/AAC0Yavv-ZBvEiDQUpSp-Ayta/214g.mid.mp3?raw=1"/>
  </r>
  <r>
    <x v="259"/>
    <s v="Gwilym"/>
    <s v="8.7.8.7.8.7.8.7."/>
    <n v="25"/>
    <m/>
    <s v="LFTBs"/>
    <s v="Red Book"/>
    <x v="179"/>
    <s v="185r.mid"/>
    <s v="185r.mid.mp3"/>
    <m/>
    <s v="Copyright.  By permission of the Union of Welsh Independents"/>
    <n v="171"/>
    <s v="Gwilym"/>
    <s v="id3tag --song=&quot;Gwilym (8.7.8.7.8.7.8.7.)&quot; --artist=&quot;Dr. Caradog Roberts&quot; --comment=&quot;Copyright.  By permission of the Union of Welsh Independents&quot; --album=&quot;Red Book&quot; --track=&quot;185&quot; 185r.mid.mp3"/>
    <s v="https://www.dropbox.com/sh/cx7tus4mgkt9o4n/AAChgDsV2qbQSBeaGXIxEc2_a/185r.mid.mp3?raw=1"/>
  </r>
  <r>
    <x v="260"/>
    <s v="Hadley"/>
    <s v="S.M."/>
    <n v="22"/>
    <m/>
    <s v="LFTBs"/>
    <s v="Red Book"/>
    <x v="95"/>
    <s v="44r.mid"/>
    <s v="44r.mid.mp3"/>
    <m/>
    <m/>
    <n v="172"/>
    <s v="Hadley"/>
    <s v="id3tag --song=&quot;Hadley (S.M.)&quot; --artist=&quot;R.A. Evershead&quot; --comment=&quot;&quot; --album=&quot;Red Book&quot; --track=&quot;44&quot; 44r.mid.mp3"/>
    <s v="https://www.dropbox.com/sh/cx7tus4mgkt9o4n/AADqVix9RUM1JrIw8UTHlXYZa/44r.mid.mp3?raw=1"/>
  </r>
  <r>
    <x v="261"/>
    <s v="Hallelujah"/>
    <s v="8.5.8.5.8.5.8.5."/>
    <n v="37"/>
    <m/>
    <s v="LFTB"/>
    <s v="Green Book"/>
    <x v="11"/>
    <s v="298g.mid"/>
    <s v="298g.mid.mp3"/>
    <m/>
    <m/>
    <n v="652"/>
    <s v="Hallelujah"/>
    <s v="id3tag --song=&quot;Hallelujah (8.5.8.5.8.5.8.5.)&quot; --artist=&quot;T. Collins&quot; --comment=&quot;&quot; --album=&quot;Green Book&quot; --track=&quot;298&quot; 298g.mid.mp3"/>
    <s v="https://www.dropbox.com/sh/cx7tus4mgkt9o4n/AAAhiGWTBGxXjV8dg32PaPyha/298g.mid.mp3?raw=1"/>
  </r>
  <r>
    <x v="262"/>
    <s v="Hallsberg"/>
    <s v="8.7.8.7."/>
    <n v="24"/>
    <m/>
    <s v="LFTB"/>
    <s v="Green Book"/>
    <x v="180"/>
    <s v="325g.mid"/>
    <s v="325g.mid.mp3"/>
    <n v="1939"/>
    <m/>
    <n v="497"/>
    <s v="Hallsberg"/>
    <s v="id3tag --song=&quot;Hallsberg (8.7.8.7.)&quot; --artist=&quot;Miss Norah Nilsson&quot; --comment=&quot;&quot; --album=&quot;Green Book&quot; --track=&quot;325&quot; 325g.mid.mp3"/>
    <s v="https://www.dropbox.com/sh/cx7tus4mgkt9o4n/AAAFxkR28dh0QzJObwmEYE80a/325g.mid.mp3?raw=1"/>
  </r>
  <r>
    <x v="263"/>
    <s v="Hananiah"/>
    <s v="8.7.8.7."/>
    <n v="24"/>
    <m/>
    <s v="LFTB"/>
    <s v="Green Book"/>
    <x v="11"/>
    <s v="326g.mid"/>
    <s v="326g.mid.mp3"/>
    <m/>
    <m/>
    <n v="498"/>
    <s v="Hananiah"/>
    <s v="id3tag --song=&quot;Hananiah (8.7.8.7.)&quot; --artist=&quot;T. Collins&quot; --comment=&quot;&quot; --album=&quot;Green Book&quot; --track=&quot;326&quot; 326g.mid.mp3"/>
    <s v="https://www.dropbox.com/sh/cx7tus4mgkt9o4n/AACsMk_QMC53fZbAvRx3uKdXa/326g.mid.mp3?raw=1"/>
  </r>
  <r>
    <x v="264"/>
    <s v="Hanover"/>
    <s v="10.10.11.11."/>
    <s v="NONE"/>
    <m/>
    <s v="LFTB"/>
    <s v="Green Book"/>
    <x v="181"/>
    <s v="511g.mid"/>
    <s v="511g.mid.mp3"/>
    <m/>
    <m/>
    <n v="740"/>
    <s v="Hanover"/>
    <s v="id3tag --song=&quot;Hanover (10.10.11.11.)&quot; --artist=&quot;Dr. W. Croft&quot; --comment=&quot;&quot; --album=&quot;Green Book&quot; --track=&quot;511&quot; 511g.mid.mp3"/>
    <s v="https://www.dropbox.com/sh/cx7tus4mgkt9o4n/AABa0xDeteMUDlwtz-QHC18Fa/511g.mid.mp3?raw=1"/>
  </r>
  <r>
    <x v="265"/>
    <s v="Happy Song"/>
    <s v="12.13.12.10."/>
    <n v="48"/>
    <m/>
    <s v="LFTBs"/>
    <s v="Red Book"/>
    <x v="4"/>
    <s v="288r.mid"/>
    <s v="288r.mid.mp3"/>
    <m/>
    <m/>
    <n v="173"/>
    <s v="Happy Song"/>
    <s v="id3tag --song=&quot;Happy Song (12.13.12.10.)&quot; --artist=&quot;Miss E.C. Shanks&quot; --comment=&quot;&quot; --album=&quot;Red Book&quot; --track=&quot;288&quot; 288r.mid.mp3"/>
    <s v="https://www.dropbox.com/sh/cx7tus4mgkt9o4n/AAAHr4LrI-QPVq883IC_SBLja/288r.mid.mp3?raw=1"/>
  </r>
  <r>
    <x v="236"/>
    <s v="Harbour Head"/>
    <s v="L.M."/>
    <n v="16"/>
    <m/>
    <s v="LFTB"/>
    <s v="Green Book"/>
    <x v="182"/>
    <s v="102g.mid"/>
    <s v="102g.mid.mp3"/>
    <m/>
    <m/>
    <n v="425"/>
    <s v="Harbour Head"/>
    <s v="id3tag --song=&quot;Harbour Head (L.M.)&quot; --artist=&quot;Simon Flett&quot; --comment=&quot;&quot; --album=&quot;Green Book&quot; --track=&quot;102&quot; 102g.mid.mp3"/>
    <s v="https://www.dropbox.com/sh/cx7tus4mgkt9o4n/AAAlLOiBEgaQcIJI13TWYC6Ta/102g.mid.mp3?raw=1"/>
  </r>
  <r>
    <x v="54"/>
    <s v="Hart's"/>
    <s v="7.7.7.7."/>
    <n v="29"/>
    <m/>
    <s v="LFTB"/>
    <s v="Green Book"/>
    <x v="183"/>
    <s v="268g.mid"/>
    <s v="268g.mid.mp3"/>
    <m/>
    <m/>
    <n v="374"/>
    <s v="Hart's"/>
    <s v="id3tag --song=&quot;Hart's (7.7.7.7.)&quot; --artist=&quot;B. Milgrove&quot; --comment=&quot;&quot; --album=&quot;Green Book&quot; --track=&quot;268&quot; 268g.mid.mp3"/>
    <s v="https://www.dropbox.com/sh/cx7tus4mgkt9o4n/AABFJrJed13FVxa2EGVqMPO0a/268g.mid.mp3?raw=1"/>
  </r>
  <r>
    <x v="266"/>
    <s v="Haughton"/>
    <s v="10.10.11.11."/>
    <s v="NONE"/>
    <m/>
    <s v="LFTB"/>
    <s v="Green Book"/>
    <x v="184"/>
    <s v="512g.mid"/>
    <s v="512g.mid.mp3"/>
    <m/>
    <m/>
    <n v="741"/>
    <s v="Haughton"/>
    <s v="id3tag --song=&quot;Haughton (10.10.11.11.)&quot; --artist=&quot;Dr. H.J. Gauntlett&quot; --comment=&quot;&quot; --album=&quot;Green Book&quot; --track=&quot;512&quot; 512g.mid.mp3"/>
    <s v="https://www.dropbox.com/sh/cx7tus4mgkt9o4n/AABzXQyXTpGBytoi4YJYGlIRa/512g.mid.mp3?raw=1"/>
  </r>
  <r>
    <x v="267"/>
    <s v="Haverstock Hill"/>
    <s v="6.4.6.4.6.6.6.4."/>
    <n v="44"/>
    <m/>
    <s v="LFTBs"/>
    <s v="Red Book"/>
    <x v="185"/>
    <s v="72r.mid"/>
    <s v="72r.mid.mp3"/>
    <m/>
    <m/>
    <n v="175"/>
    <s v="Haverstock Hill"/>
    <s v="id3tag --song=&quot;Haverstock Hill (6.4.6.4.6.6.6.4.)&quot; --artist=&quot;T.E. Perkins&quot; --comment=&quot;&quot; --album=&quot;Red Book&quot; --track=&quot;72&quot; 72r.mid.mp3"/>
    <s v="https://www.dropbox.com/sh/cx7tus4mgkt9o4n/AABNYBoAQocsb3434A1lcoDka/72r.mid.mp3?raw=1"/>
  </r>
  <r>
    <x v="128"/>
    <s v="Hayes"/>
    <s v="L.M.D."/>
    <n v="84"/>
    <m/>
    <s v="LFTB"/>
    <s v="Green Book"/>
    <x v="163"/>
    <s v="127g.mid"/>
    <s v="127g.mid.mp3"/>
    <m/>
    <m/>
    <n v="431"/>
    <s v="Hayes"/>
    <s v="id3tag --song=&quot;Hayes (L.M.D.)&quot; --artist=&quot;From Beethoven&quot; --comment=&quot;&quot; --album=&quot;Green Book&quot; --track=&quot;127&quot; 127g.mid.mp3"/>
    <s v="https://www.dropbox.com/sh/cx7tus4mgkt9o4n/AABn9SmPKMzpxkA-BlkI2fsga/127g.mid.mp3?raw=1"/>
  </r>
  <r>
    <x v="268"/>
    <s v="He Loved Me"/>
    <s v="10.10.10.10."/>
    <n v="21"/>
    <m/>
    <s v="LFTB"/>
    <s v="Green Book"/>
    <x v="186"/>
    <s v="487g.mid"/>
    <s v="487g.mid.mp3"/>
    <n v="1945"/>
    <m/>
    <n v="730"/>
    <s v="He Loved Me"/>
    <s v="id3tag --song=&quot;He Loved Me (10.10.10.10.)&quot; --artist=&quot;Miss F. R. Jones&quot; --comment=&quot;&quot; --album=&quot;Green Book&quot; --track=&quot;487&quot; 487g.mid.mp3"/>
    <s v="https://www.dropbox.com/sh/cx7tus4mgkt9o4n/AABsqLaqQEXgvdk86NAvWqwZa/487g.mid.mp3?raw=1"/>
  </r>
  <r>
    <x v="269"/>
    <s v="Heavenly Garden (Litany)"/>
    <s v="10.10.10.10."/>
    <n v="21"/>
    <m/>
    <s v="LFTB"/>
    <s v="Green Book"/>
    <x v="187"/>
    <s v="488g.mid"/>
    <s v="488g.mid.mp3"/>
    <m/>
    <m/>
    <n v="731"/>
    <s v="Heavenly Garden (Litany)"/>
    <s v="id3tag --song=&quot;Heavenly Garden (Litany) (10.10.10.10.)&quot; --artist=&quot;W. J. Maher&quot; --comment=&quot;&quot; --album=&quot;Green Book&quot; --track=&quot;488&quot; 488g.mid.mp3"/>
    <s v="https://www.dropbox.com/sh/cx7tus4mgkt9o4n/AADe8rkFdlkYZgHfgDRyXLwva/488g.mid.mp3?raw=1"/>
  </r>
  <r>
    <x v="270"/>
    <s v="Heavenly Glory"/>
    <s v="11.10.11.10."/>
    <n v="52"/>
    <m/>
    <s v="LFTB"/>
    <s v="Green Book"/>
    <x v="28"/>
    <s v="518g.mid"/>
    <s v="518g.mid.mp3"/>
    <n v="1939"/>
    <m/>
    <n v="516"/>
    <s v="Heavenly Glory"/>
    <s v="id3tag --song=&quot;Heavenly Glory (11.10.11.10.)&quot; --artist=&quot;E. Carren&quot; --comment=&quot;&quot; --album=&quot;Green Book&quot; --track=&quot;518&quot; 518g.mid.mp3"/>
    <s v="https://www.dropbox.com/sh/cx7tus4mgkt9o4n/AAChafik9FmDp4W6IEgmmzRBa/518g.mid.mp3?raw=1"/>
  </r>
  <r>
    <x v="240"/>
    <s v="Heimath"/>
    <s v="L.M."/>
    <n v="16"/>
    <m/>
    <s v="LFTB"/>
    <s v="Green Book"/>
    <x v="16"/>
    <s v="103g.mid"/>
    <s v="103g.mid.mp3"/>
    <m/>
    <m/>
    <n v="350"/>
    <s v="Heimath"/>
    <s v="id3tag --song=&quot;Heimath (L.M.)&quot; --artist=&quot;C. Leflaive&quot; --comment=&quot;&quot; --album=&quot;Green Book&quot; --track=&quot;103&quot; 103g.mid.mp3"/>
    <s v="https://www.dropbox.com/sh/cx7tus4mgkt9o4n/AADUiVM56eeyKyT0ALrPDTCGa/103g.mid.mp3?raw=1"/>
  </r>
  <r>
    <x v="271"/>
    <s v="Hermas"/>
    <s v="11.11.11.11. Trochaic"/>
    <n v="64"/>
    <m/>
    <s v="LFTB"/>
    <s v="Green Book"/>
    <x v="188"/>
    <s v="539g.mid"/>
    <s v="539g.mid.mp3"/>
    <m/>
    <m/>
    <n v="750"/>
    <s v="Hermas"/>
    <s v="id3tag --song=&quot;Hermas (11.11.11.11. Trochaic)&quot; --artist=&quot;Miss F. R. Havergal&quot; --comment=&quot;&quot; --album=&quot;Green Book&quot; --track=&quot;539&quot; 539g.mid.mp3"/>
    <s v="https://www.dropbox.com/sh/cx7tus4mgkt9o4n/AACZhzrVSGRealah6MdA5Fyga/539g.mid.mp3?raw=1"/>
  </r>
  <r>
    <x v="272"/>
    <s v="Hiding in Thee"/>
    <s v="11.11.11.11."/>
    <n v="31"/>
    <m/>
    <s v="LFTBs"/>
    <s v="Red Book"/>
    <x v="0"/>
    <s v="277r.mid"/>
    <s v="277r.mid.mp3"/>
    <m/>
    <m/>
    <n v="176"/>
    <s v="Hiding in Thee"/>
    <s v="id3tag --song=&quot;Hiding in Thee (11.11.11.11.)&quot; --artist=&quot;Ira D. Sankey&quot; --comment=&quot;&quot; --album=&quot;Red Book&quot; --track=&quot;277&quot; 277r.mid.mp3"/>
    <s v="https://www.dropbox.com/sh/cx7tus4mgkt9o4n/AADrA49dH2x0mWrCFem0XzeUa/277r.mid.mp3?raw=1"/>
  </r>
  <r>
    <x v="273"/>
    <s v="Hold Thou My Hand"/>
    <s v="10.10.10.10."/>
    <n v="21"/>
    <m/>
    <s v="LFTB"/>
    <s v="Green Book"/>
    <x v="189"/>
    <s v="489g.mid"/>
    <s v="489g.mid.mp3"/>
    <m/>
    <m/>
    <n v="732"/>
    <s v="Hold Thou My Hand"/>
    <s v="id3tag --song=&quot;Hold Thou My Hand (10.10.10.10.)&quot; --artist=&quot;H. P. Main&quot; --comment=&quot;&quot; --album=&quot;Green Book&quot; --track=&quot;489&quot; 489g.mid.mp3"/>
    <s v="https://www.dropbox.com/sh/cx7tus4mgkt9o4n/AADx9mE_c0slbs_Z7_G4PEbVa/489g.mid.mp3?raw=1"/>
  </r>
  <r>
    <x v="241"/>
    <s v="Holley"/>
    <s v="L.M."/>
    <n v="16"/>
    <m/>
    <s v="LFTB"/>
    <s v="Green Book"/>
    <x v="190"/>
    <s v="104g.mid"/>
    <s v="104g.mid.mp3"/>
    <m/>
    <m/>
    <n v="351"/>
    <s v="Holley"/>
    <s v="id3tag --song=&quot;Holley (L.M.)&quot; --artist=&quot;G. Hews&quot; --comment=&quot;&quot; --album=&quot;Green Book&quot; --track=&quot;104&quot; 104g.mid.mp3"/>
    <s v="https://www.dropbox.com/sh/cx7tus4mgkt9o4n/AAB5hdU4BWLr61WNOozRdBFTa/104g.mid.mp3?raw=1"/>
  </r>
  <r>
    <x v="274"/>
    <s v="Holmbridge"/>
    <s v="7.6.7.6.7.6.7.6."/>
    <n v="34"/>
    <m/>
    <s v="LFTB"/>
    <s v="Green Book"/>
    <x v="58"/>
    <s v="246g.mid"/>
    <s v="246g.mid.mp3"/>
    <m/>
    <m/>
    <n v="370"/>
    <s v="Holmbridge"/>
    <s v="id3tag --song=&quot;Holmbridge (7.6.7.6.7.6.7.6.)&quot; --artist=&quot;J. T. Lightwood&quot; --comment=&quot;&quot; --album=&quot;Green Book&quot; --track=&quot;246&quot; 246g.mid.mp3"/>
    <s v="https://www.dropbox.com/sh/cx7tus4mgkt9o4n/AABTpu2MfSEKIo6-17c49Da2a/246g.mid.mp3?raw=1"/>
  </r>
  <r>
    <x v="275"/>
    <s v="Holy Cross"/>
    <s v="8.6.8.4."/>
    <n v="72"/>
    <m/>
    <s v="LFTBs"/>
    <s v="Red Book"/>
    <x v="191"/>
    <s v="136r.mid"/>
    <s v="136r.mid.mp3"/>
    <m/>
    <m/>
    <n v="177"/>
    <s v="Holy Cross"/>
    <s v="id3tag --song=&quot;Holy Cross (8.6.8.4.)&quot; --artist=&quot;A. H. Brown&quot; --comment=&quot;&quot; --album=&quot;Red Book&quot; --track=&quot;136&quot; 136r.mid.mp3"/>
    <s v="https://www.dropbox.com/sh/cx7tus4mgkt9o4n/AAAHp-TabSwL8WuX94NcPLACa/136r.mid.mp3?raw=1"/>
  </r>
  <r>
    <x v="242"/>
    <s v="Homage"/>
    <s v="L.M."/>
    <n v="16"/>
    <m/>
    <s v="LFTB"/>
    <s v="Green Book"/>
    <x v="16"/>
    <s v="105g.mid"/>
    <s v="105g.mid.mp3"/>
    <m/>
    <m/>
    <n v="426"/>
    <s v="Homage"/>
    <s v="id3tag --song=&quot;Homage (L.M.)&quot; --artist=&quot;C. Leflaive&quot; --comment=&quot;&quot; --album=&quot;Green Book&quot; --track=&quot;105&quot; 105g.mid.mp3"/>
    <s v="https://www.dropbox.com/sh/cx7tus4mgkt9o4n/AABvumdUyhQoq-bB7nkV-VYEa/105g.mid.mp3?raw=1"/>
  </r>
  <r>
    <x v="59"/>
    <s v="Home"/>
    <s v="C.M."/>
    <n v="19"/>
    <m/>
    <s v="LFTB"/>
    <s v="Green Book"/>
    <x v="192"/>
    <s v="27g.mid"/>
    <s v="27g.mid.mp3"/>
    <m/>
    <m/>
    <n v="522"/>
    <s v="Home"/>
    <s v="id3tag --song=&quot;Home (C.M.)&quot; --artist=&quot;Earl of Mornington&quot; --comment=&quot;&quot; --album=&quot;Green Book&quot; --track=&quot;27&quot; 27g.mid.mp3"/>
    <s v="https://www.dropbox.com/sh/cx7tus4mgkt9o4n/AAAaBf2Y6ZEGRPOHf_zJ3bOla/27g.mid.mp3?raw=1"/>
  </r>
  <r>
    <x v="276"/>
    <s v="Horeb"/>
    <s v="10.8.10.7.8.13."/>
    <s v="NONE"/>
    <m/>
    <s v="LFTB"/>
    <s v="Green Book"/>
    <x v="193"/>
    <s v="460g.mid"/>
    <s v="460g.mid.mp3"/>
    <n v="1952"/>
    <m/>
    <n v="714"/>
    <s v="Horeb"/>
    <s v="id3tag --song=&quot;Horeb (10.8.10.7.8.13.)&quot; --artist=&quot;P. J. L. Hindle&quot; --comment=&quot;&quot; --album=&quot;Green Book&quot; --track=&quot;460&quot; 460g.mid.mp3"/>
    <s v="https://www.dropbox.com/sh/cx7tus4mgkt9o4n/AAAOm0XnL1d7ZyK5iXTz2-R4a/460g.mid.mp3?raw=1"/>
  </r>
  <r>
    <x v="76"/>
    <s v="Horsley"/>
    <s v="C.M."/>
    <n v="19"/>
    <m/>
    <s v="LFTB"/>
    <s v="Green Book"/>
    <x v="194"/>
    <s v="28g.mid"/>
    <s v="28g.mid.mp3"/>
    <m/>
    <m/>
    <n v="524"/>
    <s v="Horsley"/>
    <s v="id3tag --song=&quot;Horsley (C.M.)&quot; --artist=&quot;W. Horsely&quot; --comment=&quot;&quot; --album=&quot;Green Book&quot; --track=&quot;28&quot; 28g.mid.mp3"/>
    <s v="https://www.dropbox.com/sh/cx7tus4mgkt9o4n/AAAVHSRJp_TDpPpmrxeh2EESa/28g.mid.mp3?raw=1"/>
  </r>
  <r>
    <x v="277"/>
    <s v="Huddersfield"/>
    <s v="S.M."/>
    <n v="22"/>
    <m/>
    <s v="LFTB"/>
    <s v="Green Book"/>
    <x v="195"/>
    <s v="138g.mid"/>
    <s v="138g.mid.mp3"/>
    <n v="1770"/>
    <m/>
    <n v="434"/>
    <s v="Huddersfield"/>
    <s v="id3tag --song=&quot;Huddersfield (S.M.)&quot; --artist=&quot;From 'Williams Psalmody'&quot; --comment=&quot;&quot; --album=&quot;Green Book&quot; --track=&quot;138&quot; 138g.mid.mp3"/>
    <s v="https://www.dropbox.com/sh/cx7tus4mgkt9o4n/AAChGo-Q3KHize3uxlNChddCa/138g.mid.mp3?raw=1"/>
  </r>
  <r>
    <x v="278"/>
    <s v="Hull"/>
    <s v="8.8.6.8.8.6."/>
    <n v="20"/>
    <m/>
    <s v="LFTB"/>
    <s v="Green Book"/>
    <x v="196"/>
    <s v="405g.mid"/>
    <s v="405g.mid.mp3"/>
    <n v="1812"/>
    <m/>
    <n v="683"/>
    <s v="Hull"/>
    <s v="id3tag --song=&quot;Hull (8.8.6.8.8.6.)&quot; --artist=&quot;S. Chandler&quot; --comment=&quot;&quot; --album=&quot;Green Book&quot; --track=&quot;405&quot; 405g.mid.mp3"/>
    <s v="https://www.dropbox.com/sh/cx7tus4mgkt9o4n/AACci9fqInu7hCCsEOxfWt88a/405g.mid.mp3?raw=1"/>
  </r>
  <r>
    <x v="279"/>
    <s v="Hyfrydol"/>
    <s v="8.7.8.7.8.7.8.7."/>
    <n v="25"/>
    <m/>
    <s v="LFTB"/>
    <s v="Green Book"/>
    <x v="197"/>
    <s v="382g.mid"/>
    <s v="382g.mid.mp3"/>
    <m/>
    <m/>
    <n v="672"/>
    <s v="Hyfrydol"/>
    <s v="id3tag --song=&quot;Hyfrydol (8.7.8.7.8.7.8.7.)&quot; --artist=&quot;R. H. Prichard&quot; --comment=&quot;&quot; --album=&quot;Green Book&quot; --track=&quot;382&quot; 382g.mid.mp3"/>
    <s v="https://www.dropbox.com/sh/cx7tus4mgkt9o4n/AADbqhrX9b7i9O8GGyZWTKsua/382g.mid.mp3?raw=1"/>
  </r>
  <r>
    <x v="280"/>
    <s v="I Am Praying For You"/>
    <s v="11.10.11.10. Dactylic"/>
    <n v="17"/>
    <m/>
    <s v="LFTBs"/>
    <s v="Red Book"/>
    <x v="0"/>
    <s v="271r.mid"/>
    <s v="271r.mid.mp3"/>
    <m/>
    <m/>
    <n v="178"/>
    <s v="I Am Praying For You"/>
    <s v="id3tag --song=&quot;I Am Praying For You (11.10.11.10. Dactylic)&quot; --artist=&quot;Ira D. Sankey&quot; --comment=&quot;&quot; --album=&quot;Red Book&quot; --track=&quot;271&quot; 271r.mid.mp3"/>
    <s v="https://www.dropbox.com/sh/cx7tus4mgkt9o4n/AAAid-7NAlxy8cDp4K8zsz-6a/271r.mid.mp3?raw=1"/>
  </r>
  <r>
    <x v="246"/>
    <s v="I Came a Wanderer"/>
    <s v="C.M.D."/>
    <n v="61"/>
    <m/>
    <s v="LFTBs"/>
    <s v="Red Book"/>
    <x v="0"/>
    <s v="25r.mid"/>
    <s v="25r.mid.mp3"/>
    <m/>
    <m/>
    <n v="179"/>
    <s v="I Came a Wanderer"/>
    <s v="id3tag --song=&quot;I Came a Wanderer (C.M.D.)&quot; --artist=&quot;Ira D. Sankey&quot; --comment=&quot;&quot; --album=&quot;Red Book&quot; --track=&quot;25&quot; 25r.mid.mp3"/>
    <s v="https://www.dropbox.com/sh/cx7tus4mgkt9o4n/AACkIA7gRiB5Dqjz2fmT6ri4a/25r.mid.mp3?raw=1"/>
  </r>
  <r>
    <x v="121"/>
    <s v="Ignatius"/>
    <s v="C.M."/>
    <n v="19"/>
    <m/>
    <s v="LFTB"/>
    <s v="Green Book"/>
    <x v="198"/>
    <s v="29g.mid"/>
    <s v="29g.mid.mp3"/>
    <n v="1850"/>
    <m/>
    <n v="525"/>
    <s v="Ignatius"/>
    <s v="id3tag --song=&quot;Ignatius (C.M.)&quot; --artist=&quot;J. H. Lester&quot; --comment=&quot;&quot; --album=&quot;Green Book&quot; --track=&quot;29&quot; 29g.mid.mp3"/>
    <s v="https://www.dropbox.com/sh/cx7tus4mgkt9o4n/AABtPU9LAljWYe4SwOVJLJE2a/29g.mid.mp3?raw=1"/>
  </r>
  <r>
    <x v="281"/>
    <s v="Ilford"/>
    <s v="8.7.8.7.8.7.7."/>
    <n v="49"/>
    <m/>
    <s v="LFTB"/>
    <s v="Green Book"/>
    <x v="199"/>
    <s v="370g.mid"/>
    <s v="370g.mid.mp3"/>
    <m/>
    <m/>
    <n v="16"/>
    <s v="Ilford"/>
    <s v="id3tag --song=&quot;Ilford (8.7.8.7.8.7.7.)&quot; --artist=&quot;Anonymous&quot; --comment=&quot;&quot; --album=&quot;Green Book&quot; --track=&quot;370&quot; 370g.mid.mp3"/>
    <s v="https://www.dropbox.com/sh/cx7tus4mgkt9o4n/AABPWoffjy2mknVU5iHwhczwa/370g.mid.mp3?raw=1"/>
  </r>
  <r>
    <x v="282"/>
    <s v="Ilsley"/>
    <s v="8.8.8.6."/>
    <n v="39"/>
    <m/>
    <s v="LFTB"/>
    <s v="Green Book"/>
    <x v="168"/>
    <s v="416g.mid"/>
    <s v="416g.mid.mp3"/>
    <m/>
    <m/>
    <n v="689"/>
    <s v="Ilsley"/>
    <s v="id3tag --song=&quot;Ilsley (8.8.8.6.)&quot; --artist=&quot;W. B. Bradbury&quot; --comment=&quot;&quot; --album=&quot;Green Book&quot; --track=&quot;416&quot; 416g.mid.mp3"/>
    <s v="https://www.dropbox.com/sh/cx7tus4mgkt9o4n/AABHe4DAdwAVxXM2tzsWE0vAa/416g.mid.mp3?raw=1"/>
  </r>
  <r>
    <x v="283"/>
    <s v="In Hope"/>
    <s v="10.10.10.10."/>
    <n v="21"/>
    <m/>
    <s v="LFTB"/>
    <s v="Green Book"/>
    <x v="125"/>
    <s v="490g.mid"/>
    <s v="490g.mid.mp3"/>
    <n v="1912"/>
    <m/>
    <n v="733"/>
    <s v="In Hope"/>
    <s v="id3tag --song=&quot;In Hope (10.10.10.10.)&quot; --artist=&quot;Mrs. H. B. Cowie&quot; --comment=&quot;&quot; --album=&quot;Green Book&quot; --track=&quot;490&quot; 490g.mid.mp3"/>
    <s v="https://www.dropbox.com/sh/cx7tus4mgkt9o4n/AABdNvC99y1ihxoNXJMJZULba/490g.mid.mp3?raw=1"/>
  </r>
  <r>
    <x v="284"/>
    <s v="In Memoriam"/>
    <s v="8.7.8.7.8.7.8.7."/>
    <n v="25"/>
    <m/>
    <s v="LFTBs"/>
    <s v="Red Book"/>
    <x v="179"/>
    <s v="186r.mid"/>
    <s v="186r.mid.mp3"/>
    <m/>
    <s v="Copyright. By permission of the Unioin of Welsh Independents"/>
    <n v="180"/>
    <s v="In Memoriam"/>
    <s v="id3tag --song=&quot;In Memoriam (8.7.8.7.8.7.8.7.)&quot; --artist=&quot;Dr. Caradog Roberts&quot; --comment=&quot;Copyright. By permission of the Unioin of Welsh Independents&quot; --album=&quot;Red Book&quot; --track=&quot;186&quot; 186r.mid.mp3"/>
    <s v="https://www.dropbox.com/sh/cx7tus4mgkt9o4n/AACoJupiFoNPmAWV7KWN2naVa/186r.mid.mp3?raw=1"/>
  </r>
  <r>
    <x v="285"/>
    <s v="In the Midst"/>
    <s v="8.8.7.7."/>
    <n v="79"/>
    <m/>
    <s v="LFTBs"/>
    <s v="Red Book"/>
    <x v="200"/>
    <s v="201r.mid"/>
    <s v="201r.mid.mp3"/>
    <m/>
    <m/>
    <n v="181"/>
    <s v="In the Midst"/>
    <s v="id3tag --song=&quot;In the Midst (8.8.7.7.)&quot; --artist=&quot;W.P.&quot; --comment=&quot;&quot; --album=&quot;Red Book&quot; --track=&quot;201&quot; 201r.mid.mp3"/>
    <s v="https://www.dropbox.com/sh/cx7tus4mgkt9o4n/AABhD4RY07Kilg2vcx4JNV7ea/201r.mid.mp3?raw=1"/>
  </r>
  <r>
    <x v="286"/>
    <s v="In The Secret Of His Presence"/>
    <s v="8.7.8.7.8.7.8.7."/>
    <n v="25"/>
    <m/>
    <s v="LFTB"/>
    <s v="Green Book"/>
    <x v="18"/>
    <s v="383g.mid"/>
    <s v="383g.mid.mp3"/>
    <m/>
    <m/>
    <n v="673"/>
    <s v="In The Secret Of His Presence"/>
    <s v="id3tag --song=&quot;In The Secret Of His Presence (8.7.8.7.8.7.8.7.)&quot; --artist=&quot;G. C. Stebbins&quot; --comment=&quot;&quot; --album=&quot;Green Book&quot; --track=&quot;383&quot; 383g.mid.mp3"/>
    <s v="https://www.dropbox.com/sh/cx7tus4mgkt9o4n/AADeQpMp7rAuQ2l4SB9rz4d7a/383g.mid.mp3?raw=1"/>
  </r>
  <r>
    <x v="287"/>
    <s v="Ingleside"/>
    <s v="14.14.14.14."/>
    <n v="85"/>
    <m/>
    <s v="LFTB"/>
    <s v="Green Book"/>
    <x v="201"/>
    <s v="553g.mid"/>
    <s v="553g.mid.mp3"/>
    <m/>
    <m/>
    <n v="567"/>
    <s v="Ingleside"/>
    <s v="id3tag --song=&quot;Ingleside (14.14.14.14.)&quot; --artist=&quot;Josiah Booth&quot; --comment=&quot;&quot; --album=&quot;Green Book&quot; --track=&quot;553&quot; 553g.mid.mp3"/>
    <s v="https://www.dropbox.com/sh/cx7tus4mgkt9o4n/AAApmOE8TR0r_4N2SnmG7Vaza/553g.mid.mp3?raw=1"/>
  </r>
  <r>
    <x v="193"/>
    <s v="Innocents"/>
    <s v="7.7.7.7."/>
    <n v="29"/>
    <m/>
    <s v="LFTB"/>
    <s v="Green Book"/>
    <x v="202"/>
    <s v="269g.mid"/>
    <s v="269g.mid.mp3"/>
    <m/>
    <m/>
    <n v="476"/>
    <s v="Innocents"/>
    <s v="id3tag --song=&quot;Innocents (7.7.7.7.)&quot; --artist=&quot;G. B. Pergolesi&quot; --comment=&quot;&quot; --album=&quot;Green Book&quot; --track=&quot;269&quot; 269g.mid.mp3"/>
    <s v="https://www.dropbox.com/sh/cx7tus4mgkt9o4n/AAAUReyvyej0B-wh6WChR5tna/269g.mid.mp3?raw=1"/>
  </r>
  <r>
    <x v="288"/>
    <s v="Inscrutable"/>
    <s v="5.5.4.5.5.4."/>
    <n v="40"/>
    <m/>
    <s v="LFTBs"/>
    <s v="Red Book"/>
    <x v="28"/>
    <s v="60r.mid"/>
    <s v="60r.mid.mp3"/>
    <m/>
    <m/>
    <n v="182"/>
    <s v="Inscrutable"/>
    <s v="id3tag --song=&quot;Inscrutable (5.5.4.5.5.4.)&quot; --artist=&quot;E. Carren&quot; --comment=&quot;&quot; --album=&quot;Red Book&quot; --track=&quot;60&quot; 60r.mid.mp3"/>
    <s v="https://www.dropbox.com/sh/cx7tus4mgkt9o4n/AACEuNpG1inky0YG3SbdnTdfa/60r.mid.mp3?raw=1"/>
  </r>
  <r>
    <x v="289"/>
    <s v="Invitation"/>
    <s v="6.6.6.6.6.6.6.6."/>
    <n v="90"/>
    <m/>
    <s v="LFTB"/>
    <s v="Green Book"/>
    <x v="5"/>
    <s v="191g.mid"/>
    <s v="191g.mid.mp3"/>
    <m/>
    <m/>
    <n v="454"/>
    <s v="Invitation"/>
    <s v="id3tag --song=&quot;Invitation (6.6.6.6.6.6.6.6.)&quot; --artist=&quot;F. C. Maker&quot; --comment=&quot;&quot; --album=&quot;Green Book&quot; --track=&quot;191&quot; 191g.mid.mp3"/>
    <s v="https://www.dropbox.com/sh/cx7tus4mgkt9o4n/AAA73QTHwDnnLhaH3D2kLnNWa/191g.mid.mp3?raw=1"/>
  </r>
  <r>
    <x v="184"/>
    <s v="Irish"/>
    <s v="C.M."/>
    <n v="19"/>
    <m/>
    <s v="LFTB"/>
    <s v="Green Book"/>
    <x v="7"/>
    <s v="30g.mid"/>
    <s v="30g.mid.mp3"/>
    <m/>
    <m/>
    <n v="526"/>
    <s v="Irish"/>
    <s v="id3tag --song=&quot;Irish (C.M.)&quot; --artist=&quot;Isaac Smith&quot; --comment=&quot;&quot; --album=&quot;Green Book&quot; --track=&quot;30&quot; 30g.mid.mp3"/>
    <s v="https://www.dropbox.com/sh/cx7tus4mgkt9o4n/AACtZxbk6GdFwYJFnTbc57CZa/30g.mid.mp3?raw=1"/>
  </r>
  <r>
    <x v="290"/>
    <s v="It is Well"/>
    <s v="11.8.11.9."/>
    <n v="71"/>
    <m/>
    <s v="LFTB"/>
    <s v="Green Book"/>
    <x v="27"/>
    <s v="513g.mid"/>
    <s v="513g.mid.mp3"/>
    <m/>
    <m/>
    <n v="17"/>
    <s v="It is Well"/>
    <s v="id3tag --song=&quot;It is Well (11.8.11.9.)&quot; --artist=&quot;P. P. Bliss&quot; --comment=&quot;&quot; --album=&quot;Green Book&quot; --track=&quot;513&quot; 513g.mid.mp3"/>
    <s v="https://www.dropbox.com/sh/cx7tus4mgkt9o4n/AADpTkEoosDp5FJLBfr_mIDya/513g.mid.mp3?raw=1"/>
  </r>
  <r>
    <x v="291"/>
    <s v="It Passeth Knowledge"/>
    <s v="10.10.10.10.4."/>
    <s v="NONE"/>
    <m/>
    <s v="LFTB"/>
    <s v="Green Book"/>
    <x v="0"/>
    <s v="506g.mid"/>
    <s v="506g.mid.mp3"/>
    <m/>
    <m/>
    <n v="559"/>
    <s v="It Passeth Knowledge"/>
    <s v="id3tag --song=&quot;It Passeth Knowledge (10.10.10.10.4.)&quot; --artist=&quot;Ira D. Sankey&quot; --comment=&quot;&quot; --album=&quot;Green Book&quot; --track=&quot;506&quot; 506g.mid.mp3"/>
    <s v="https://www.dropbox.com/sh/cx7tus4mgkt9o4n/AABxGVR0v0zHKuxzy8kYIjTna/506g.mid.mp3?raw=1"/>
  </r>
  <r>
    <x v="187"/>
    <s v="Jackson's"/>
    <s v="C.M."/>
    <n v="19"/>
    <m/>
    <s v="LFTB"/>
    <s v="Green Book"/>
    <x v="203"/>
    <s v="31g.mid"/>
    <s v="31g.mid.mp3"/>
    <m/>
    <m/>
    <n v="527"/>
    <s v="Jackson's"/>
    <s v="id3tag --song=&quot;Jackson's (C.M.)&quot; --artist=&quot;T. Jackson&quot; --comment=&quot;&quot; --album=&quot;Green Book&quot; --track=&quot;31&quot; 31g.mid.mp3"/>
    <s v="https://www.dropbox.com/sh/cx7tus4mgkt9o4n/AABRJuZJjDQ8Zz2YzmA2tMQ4a/31g.mid.mp3?raw=1"/>
  </r>
  <r>
    <x v="292"/>
    <s v="Jedidja"/>
    <s v="7.6.7.6.7.6.7.6."/>
    <n v="34"/>
    <m/>
    <s v="LFTBs"/>
    <s v="Red Book"/>
    <x v="28"/>
    <s v="106r.mid"/>
    <s v="106r.mid.mp3"/>
    <m/>
    <m/>
    <n v="183"/>
    <s v="Jedidja"/>
    <s v="id3tag --song=&quot;Jedidja (7.6.7.6.7.6.7.6.)&quot; --artist=&quot;E. Carren&quot; --comment=&quot;&quot; --album=&quot;Red Book&quot; --track=&quot;106&quot; 106r.mid.mp3"/>
    <s v="https://www.dropbox.com/sh/cx7tus4mgkt9o4n/AAB9FTXADIjiWW5EmvEYUSqXa/106r.mid.mp3?raw=1"/>
  </r>
  <r>
    <x v="293"/>
    <s v="Jedutun"/>
    <s v="S.M."/>
    <n v="22"/>
    <m/>
    <s v="LFTBs"/>
    <s v="Red Book"/>
    <x v="28"/>
    <s v="45r.mid"/>
    <s v="45r.mid.mp3"/>
    <m/>
    <m/>
    <n v="184"/>
    <s v="Jedutun"/>
    <s v="id3tag --song=&quot;Jedutun (S.M.)&quot; --artist=&quot;E. Carren&quot; --comment=&quot;&quot; --album=&quot;Red Book&quot; --track=&quot;45&quot; 45r.mid.mp3"/>
    <s v="https://www.dropbox.com/sh/cx7tus4mgkt9o4n/AAC6_vc5j0lnxWrx3bC_rYdUa/45r.mid.mp3?raw=1"/>
  </r>
  <r>
    <x v="294"/>
    <s v="Jehovah Tsidkenu"/>
    <s v="6.6.6.5.6.6.6.5."/>
    <n v="43"/>
    <m/>
    <s v="LFTB"/>
    <s v="Green Book"/>
    <x v="204"/>
    <s v="190g.mid"/>
    <s v="190g.mid.mp3"/>
    <m/>
    <m/>
    <n v="549"/>
    <s v="Jehovah Tsidkenu"/>
    <s v="id3tag --song=&quot;Jehovah Tsidkenu (6.6.6.5.6.6.6.5.)&quot; --artist=&quot;H. Bennett&quot; --comment=&quot;&quot; --album=&quot;Green Book&quot; --track=&quot;190&quot; 190g.mid.mp3"/>
    <s v="https://www.dropbox.com/sh/cx7tus4mgkt9o4n/AAD18oow6jKJknRMc6uc7-a9a/190g.mid.mp3?raw=1"/>
  </r>
  <r>
    <x v="295"/>
    <s v="Jera"/>
    <s v="8.7.8.7.7.7."/>
    <n v="77"/>
    <m/>
    <s v="LFTB"/>
    <s v="Green Book"/>
    <x v="205"/>
    <s v="368g.mid"/>
    <s v="368g.mid.mp3"/>
    <m/>
    <m/>
    <n v="511"/>
    <s v="Jera"/>
    <s v="id3tag --song=&quot;Jera (8.7.8.7.7.7.)&quot; --artist=&quot;S. J. Vail&quot; --comment=&quot;&quot; --album=&quot;Green Book&quot; --track=&quot;368&quot; 368g.mid.mp3"/>
    <s v="https://www.dropbox.com/sh/cx7tus4mgkt9o4n/AAC9Gvng9mtcdIuW1-Z49McOa/368g.mid.mp3?raw=1"/>
  </r>
  <r>
    <x v="160"/>
    <s v="Jerusalem (Staniforth)"/>
    <s v="C.M."/>
    <n v="19"/>
    <m/>
    <s v="LFTBs"/>
    <s v="Red Book"/>
    <x v="206"/>
    <s v="15r.mid"/>
    <s v="15r.mid.mp3"/>
    <m/>
    <m/>
    <n v="185"/>
    <s v="Jerusalem (Staniforth)"/>
    <s v="id3tag --song=&quot;Jerusalem (Staniforth) (C.M.)&quot; --artist=&quot;T. W. Staniforth&quot; --comment=&quot;&quot; --album=&quot;Red Book&quot; --track=&quot;15&quot; 15r.mid.mp3"/>
    <s v="https://www.dropbox.com/sh/cx7tus4mgkt9o4n/AAARAms4RjTmobfwqMQfiLsxa/15r.mid.mp3?raw=1"/>
  </r>
  <r>
    <x v="296"/>
    <s v="Jesus is Calling"/>
    <s v="10.8.10.7.8.13."/>
    <s v="NONE"/>
    <m/>
    <s v="LFTB"/>
    <s v="Green Book"/>
    <x v="18"/>
    <s v="461g.mid"/>
    <s v="461g.mid.mp3"/>
    <m/>
    <m/>
    <n v="715"/>
    <s v="Jesus is Calling"/>
    <s v="id3tag --song=&quot;Jesus is Calling (10.8.10.7.8.13.)&quot; --artist=&quot;G. C. Stebbins&quot; --comment=&quot;&quot; --album=&quot;Green Book&quot; --track=&quot;461&quot; 461g.mid.mp3"/>
    <s v="https://www.dropbox.com/sh/cx7tus4mgkt9o4n/AADLNp40NI8PqNRG_cIiE2KYa/461g.mid.mp3?raw=1"/>
  </r>
  <r>
    <x v="297"/>
    <s v="Jesus Only"/>
    <s v="8.7.8.7.8.7.8.7."/>
    <n v="25"/>
    <m/>
    <s v="LFTB"/>
    <s v="Green Book"/>
    <x v="207"/>
    <s v="385g.mid"/>
    <s v="385g.mid.mp3"/>
    <m/>
    <m/>
    <n v="675"/>
    <s v="Jesus Only"/>
    <s v="id3tag --song=&quot;Jesus Only (8.7.8.7.8.7.8.7.)&quot; --artist=&quot;R. Lowry&quot; --comment=&quot;&quot; --album=&quot;Green Book&quot; --track=&quot;385&quot; 385g.mid.mp3"/>
    <s v="https://www.dropbox.com/sh/cx7tus4mgkt9o4n/AADD-xtMlQ0bkCteRQfUP6JZa/385g.mid.mp3?raw=1"/>
  </r>
  <r>
    <x v="298"/>
    <s v="Jesus' Call"/>
    <s v="8.7.8.7.8.7.8.7."/>
    <n v="25"/>
    <m/>
    <s v="LFTB"/>
    <s v="Green Book"/>
    <x v="125"/>
    <s v="384g.mid"/>
    <s v="384g.mid.mp3"/>
    <n v="1932"/>
    <m/>
    <n v="674"/>
    <s v="Jesus' Call"/>
    <s v="id3tag --song=&quot;Jesus' Call (8.7.8.7.8.7.8.7.)&quot; --artist=&quot;Mrs. H. B. Cowie&quot; --comment=&quot;&quot; --album=&quot;Green Book&quot; --track=&quot;384&quot; 384g.mid.mp3"/>
    <s v="https://www.dropbox.com/sh/cx7tus4mgkt9o4n/AABYV3wJ3-fcd8S_qG2teLmKa/384g.mid.mp3?raw=1"/>
  </r>
  <r>
    <x v="299"/>
    <s v="Jevington"/>
    <s v="8.7.8.7. Dactylic Chorus 5.7.8.7."/>
    <n v="54"/>
    <m/>
    <s v="LFTB"/>
    <s v="Green Book"/>
    <x v="20"/>
    <s v="351g.mid"/>
    <s v="351g.mid.mp3"/>
    <n v="1931"/>
    <m/>
    <n v="388"/>
    <s v="Jevington"/>
    <s v="id3tag --song=&quot;Jevington (8.7.8.7. Dactylic Chorus 5.7.8.7.)&quot; --artist=&quot;C. T. Lambert&quot; --comment=&quot;&quot; --album=&quot;Green Book&quot; --track=&quot;351&quot; 351g.mid.mp3"/>
    <s v="https://www.dropbox.com/sh/cx7tus4mgkt9o4n/AACU5v_9Bvt_1cPCdkMS38tra/351g.mid.mp3?raw=1"/>
  </r>
  <r>
    <x v="1"/>
    <s v="Jewish Melody"/>
    <s v="8.7.8.7.8.7.8.7."/>
    <n v="25"/>
    <m/>
    <s v="LFTBs"/>
    <s v="Red Book"/>
    <x v="9"/>
    <s v="187r.mid"/>
    <s v="187r.mid.mp3"/>
    <m/>
    <m/>
    <n v="186"/>
    <s v="Jewish Melody"/>
    <s v="id3tag --song=&quot;Jewish Melody (8.7.8.7.8.7.8.7.)&quot; --artist=&quot;Unknown&quot; --comment=&quot;&quot; --album=&quot;Red Book&quot; --track=&quot;187&quot; 187r.mid.mp3"/>
    <s v="https://www.dropbox.com/sh/cx7tus4mgkt9o4n/AADO53DOEU6oLjQ3cABwtPpca/187r.mid.mp3?raw=1"/>
  </r>
  <r>
    <x v="300"/>
    <s v="John"/>
    <s v="7.7.7.7."/>
    <n v="29"/>
    <m/>
    <s v="LFTBs"/>
    <s v="Red Book"/>
    <x v="208"/>
    <s v="113r.mid"/>
    <s v="113r.mid.mp3"/>
    <m/>
    <m/>
    <n v="187"/>
    <s v="John"/>
    <s v="id3tag --song=&quot;John (7.7.7.7.)&quot; --artist=&quot;D.G. Spary&quot; --comment=&quot;&quot; --album=&quot;Red Book&quot; --track=&quot;113&quot; 113r.mid.mp3"/>
    <s v="https://www.dropbox.com/sh/cx7tus4mgkt9o4n/AACFyjAt61sbt4BiTw-gN1lUa/113r.mid.mp3?raw=1"/>
  </r>
  <r>
    <x v="301"/>
    <s v="Joyful Sound"/>
    <s v="8.8.8.8.4.4.6."/>
    <n v="75"/>
    <m/>
    <s v="LFTBs"/>
    <s v="Red Book"/>
    <x v="209"/>
    <s v="205r.mid"/>
    <s v="205r.mid.mp3"/>
    <m/>
    <m/>
    <n v="188"/>
    <s v="Joyful Sound"/>
    <s v="id3tag --song=&quot;Joyful Sound (8.8.8.8.4.4.6.)&quot; --artist=&quot;Royston Lewis&quot; --comment=&quot;&quot; --album=&quot;Red Book&quot; --track=&quot;205&quot; 205r.mid.mp3"/>
    <s v="https://www.dropbox.com/sh/cx7tus4mgkt9o4n/AAAAyNiSGjQ14aOd88LDcH1ia/205r.mid.mp3?raw=1"/>
  </r>
  <r>
    <x v="238"/>
    <s v="Jubilant"/>
    <s v="C.M."/>
    <n v="19"/>
    <m/>
    <s v="LFTB"/>
    <s v="Green Book"/>
    <x v="28"/>
    <s v="32g.mid"/>
    <s v="32g.mid.mp3"/>
    <n v="1938"/>
    <m/>
    <n v="528"/>
    <s v="Jubilant"/>
    <s v="id3tag --song=&quot;Jubilant (C.M.)&quot; --artist=&quot;E. Carren&quot; --comment=&quot;&quot; --album=&quot;Green Book&quot; --track=&quot;32&quot; 32g.mid.mp3"/>
    <s v="https://www.dropbox.com/sh/cx7tus4mgkt9o4n/AAClRJle0DuLiiqMMx4uR6jCa/32g.mid.mp3?raw=1"/>
  </r>
  <r>
    <x v="302"/>
    <s v="Jubilee (Carren)"/>
    <s v="8.8.8.8.4.4.6."/>
    <n v="75"/>
    <m/>
    <s v="LFTB"/>
    <s v="Green Book"/>
    <x v="28"/>
    <s v="424g.mid"/>
    <s v="424g.mid.mp3"/>
    <n v="1939"/>
    <m/>
    <n v="18"/>
    <s v="Jubilee (Carren)"/>
    <s v="id3tag --song=&quot;Jubilee (Carren) (8.8.8.8.4.4.6.)&quot; --artist=&quot;E. Carren&quot; --comment=&quot;&quot; --album=&quot;Green Book&quot; --track=&quot;424&quot; 424g.mid.mp3"/>
    <s v="https://www.dropbox.com/sh/cx7tus4mgkt9o4n/AAAm3CfBZ2flTwKLfXV7rGRga/424g.mid.mp3?raw=1"/>
  </r>
  <r>
    <x v="303"/>
    <s v="Jubilee (Hope)"/>
    <s v="6.6.6.6.8.8."/>
    <n v="51"/>
    <m/>
    <s v="LFTBs"/>
    <s v="Red Book"/>
    <x v="210"/>
    <s v="84r.mid"/>
    <s v="84r.mid.mp3"/>
    <m/>
    <m/>
    <n v="189"/>
    <s v="Jubilee (Hope)"/>
    <s v="id3tag --song=&quot;Jubilee (Hope) (6.6.6.6.8.8.)&quot; --artist=&quot;Walter R.F. Hope&quot; --comment=&quot;&quot; --album=&quot;Red Book&quot; --track=&quot;84&quot; 84r.mid.mp3"/>
    <s v="https://www.dropbox.com/sh/cx7tus4mgkt9o4n/AAA3y2tbjIrR69qGTYJEeV3Ya/84r.mid.mp3?raw=1"/>
  </r>
  <r>
    <x v="304"/>
    <s v="Julian"/>
    <s v="L.M.D."/>
    <n v="84"/>
    <m/>
    <s v="LFTBs"/>
    <s v="Red Book"/>
    <x v="211"/>
    <s v="41r.mid"/>
    <s v="41r.mid.mp3"/>
    <m/>
    <m/>
    <n v="190"/>
    <s v="Julian"/>
    <s v="id3tag --song=&quot;Julian (L.M.D.)&quot; --artist=&quot;F.C. Maker&quot; --comment=&quot;&quot; --album=&quot;Red Book&quot; --track=&quot;41&quot; 41r.mid.mp3"/>
    <s v="https://www.dropbox.com/sh/cx7tus4mgkt9o4n/AACNzJ2gh4BhuHCmm8nvENLea/41r.mid.mp3?raw=1"/>
  </r>
  <r>
    <x v="305"/>
    <s v="Jura"/>
    <s v="8.7.8.7.7.7."/>
    <n v="77"/>
    <m/>
    <s v="LFTBs"/>
    <s v="Red Book"/>
    <x v="212"/>
    <s v="178r.mid"/>
    <s v="178r.mid.mp3"/>
    <m/>
    <s v="Repeat last line of each verse"/>
    <n v="191"/>
    <s v="Jura"/>
    <s v="id3tag --song=&quot;Jura (8.7.8.7.7.7.)&quot; --artist=&quot;S.J. Vail&quot; --comment=&quot;Repeat last line of each verse&quot; --album=&quot;Red Book&quot; --track=&quot;178&quot; 178r.mid.mp3"/>
    <s v="https://www.dropbox.com/sh/cx7tus4mgkt9o4n/AACiL9w_oOXZ8aTy-XovD0Qja/178r.mid.mp3?raw=1"/>
  </r>
  <r>
    <x v="306"/>
    <s v="Just As I Am (Barnby)"/>
    <s v="8.8.8.6."/>
    <n v="39"/>
    <m/>
    <s v="LFTB"/>
    <s v="Green Book"/>
    <x v="30"/>
    <s v="417g.mid"/>
    <s v="417g.mid.mp3"/>
    <m/>
    <m/>
    <n v="690"/>
    <s v="Just As I Am (Barnby)"/>
    <s v="id3tag --song=&quot;Just As I Am (Barnby) (8.8.8.6.)&quot; --artist=&quot;Sir Joseph Barnby&quot; --comment=&quot;&quot; --album=&quot;Green Book&quot; --track=&quot;417&quot; 417g.mid.mp3"/>
    <s v="https://www.dropbox.com/sh/cx7tus4mgkt9o4n/AACY7EQqvn50ILUQFjqVnucta/417g.mid.mp3?raw=1"/>
  </r>
  <r>
    <x v="307"/>
    <s v="Just As I Am (Bradbury)"/>
    <s v="8.8.8.6."/>
    <n v="39"/>
    <m/>
    <s v="LFTB"/>
    <s v="Green Book"/>
    <x v="213"/>
    <s v="418g.mid"/>
    <s v="418g.mid.mp3"/>
    <m/>
    <m/>
    <n v="691"/>
    <s v="Just As I Am (Bradbury)"/>
    <s v="id3tag --song=&quot;Just As I Am (Bradbury) (8.8.8.6.)&quot; --artist=&quot;W.B. Bradbury&quot; --comment=&quot;&quot; --album=&quot;Green Book&quot; --track=&quot;418&quot; 418g.mid.mp3"/>
    <s v="https://www.dropbox.com/sh/cx7tus4mgkt9o4n/AAA60L7yZMDbol2XnLUszmaKa/418g.mid.mp3?raw=1"/>
  </r>
  <r>
    <x v="292"/>
    <s v="Keble"/>
    <s v="L.M."/>
    <n v="16"/>
    <m/>
    <s v="LFTB"/>
    <s v="Green Book"/>
    <x v="19"/>
    <s v="106g.mid"/>
    <s v="106g.mid.mp3"/>
    <m/>
    <m/>
    <n v="427"/>
    <s v="Keble"/>
    <s v="id3tag --song=&quot;Keble (L.M.)&quot; --artist=&quot;Dr. J. B. Dykes&quot; --comment=&quot;&quot; --album=&quot;Green Book&quot; --track=&quot;106&quot; 106g.mid.mp3"/>
    <s v="https://www.dropbox.com/sh/cx7tus4mgkt9o4n/AABI61nhdKRRmXk3f6b3woYWa/106g.mid.mp3?raw=1"/>
  </r>
  <r>
    <x v="308"/>
    <s v="Kelvin"/>
    <s v="7.6.7.6.7.6.7.6."/>
    <n v="34"/>
    <m/>
    <s v="LFTBs"/>
    <s v="Red Book"/>
    <x v="34"/>
    <s v="107r.mid"/>
    <s v="107r.mid.mp3"/>
    <m/>
    <m/>
    <n v="192"/>
    <s v="Kelvin"/>
    <s v="id3tag --song=&quot;Kelvin (7.6.7.6.7.6.7.6.)&quot; --artist=&quot;Gordon Millar&quot; --comment=&quot;&quot; --album=&quot;Red Book&quot; --track=&quot;107&quot; 107r.mid.mp3"/>
    <s v="https://www.dropbox.com/sh/cx7tus4mgkt9o4n/AAA6S06k06AplAVzbt5uoUPqa/107r.mid.mp3?raw=1"/>
  </r>
  <r>
    <x v="309"/>
    <s v="Kenaz"/>
    <s v="7.7.7.7."/>
    <n v="29"/>
    <m/>
    <s v="LFTBs"/>
    <s v="Red Book"/>
    <x v="4"/>
    <s v="114r.mid"/>
    <s v="114r.mid.mp3"/>
    <m/>
    <m/>
    <n v="193"/>
    <s v="Kenaz"/>
    <s v="id3tag --song=&quot;Kenaz (7.7.7.7.)&quot; --artist=&quot;Miss E.C. Shanks&quot; --comment=&quot;&quot; --album=&quot;Red Book&quot; --track=&quot;114&quot; 114r.mid.mp3"/>
    <s v="https://www.dropbox.com/sh/cx7tus4mgkt9o4n/AACMCHn_uE5Ebtn0ylQzfAHua/114r.mid.mp3?raw=1"/>
  </r>
  <r>
    <x v="310"/>
    <s v="Kenelgin"/>
    <s v="8.7.8.7.8.7.8.7."/>
    <n v="25"/>
    <m/>
    <s v="LFTB"/>
    <s v="Green Book"/>
    <x v="9"/>
    <s v="387g.mid"/>
    <s v="387g.mid.mp3"/>
    <m/>
    <m/>
    <n v="391"/>
    <s v="Kenelgin"/>
    <s v="id3tag --song=&quot;Kenelgin (8.7.8.7.8.7.8.7.)&quot; --artist=&quot;Unknown&quot; --comment=&quot;&quot; --album=&quot;Green Book&quot; --track=&quot;387&quot; 387g.mid.mp3"/>
    <s v="https://www.dropbox.com/sh/cx7tus4mgkt9o4n/AAA5BP6L0FkQCyiLunKgVPS8a/387g.mid.mp3?raw=1"/>
  </r>
  <r>
    <x v="311"/>
    <s v="Kensington New"/>
    <s v="8.7.8.7.4.7."/>
    <n v="50"/>
    <m/>
    <s v="LFTB"/>
    <s v="Green Book"/>
    <x v="214"/>
    <s v="358g.mid"/>
    <s v="358g.mid.mp3"/>
    <m/>
    <m/>
    <n v="389"/>
    <s v="Kensington New"/>
    <s v="id3tag --song=&quot;Kensington New (8.7.8.7.4.7.)&quot; --artist=&quot;J. Tilleard&quot; --comment=&quot;&quot; --album=&quot;Green Book&quot; --track=&quot;358&quot; 358g.mid.mp3"/>
    <s v="https://www.dropbox.com/sh/cx7tus4mgkt9o4n/AAAalTBCvS16zQaT2T2nOjZea/358g.mid.mp3?raw=1"/>
  </r>
  <r>
    <x v="312"/>
    <s v="Keturah"/>
    <s v="8.7.8.7.7.7."/>
    <n v="77"/>
    <m/>
    <s v="LFTBs"/>
    <s v="Red Book"/>
    <x v="215"/>
    <s v="179r.mid"/>
    <s v="179r.mid.mp3"/>
    <m/>
    <m/>
    <n v="194"/>
    <s v="Keturah"/>
    <s v="id3tag --song=&quot;Keturah (8.7.8.7.7.7.)&quot; --artist=&quot;Miss A.H. Lee&quot; --comment=&quot;&quot; --album=&quot;Red Book&quot; --track=&quot;179&quot; 179r.mid.mp3"/>
    <s v="https://www.dropbox.com/sh/cx7tus4mgkt9o4n/AACesAH6qXOQy1IJgZY-SeTGa/179r.mid.mp3?raw=1"/>
  </r>
  <r>
    <x v="239"/>
    <s v="Kilmarnock"/>
    <s v="C.M."/>
    <n v="19"/>
    <m/>
    <s v="LFTB"/>
    <s v="Green Book"/>
    <x v="216"/>
    <s v="33g.mid"/>
    <s v="33g.mid.mp3"/>
    <m/>
    <m/>
    <n v="529"/>
    <s v="Kilmarnock"/>
    <s v="id3tag --song=&quot;Kilmarnock (C.M.)&quot; --artist=&quot;Niel Dougall&quot; --comment=&quot;&quot; --album=&quot;Green Book&quot; --track=&quot;33&quot; 33g.mid.mp3"/>
    <s v="https://www.dropbox.com/sh/cx7tus4mgkt9o4n/AABkD8ccRnM36Pgj3ADZ_DFqa/33g.mid.mp3?raw=1"/>
  </r>
  <r>
    <x v="313"/>
    <s v="Kingsthorpe"/>
    <s v="9.8.9.8."/>
    <n v="35"/>
    <m/>
    <s v="LFTBs"/>
    <s v="Red Book"/>
    <x v="82"/>
    <s v="226r.mid"/>
    <s v="226r.mid.mp3"/>
    <m/>
    <m/>
    <n v="195"/>
    <s v="Kingsthorpe"/>
    <s v="id3tag --song=&quot;Kingsthorpe (9.8.9.8.)&quot; --artist=&quot;Eric Burgess&quot; --comment=&quot;&quot; --album=&quot;Red Book&quot; --track=&quot;226&quot; 226r.mid.mp3"/>
    <s v="https://www.dropbox.com/sh/cx7tus4mgkt9o4n/AAB5SsKc-KQo3m0CTjstAHoja/226r.mid.mp3?raw=1"/>
  </r>
  <r>
    <x v="135"/>
    <s v="Kocher"/>
    <s v="7.6.7.6."/>
    <n v="41"/>
    <m/>
    <s v="LFTB"/>
    <s v="Green Book"/>
    <x v="217"/>
    <s v="217g.mid"/>
    <s v="217g.mid.mp3"/>
    <m/>
    <m/>
    <n v="365"/>
    <s v="Kocher"/>
    <s v="id3tag --song=&quot;Kocher (7.6.7.6.)&quot; --artist=&quot;J. H. Knecht&quot; --comment=&quot;&quot; --album=&quot;Green Book&quot; --track=&quot;217&quot; 217g.mid.mp3"/>
    <s v="https://www.dropbox.com/sh/cx7tus4mgkt9o4n/AADe7pwua95RkBHqVlHnJ6rLa/217g.mid.mp3?raw=1"/>
  </r>
  <r>
    <x v="314"/>
    <s v="Lamorna"/>
    <s v="10.4.10.4.10.10."/>
    <n v="45"/>
    <m/>
    <s v="LFTB"/>
    <s v="Green Book"/>
    <x v="125"/>
    <s v="456g.mid"/>
    <s v="456g.mid.mp3"/>
    <n v="1936"/>
    <m/>
    <n v="712"/>
    <s v="Lamorna"/>
    <s v="id3tag --song=&quot;Lamorna (10.4.10.4.10.10.)&quot; --artist=&quot;Mrs. H. B. Cowie&quot; --comment=&quot;&quot; --album=&quot;Green Book&quot; --track=&quot;456&quot; 456g.mid.mp3"/>
    <s v="https://www.dropbox.com/sh/cx7tus4mgkt9o4n/AACIH05y8SFd3odMFVxzdoGNa/456g.mid.mp3?raw=1"/>
  </r>
  <r>
    <x v="94"/>
    <s v="Lancashire"/>
    <s v="7.6.7.6.7.6.7.6."/>
    <n v="34"/>
    <m/>
    <s v="LFTB"/>
    <s v="Green Book"/>
    <x v="64"/>
    <s v="248g.mid"/>
    <s v="248g.mid.mp3"/>
    <m/>
    <m/>
    <n v="470"/>
    <s v="Lancashire"/>
    <s v="id3tag --song=&quot;Lancashire (7.6.7.6.7.6.7.6.)&quot; --artist=&quot;H. T. Smart&quot; --comment=&quot;&quot; --album=&quot;Green Book&quot; --track=&quot;248&quot; 248g.mid.mp3"/>
    <s v="https://www.dropbox.com/sh/cx7tus4mgkt9o4n/AADBje0XHfVaKYqLdqFpykcaa/248g.mid.mp3?raw=1"/>
  </r>
  <r>
    <x v="315"/>
    <s v="Lasus"/>
    <s v="L.M."/>
    <n v="16"/>
    <m/>
    <s v="LFTBs"/>
    <s v="Red Book"/>
    <x v="31"/>
    <s v="35r.mid"/>
    <s v="35r.mid.mp3"/>
    <m/>
    <m/>
    <n v="196"/>
    <s v="Lasus"/>
    <s v="id3tag --song=&quot;Lasus (L.M.)&quot; --artist=&quot;Dr. A.H. Mann&quot; --comment=&quot;&quot; --album=&quot;Red Book&quot; --track=&quot;35&quot; 35r.mid.mp3"/>
    <s v="https://www.dropbox.com/sh/cx7tus4mgkt9o4n/AAAf1zJSxUvx8W1lj6BZhYm4a/35r.mid.mp3?raw=1"/>
  </r>
  <r>
    <x v="136"/>
    <s v="Lathbury"/>
    <s v="6.4.6.4.6.4.6.4."/>
    <n v="32"/>
    <m/>
    <s v="LFTB"/>
    <s v="Green Book"/>
    <x v="218"/>
    <s v="173g.mid"/>
    <s v="173g.mid.mp3"/>
    <m/>
    <m/>
    <n v="449"/>
    <s v="Lathbury"/>
    <s v="id3tag --song=&quot;Lathbury (6.4.6.4.6.4.6.4.)&quot; --artist=&quot;W. F. Sherwin&quot; --comment=&quot;&quot; --album=&quot;Green Book&quot; --track=&quot;173&quot; 173g.mid.mp3"/>
    <s v="https://www.dropbox.com/sh/cx7tus4mgkt9o4n/AABpodpkf3czgze5PIVIgDEAa/173g.mid.mp3?raw=1"/>
  </r>
  <r>
    <x v="316"/>
    <s v="Laus Patri"/>
    <s v="10.10.10.10."/>
    <n v="21"/>
    <m/>
    <s v="LFTB"/>
    <s v="Green Book"/>
    <x v="219"/>
    <s v="491g.mid"/>
    <s v="491g.mid.mp3"/>
    <m/>
    <m/>
    <n v="734"/>
    <s v="Laus Patri"/>
    <s v="id3tag --song=&quot;Laus Patri (10.10.10.10.)&quot; --artist=&quot;From 'Melodies and Chants'&quot; --comment=&quot;&quot; --album=&quot;Green Book&quot; --track=&quot;491&quot; 491g.mid.mp3"/>
    <s v="https://www.dropbox.com/sh/cx7tus4mgkt9o4n/AACX9p0a5zrXX6lGNQyJHg8ga/491g.mid.mp3?raw=1"/>
  </r>
  <r>
    <x v="317"/>
    <s v="Lavrock"/>
    <s v="8.7.8.7.4.7."/>
    <n v="50"/>
    <m/>
    <s v="LFTBs"/>
    <s v="Red Book"/>
    <x v="210"/>
    <s v="174r.mid"/>
    <s v="174r.mid.mp3"/>
    <m/>
    <s v="Repeat 5th line of each verse"/>
    <n v="197"/>
    <s v="Lavrock"/>
    <s v="id3tag --song=&quot;Lavrock (8.7.8.7.4.7.)&quot; --artist=&quot;Walter R.F. Hope&quot; --comment=&quot;Repeat 5th line of each verse&quot; --album=&quot;Red Book&quot; --track=&quot;174&quot; 174r.mid.mp3"/>
    <s v="https://www.dropbox.com/sh/cx7tus4mgkt9o4n/AADu3xMrx0Ig2FfI1bk7sl7ta/174r.mid.mp3?raw=1"/>
  </r>
  <r>
    <x v="318"/>
    <s v="Leichester"/>
    <s v="C.M."/>
    <n v="19"/>
    <m/>
    <s v="LFTB"/>
    <s v="Green Book"/>
    <x v="220"/>
    <s v="34g.mid"/>
    <s v="34g.mid.mp3"/>
    <m/>
    <m/>
    <n v="530"/>
    <s v="Leichester"/>
    <s v="id3tag --song=&quot;Leichester (C.M.)&quot; --artist=&quot;W. Hurst&quot; --comment=&quot;&quot; --album=&quot;Green Book&quot; --track=&quot;34&quot; 34g.mid.mp3"/>
    <s v="https://www.dropbox.com/sh/cx7tus4mgkt9o4n/AAAQ44_ZEYomir23oaVCNiYXa/34g.mid.mp3?raw=1"/>
  </r>
  <r>
    <x v="319"/>
    <s v="Leipzig"/>
    <s v="S.M."/>
    <n v="22"/>
    <m/>
    <s v="LFTB"/>
    <s v="Green Book"/>
    <x v="165"/>
    <s v="139g.mid"/>
    <s v="139g.mid.mp3"/>
    <m/>
    <m/>
    <n v="435"/>
    <s v="Leipzig"/>
    <s v="id3tag --song=&quot;Leipzig (S.M.)&quot; --artist=&quot;R. Arras&quot; --comment=&quot;&quot; --album=&quot;Green Book&quot; --track=&quot;139&quot; 139g.mid.mp3"/>
    <s v="https://www.dropbox.com/sh/cx7tus4mgkt9o4n/AAABDhzKxCoIal7Rl4tRvbFoa/139g.mid.mp3?raw=1"/>
  </r>
  <r>
    <x v="320"/>
    <s v="Leoni"/>
    <s v="6.6.8.4.6.6.8.4."/>
    <n v="23"/>
    <m/>
    <s v="LFTB"/>
    <s v="Green Book"/>
    <x v="221"/>
    <s v="208g.mid"/>
    <s v="208g.mid.mp3"/>
    <m/>
    <m/>
    <n v="19"/>
    <s v="No matching tune"/>
    <s v="id3tag --song=&quot;Leoni (6.6.8.4.6.6.8.4.)&quot; --artist=&quot;Hebrew Melody&quot; --comment=&quot;&quot; --album=&quot;Green Book&quot; --track=&quot;209&quot; 208g.mid.mp3"/>
    <e v="#N/A"/>
  </r>
  <r>
    <x v="321"/>
    <s v="Light"/>
    <s v="6.6.4.6.6.6.4."/>
    <n v="93"/>
    <m/>
    <s v="LFTBs"/>
    <s v="Red Book"/>
    <x v="222"/>
    <s v="75r.mid"/>
    <s v="75r.mid.mp3"/>
    <m/>
    <m/>
    <n v="198"/>
    <s v="Light"/>
    <s v="id3tag --song=&quot;Light (6.6.4.6.6.6.4.)&quot; --artist=&quot;H. Ford Benson&quot; --comment=&quot;&quot; --album=&quot;Red Book&quot; --track=&quot;75&quot; 75r.mid.mp3"/>
    <s v="https://www.dropbox.com/sh/cx7tus4mgkt9o4n/AACdu9xpNubJ-Jx7uTibjWYua/75r.mid.mp3?raw=1"/>
  </r>
  <r>
    <x v="317"/>
    <s v="Light After Darkness"/>
    <s v="6.4.6.4.6.4.6.4."/>
    <n v="32"/>
    <m/>
    <s v="LFTB"/>
    <s v="Green Book"/>
    <x v="0"/>
    <s v="174g.mid"/>
    <s v="174g.mid.mp3"/>
    <m/>
    <m/>
    <n v="450"/>
    <s v="Light After Darkness"/>
    <s v="id3tag --song=&quot;Light After Darkness (6.4.6.4.6.4.6.4.)&quot; --artist=&quot;Ira D. Sankey&quot; --comment=&quot;&quot; --album=&quot;Green Book&quot; --track=&quot;174&quot; 174g.mid.mp3"/>
    <s v="https://www.dropbox.com/sh/cx7tus4mgkt9o4n/AABYgqvankI0LCEaSoS_ONPfa/174g.mid.mp3?raw=1"/>
  </r>
  <r>
    <x v="322"/>
    <s v="Lilies"/>
    <s v="5.4.5.4.5.4.5.4."/>
    <n v="86"/>
    <m/>
    <s v="LFTB"/>
    <s v="Green Book"/>
    <x v="16"/>
    <s v="166g.mid"/>
    <s v="166g.mid.mp3"/>
    <m/>
    <m/>
    <n v="20"/>
    <s v="Lilies"/>
    <s v="id3tag --song=&quot;Lilies (5.4.5.4.5.4.5.4.)&quot; --artist=&quot;C. Leflaive&quot; --comment=&quot;&quot; --album=&quot;Green Book&quot; --track=&quot;166&quot; 166g.mid.mp3"/>
    <s v="https://www.dropbox.com/sh/cx7tus4mgkt9o4n/AADmOxJMmp4GrgiEAW0lvi9Qa/166g.mid.mp3?raw=1"/>
  </r>
  <r>
    <x v="323"/>
    <s v="Linnwood"/>
    <s v="6.4.6.4.6.4.6.4."/>
    <n v="32"/>
    <m/>
    <s v="LFTBs"/>
    <s v="Red Book"/>
    <x v="223"/>
    <s v="64r.mid"/>
    <s v="64r.mid.mp3"/>
    <m/>
    <m/>
    <n v="199"/>
    <s v="Linnwood"/>
    <s v="id3tag --song=&quot;Linnwood (6.4.6.4.6.4.6.4.)&quot; --artist=&quot;Alastair Millar&quot; --comment=&quot;&quot; --album=&quot;Red Book&quot; --track=&quot;64&quot; 64r.mid.mp3"/>
    <s v="https://www.dropbox.com/sh/cx7tus4mgkt9o4n/AAAMlq2tty99a0hooWoir2lxa/64r.mid.mp3?raw=1"/>
  </r>
  <r>
    <x v="324"/>
    <s v="Little Langdale"/>
    <s v="S.M."/>
    <n v="22"/>
    <m/>
    <s v="LFTBs"/>
    <s v="Red Book"/>
    <x v="224"/>
    <s v="46r.mid"/>
    <s v="46r.mid.mp3"/>
    <n v="1962"/>
    <m/>
    <n v="200"/>
    <s v="Little Langdale"/>
    <s v="id3tag --song=&quot;Little Langdale (S.M.)&quot; --artist=&quot;D. Alan Clarke&quot; --comment=&quot;&quot; --album=&quot;Red Book&quot; --track=&quot;46&quot; 46r.mid.mp3"/>
    <s v="https://www.dropbox.com/sh/cx7tus4mgkt9o4n/AAA-4ehujgqB5IzTZ9ynCUCxa/46r.mid.mp3?raw=1"/>
  </r>
  <r>
    <x v="325"/>
    <s v="Living Spring"/>
    <s v="8.7.8.7. Dactylic"/>
    <n v="80"/>
    <m/>
    <s v="LFTB"/>
    <s v="Green Book"/>
    <x v="46"/>
    <s v="349g.mid"/>
    <s v="349g.mid.mp3"/>
    <n v="1953"/>
    <m/>
    <n v="386"/>
    <s v="Living Spring"/>
    <s v="id3tag --song=&quot;Living Spring (8.7.8.7. Dactylic)&quot; --artist=&quot;Miss E. C. Shanks&quot; --comment=&quot;&quot; --album=&quot;Green Book&quot; --track=&quot;349&quot; 349g.mid.mp3"/>
    <s v="https://www.dropbox.com/sh/cx7tus4mgkt9o4n/AACPKQUlrs1lp84jgZp0LFnma/349g.mid.mp3?raw=1"/>
  </r>
  <r>
    <x v="326"/>
    <s v="Llef"/>
    <s v="L.M."/>
    <n v="16"/>
    <m/>
    <s v="LFTBs"/>
    <s v="Red Book"/>
    <x v="225"/>
    <s v="36r.mid"/>
    <s v="36r.mid.mp3"/>
    <m/>
    <m/>
    <n v="201"/>
    <s v="Llef"/>
    <s v="id3tag --song=&quot;Llef (L.M.)&quot; --artist=&quot;Griffiths H. Jones&quot; --comment=&quot;&quot; --album=&quot;Red Book&quot; --track=&quot;36&quot; 36r.mid.mp3"/>
    <s v="https://www.dropbox.com/sh/cx7tus4mgkt9o4n/AAAlwf_1dKLcDg1gVZwuZzgIa/36r.mid.mp3?raw=1"/>
  </r>
  <r>
    <x v="315"/>
    <s v="Lloyd"/>
    <s v="C.M."/>
    <n v="19"/>
    <m/>
    <s v="LFTB"/>
    <s v="Green Book"/>
    <x v="226"/>
    <s v="35g.mid"/>
    <s v="35g.mid.mp3"/>
    <m/>
    <m/>
    <n v="573"/>
    <s v="Lloyd"/>
    <s v="id3tag --song=&quot;Lloyd (C.M.)&quot; --artist=&quot;C. Howard&quot; --comment=&quot;&quot; --album=&quot;Green Book&quot; --track=&quot;35&quot; 35g.mid.mp3"/>
    <s v="https://www.dropbox.com/sh/cx7tus4mgkt9o4n/AAD9ZRhkbe4WMGN1jCElGWhRa/35g.mid.mp3?raw=1"/>
  </r>
  <r>
    <x v="161"/>
    <s v="Logos"/>
    <s v="9.8.9.8.9.8.9.8."/>
    <n v="59"/>
    <m/>
    <s v="LFTBs"/>
    <s v="Red Book"/>
    <x v="28"/>
    <s v="234r.mid"/>
    <s v="234r.mid.mp3"/>
    <m/>
    <m/>
    <n v="202"/>
    <s v="Logos"/>
    <s v="id3tag --song=&quot;Logos (9.8.9.8.9.8.9.8.)&quot; --artist=&quot;E. Carren&quot; --comment=&quot;&quot; --album=&quot;Red Book&quot; --track=&quot;234&quot; 234r.mid.mp3"/>
    <s v="https://www.dropbox.com/sh/cx7tus4mgkt9o4n/AAAmTTzAbTzPH2N52slmoAYSa/234r.mid.mp3?raw=1"/>
  </r>
  <r>
    <x v="327"/>
    <s v="Longstaff"/>
    <s v="11.11.11.11."/>
    <n v="31"/>
    <m/>
    <s v="LFTB"/>
    <s v="Green Book"/>
    <x v="18"/>
    <s v="535g.mid"/>
    <s v="535g.mid.mp3"/>
    <m/>
    <m/>
    <n v="561"/>
    <s v="Longstaff"/>
    <s v="id3tag --song=&quot;Longstaff (11.11.11.11.)&quot; --artist=&quot;G. C. Stebbins&quot; --comment=&quot;&quot; --album=&quot;Green Book&quot; --track=&quot;535&quot; 535g.mid.mp3"/>
    <s v="https://www.dropbox.com/sh/cx7tus4mgkt9o4n/AACJ0RsgJb50W73ie5mf6EcPa/535g.mid.mp3?raw=1"/>
  </r>
  <r>
    <x v="328"/>
    <s v="Look Away To Jesus"/>
    <s v="11.11.11.11. Trochaic"/>
    <n v="64"/>
    <m/>
    <s v="LFTB"/>
    <s v="Green Book"/>
    <x v="27"/>
    <s v="540g.mid"/>
    <s v="540g.mid.mp3"/>
    <m/>
    <m/>
    <n v="751"/>
    <s v="Look Away To Jesus"/>
    <s v="id3tag --song=&quot;Look Away To Jesus (11.11.11.11. Trochaic)&quot; --artist=&quot;P. P. Bliss&quot; --comment=&quot;&quot; --album=&quot;Green Book&quot; --track=&quot;540&quot; 540g.mid.mp3"/>
    <s v="https://www.dropbox.com/sh/cx7tus4mgkt9o4n/AAD0aDWGK-6MhzajcsJ-5Knsa/540g.mid.mp3?raw=1"/>
  </r>
  <r>
    <x v="329"/>
    <s v="Lord Jesus Come"/>
    <s v="4.6.8.8.4."/>
    <n v="74"/>
    <m/>
    <s v="LFTB"/>
    <s v="Green Book"/>
    <x v="9"/>
    <s v="162g.mid"/>
    <s v="162g.mid.mp3"/>
    <m/>
    <m/>
    <n v="21"/>
    <s v="Lord Jesus Come"/>
    <s v="id3tag --song=&quot;Lord Jesus Come (4.6.8.8.4.)&quot; --artist=&quot;Unknown&quot; --comment=&quot;&quot; --album=&quot;Green Book&quot; --track=&quot;162&quot; 162g.mid.mp3"/>
    <s v="https://www.dropbox.com/sh/cx7tus4mgkt9o4n/AACD4LDvncT8Z42wwECx78Afa/162g.mid.mp3?raw=1"/>
  </r>
  <r>
    <x v="330"/>
    <s v="Lord of Glory"/>
    <s v="8.7.8.7.7.7."/>
    <n v="77"/>
    <m/>
    <s v="LFTB"/>
    <s v="Green Book"/>
    <x v="227"/>
    <s v="369g.mid"/>
    <s v="369g.mid.mp3"/>
    <m/>
    <s v="From 'Precious Saviour'"/>
    <n v="512"/>
    <s v="Lord of Glory"/>
    <s v="id3tag --song=&quot;Lord of Glory (8.7.8.7.7.7.)&quot; --artist=&quot;Miss. S. M. Walker&quot; --comment=&quot;From 'Precious Saviour'&quot; --album=&quot;Green Book&quot; --track=&quot;369&quot; 369g.mid.mp3"/>
    <s v="https://www.dropbox.com/sh/cx7tus4mgkt9o4n/AAAOgB3zWwV4paHMcigQDUPWa/369g.mid.mp3?raw=1"/>
  </r>
  <r>
    <x v="140"/>
    <s v="Lorraine"/>
    <s v="7.6.7.6.7.6.7.6."/>
    <n v="34"/>
    <m/>
    <s v="LFTB"/>
    <s v="Green Book"/>
    <x v="228"/>
    <s v="249g.mid"/>
    <s v="249g.mid.mp3"/>
    <m/>
    <m/>
    <n v="634"/>
    <s v="Lorraine"/>
    <s v="id3tag --song=&quot;Lorraine (7.6.7.6.7.6.7.6.)&quot; --artist=&quot;Mrs. F. Houghton&quot; --comment=&quot;&quot; --album=&quot;Green Book&quot; --track=&quot;249&quot; 249g.mid.mp3"/>
    <s v="https://www.dropbox.com/sh/cx7tus4mgkt9o4n/AAC_Ios8o06i7JnXIsVXHrPia/249g.mid.mp3?raw=1"/>
  </r>
  <r>
    <x v="331"/>
    <s v="Love Divine (Stainer)"/>
    <s v="8.7.8.7."/>
    <n v="24"/>
    <m/>
    <s v="LFTB"/>
    <s v="Green Book"/>
    <x v="21"/>
    <s v="327g.mid"/>
    <s v="327g.mid.mp3"/>
    <m/>
    <m/>
    <n v="499"/>
    <s v="Love Divine (Stainer)"/>
    <s v="id3tag --song=&quot;Love Divine (Stainer) (8.7.8.7.)&quot; --artist=&quot;Sir John Stainer&quot; --comment=&quot;&quot; --album=&quot;Green Book&quot; --track=&quot;327&quot; 327g.mid.mp3"/>
    <s v="https://www.dropbox.com/sh/cx7tus4mgkt9o4n/AAA_pHhEUK23-zPqPYif4Mg0a/327g.mid.mp3?raw=1"/>
  </r>
  <r>
    <x v="332"/>
    <s v="Love Divine (Zundel)"/>
    <s v="8.7.8.7.8.7.8.7."/>
    <n v="25"/>
    <m/>
    <s v="LFTB"/>
    <s v="Green Book"/>
    <x v="229"/>
    <s v="388g.mid"/>
    <s v="388g.mid.mp3"/>
    <m/>
    <m/>
    <n v="676"/>
    <s v="Love Divine (Zundel)"/>
    <s v="id3tag --song=&quot;Love Divine (Zundel) (8.7.8.7.8.7.8.7.)&quot; --artist=&quot;J. Zundel&quot; --comment=&quot;&quot; --album=&quot;Green Book&quot; --track=&quot;388&quot; 388g.mid.mp3"/>
    <s v="https://www.dropbox.com/sh/cx7tus4mgkt9o4n/AAB5_TsORzwvWtnClsDzjf99a/388g.mid.mp3?raw=1"/>
  </r>
  <r>
    <x v="333"/>
    <s v="Love's Appeal"/>
    <s v="10.10.10.10. Dactylic"/>
    <n v="63"/>
    <m/>
    <s v="LFTBs"/>
    <s v="Red Book"/>
    <x v="34"/>
    <s v="259r.mid"/>
    <s v="259r.mid.mp3"/>
    <n v="1952"/>
    <m/>
    <n v="203"/>
    <s v="Love's Appeal"/>
    <s v="id3tag --song=&quot;Love's Appeal (10.10.10.10. Dactylic)&quot; --artist=&quot;Gordon Millar&quot; --comment=&quot;&quot; --album=&quot;Red Book&quot; --track=&quot;259&quot; 259r.mid.mp3"/>
    <s v="https://www.dropbox.com/sh/cx7tus4mgkt9o4n/AAAfzsJ4o0Q6M_qrecmcB_s7a/259r.mid.mp3?raw=1"/>
  </r>
  <r>
    <x v="274"/>
    <s v="Love's Return"/>
    <s v="10.10.4.10.10.4."/>
    <n v="18"/>
    <m/>
    <s v="LFTBs"/>
    <s v="Red Book"/>
    <x v="230"/>
    <s v="246r.mid"/>
    <s v="246r.mid.mp3"/>
    <m/>
    <m/>
    <n v="204"/>
    <s v="Love's Return"/>
    <s v="id3tag --song=&quot;Love's Return (10.10.4.10.10.4.)&quot; --artist=&quot;P.S. Pope&quot; --comment=&quot;&quot; --album=&quot;Red Book&quot; --track=&quot;246&quot; 246r.mid.mp3"/>
    <s v="https://www.dropbox.com/sh/cx7tus4mgkt9o4n/AAATot7cU6wis9FJdft7EVPIa/246r.mid.mp3?raw=1"/>
  </r>
  <r>
    <x v="305"/>
    <s v="Lowry"/>
    <s v="6.4.6.4.6.6.6.4."/>
    <n v="44"/>
    <m/>
    <s v="LFTB"/>
    <s v="Green Book"/>
    <x v="207"/>
    <s v="178g.mid"/>
    <s v="178g.mid.mp3"/>
    <m/>
    <m/>
    <n v="360"/>
    <s v="Lowry"/>
    <s v="id3tag --song=&quot;Lowry (6.4.6.4.6.6.6.4.)&quot; --artist=&quot;R. Lowry&quot; --comment=&quot;&quot; --album=&quot;Green Book&quot; --track=&quot;178&quot; 178g.mid.mp3"/>
    <s v="https://www.dropbox.com/sh/cx7tus4mgkt9o4n/AABqicu8xqov7C5PU3gcs3W7a/178g.mid.mp3?raw=1"/>
  </r>
  <r>
    <x v="334"/>
    <s v="Luther"/>
    <s v="8.7.8.7.8.7.7."/>
    <n v="49"/>
    <m/>
    <s v="LFTB"/>
    <s v="Green Book"/>
    <x v="231"/>
    <s v="371g.mid"/>
    <s v="371g.mid.mp3"/>
    <m/>
    <m/>
    <n v="22"/>
    <s v="Luther"/>
    <s v="id3tag --song=&quot;Luther (8.7.8.7.8.7.7.)&quot; --artist=&quot;Martin Luther&quot; --comment=&quot;&quot; --album=&quot;Green Book&quot; --track=&quot;371&quot; 371g.mid.mp3"/>
    <s v="https://www.dropbox.com/sh/cx7tus4mgkt9o4n/AADKZSCRTlApGj3edcPSJ1Pba/371g.mid.mp3?raw=1"/>
  </r>
  <r>
    <x v="308"/>
    <s v="Luther's Chant"/>
    <s v="L.M."/>
    <n v="16"/>
    <m/>
    <s v="LFTB"/>
    <s v="Green Book"/>
    <x v="231"/>
    <s v="107g.mid"/>
    <s v="107g.mid.mp3"/>
    <m/>
    <m/>
    <n v="428"/>
    <s v="Luther's Chant"/>
    <s v="id3tag --song=&quot;Luther's Chant (L.M.)&quot; --artist=&quot;Martin Luther&quot; --comment=&quot;&quot; --album=&quot;Green Book&quot; --track=&quot;107&quot; 107g.mid.mp3"/>
    <s v="https://www.dropbox.com/sh/cx7tus4mgkt9o4n/AADnlkE8ePlWorDdXsVprYUma/107g.mid.mp3?raw=1"/>
  </r>
  <r>
    <x v="335"/>
    <s v="Lux Benigna"/>
    <s v="10.4.10.4.10.10."/>
    <n v="45"/>
    <m/>
    <s v="LFTB"/>
    <s v="Green Book"/>
    <x v="19"/>
    <s v="457g.mid"/>
    <s v="457g.mid.mp3"/>
    <m/>
    <m/>
    <n v="713"/>
    <s v="Lux Benigna"/>
    <s v="id3tag --song=&quot;Lux Benigna (10.4.10.4.10.10.)&quot; --artist=&quot;Dr. J. B. Dykes&quot; --comment=&quot;&quot; --album=&quot;Green Book&quot; --track=&quot;457&quot; 457g.mid.mp3"/>
    <s v="https://www.dropbox.com/sh/cx7tus4mgkt9o4n/AABTMVdfpo_68UvUJAZUtm-ea/457g.mid.mp3?raw=1"/>
  </r>
  <r>
    <x v="336"/>
    <s v="Lux Eoi"/>
    <s v="8.7.8.7.8.7.8.7."/>
    <n v="25"/>
    <m/>
    <s v="LFTB"/>
    <s v="Green Book"/>
    <x v="68"/>
    <s v="389g.mid"/>
    <s v="389g.mid.mp3"/>
    <m/>
    <m/>
    <n v="677"/>
    <s v="Lux Eoi"/>
    <s v="id3tag --song=&quot;Lux Eoi (8.7.8.7.8.7.8.7.)&quot; --artist=&quot;Sir Arthur S. Sullivan&quot; --comment=&quot;&quot; --album=&quot;Green Book&quot; --track=&quot;389&quot; 389g.mid.mp3"/>
    <s v="https://www.dropbox.com/sh/cx7tus4mgkt9o4n/AABGRvt-D17qW685sM6GeIPea/389g.mid.mp3?raw=1"/>
  </r>
  <r>
    <x v="63"/>
    <s v="Lux Mundi"/>
    <s v="C.M.D."/>
    <n v="61"/>
    <m/>
    <s v="LFTB"/>
    <s v="Green Book"/>
    <x v="16"/>
    <s v="81g.mid"/>
    <s v="81g.mid.mp3"/>
    <m/>
    <m/>
    <n v="340"/>
    <s v="Lux Mundi"/>
    <s v="id3tag --song=&quot;Lux Mundi (C.M.D.)&quot; --artist=&quot;C. Leflaive&quot; --comment=&quot;&quot; --album=&quot;Green Book&quot; --track=&quot;81&quot; 81g.mid.mp3"/>
    <s v="https://www.dropbox.com/sh/cx7tus4mgkt9o4n/AAAN9bgcwPSb6FJmq_1f47dla/81g.mid.mp3?raw=1"/>
  </r>
  <r>
    <x v="326"/>
    <s v="Lydia"/>
    <s v="C.M."/>
    <n v="19"/>
    <m/>
    <s v="LFTB"/>
    <s v="Green Book"/>
    <x v="232"/>
    <s v="36g.mid"/>
    <s v="36g.mid.mp3"/>
    <m/>
    <m/>
    <n v="574"/>
    <s v="Lydia"/>
    <s v="id3tag --song=&quot;Lydia (C.M.)&quot; --artist=&quot;T. Philips&quot; --comment=&quot;&quot; --album=&quot;Green Book&quot; --track=&quot;36&quot; 36g.mid.mp3"/>
    <s v="https://www.dropbox.com/sh/cx7tus4mgkt9o4n/AADS0Q87qjL6Ak-baGLUV3N4a/36g.mid.mp3?raw=1"/>
  </r>
  <r>
    <x v="337"/>
    <s v="Lyndhurst"/>
    <s v="11.11.11.11. Trochaic"/>
    <n v="64"/>
    <m/>
    <s v="LFTB"/>
    <s v="Green Book"/>
    <x v="233"/>
    <s v="541g.mid"/>
    <s v="541g.mid.mp3"/>
    <m/>
    <m/>
    <n v="411"/>
    <s v="Lyndhurst"/>
    <s v="id3tag --song=&quot;Lyndhurst (11.11.11.11. Trochaic)&quot; --artist=&quot;F. W. Hunt&quot; --comment=&quot;&quot; --album=&quot;Green Book&quot; --track=&quot;541&quot; 541g.mid.mp3"/>
    <s v="https://www.dropbox.com/sh/cx7tus4mgkt9o4n/AAAUdJV0r0ocqXimnA5ToKuOa/541g.mid.mp3?raw=1"/>
  </r>
  <r>
    <x v="338"/>
    <s v="Lynton (Willey)"/>
    <s v="8.5.8.5."/>
    <n v="56"/>
    <m/>
    <s v="LFTB"/>
    <s v="Green Book"/>
    <x v="107"/>
    <s v="296g.mid"/>
    <s v="296g.mid.mp3"/>
    <m/>
    <m/>
    <n v="486"/>
    <s v="Lynton (Willey)"/>
    <s v="id3tag --song=&quot;Lynton (Willey) (8.5.8.5.)&quot; --artist=&quot;T. Willey&quot; --comment=&quot;&quot; --album=&quot;Green Book&quot; --track=&quot;296&quot; 296g.mid.mp3"/>
    <s v="https://www.dropbox.com/sh/cx7tus4mgkt9o4n/AADpEM6ZORUJcrMmZ_71-cAta/296g.mid.mp3?raw=1"/>
  </r>
  <r>
    <x v="163"/>
    <s v="Magdalena"/>
    <s v="7.6.7.6."/>
    <n v="41"/>
    <m/>
    <s v="LFTBs"/>
    <s v="Red Book"/>
    <x v="42"/>
    <s v="96r.mid"/>
    <s v="96r.mid.mp3"/>
    <m/>
    <m/>
    <n v="205"/>
    <s v="Magdalena"/>
    <s v="id3tag --song=&quot;Magdalena (7.6.7.6.)&quot; --artist=&quot;German Melody&quot; --comment=&quot;&quot; --album=&quot;Red Book&quot; --track=&quot;96&quot; 96r.mid.mp3"/>
    <s v="https://www.dropbox.com/sh/cx7tus4mgkt9o4n/AACpm7t9k_1s860nOm8hFbura/96r.mid.mp3?raw=1"/>
  </r>
  <r>
    <x v="339"/>
    <s v="Mainzer"/>
    <s v="L.M."/>
    <n v="16"/>
    <m/>
    <s v="LFTB"/>
    <s v="Green Book"/>
    <x v="234"/>
    <s v="108g.mid"/>
    <s v="108g.mid.mp3"/>
    <m/>
    <m/>
    <n v="429"/>
    <s v="Mainzer"/>
    <s v="id3tag --song=&quot;Mainzer (L.M.)&quot; --artist=&quot;J. Mainzer&quot; --comment=&quot;&quot; --album=&quot;Green Book&quot; --track=&quot;108&quot; 108g.mid.mp3"/>
    <s v="https://www.dropbox.com/sh/cx7tus4mgkt9o4n/AAD6Lq8QVsOfnpLFYxnP6ejBa/108g.mid.mp3?raw=1"/>
  </r>
  <r>
    <x v="340"/>
    <s v="Man of Sorrows"/>
    <s v="7.7.7.8."/>
    <n v="88"/>
    <m/>
    <s v="LFTB"/>
    <s v="Green Book"/>
    <x v="235"/>
    <s v="281g.mid"/>
    <s v="281g.mid.mp3"/>
    <m/>
    <m/>
    <n v="23"/>
    <s v="Man of Sorrows"/>
    <s v="id3tag --song=&quot;Man of Sorrows (7.7.7.8.)&quot; --artist=&quot;P.P. Bliss&quot; --comment=&quot;&quot; --album=&quot;Green Book&quot; --track=&quot;281&quot; 281g.mid.mp3"/>
    <s v="https://www.dropbox.com/sh/cx7tus4mgkt9o4n/AAAuHznMzc8Qr6gU7wIeBEQ8a/281g.mid.mp3?raw=1"/>
  </r>
  <r>
    <x v="341"/>
    <s v="Mannheim"/>
    <s v="8.7.8.7.4.7."/>
    <n v="50"/>
    <m/>
    <s v="LFTB"/>
    <s v="Green Book"/>
    <x v="236"/>
    <s v="360g.mid"/>
    <s v="360g.mid.mp3"/>
    <m/>
    <m/>
    <n v="507"/>
    <s v="Mannheim"/>
    <s v="id3tag --song=&quot;Mannheim (8.7.8.7.4.7.)&quot; --artist=&quot;Dr. F. Filitz&quot; --comment=&quot;&quot; --album=&quot;Green Book&quot; --track=&quot;360&quot; 360g.mid.mp3"/>
    <s v="https://www.dropbox.com/sh/cx7tus4mgkt9o4n/AAAQlWUlnKQvtupyNuE3wmLya/360g.mid.mp3?raw=1"/>
  </r>
  <r>
    <x v="176"/>
    <s v="Mansewood"/>
    <s v="9.8.9.8.9.8.9.8."/>
    <n v="59"/>
    <m/>
    <s v="LFTBs"/>
    <s v="Red Book"/>
    <x v="34"/>
    <s v="235r.mid"/>
    <s v="235r.mid.mp3"/>
    <m/>
    <m/>
    <n v="206"/>
    <s v="Mansewood"/>
    <s v="id3tag --song=&quot;Mansewood (9.8.9.8.9.8.9.8.)&quot; --artist=&quot;Gordon Millar&quot; --comment=&quot;&quot; --album=&quot;Red Book&quot; --track=&quot;235&quot; 235r.mid.mp3"/>
    <s v="https://www.dropbox.com/sh/cx7tus4mgkt9o4n/AABrXPJPwlt8yEiMtydSjuXsa/235r.mid.mp3?raw=1"/>
  </r>
  <r>
    <x v="342"/>
    <s v="Marching"/>
    <s v="8.7.8.7."/>
    <n v="24"/>
    <m/>
    <s v="LFTB"/>
    <s v="Green Book"/>
    <x v="237"/>
    <s v="328g.mid"/>
    <s v="328g.mid.mp3"/>
    <n v="1876"/>
    <m/>
    <n v="500"/>
    <s v="Marching"/>
    <s v="id3tag --song=&quot;Marching (8.7.8.7.)&quot; --artist=&quot;M. Shaw&quot; --comment=&quot;&quot; --album=&quot;Green Book&quot; --track=&quot;328&quot; 328g.mid.mp3"/>
    <s v="https://www.dropbox.com/sh/cx7tus4mgkt9o4n/AAD9BTS-NUdYVM2SbAkIhUkwa/328g.mid.mp3?raw=1"/>
  </r>
  <r>
    <x v="96"/>
    <s v="Marion"/>
    <s v="12.13.12.10."/>
    <n v="48"/>
    <m/>
    <s v="LFTBs"/>
    <s v="Red Book"/>
    <x v="138"/>
    <s v="289r.mid"/>
    <s v="289r.mid.mp3"/>
    <m/>
    <m/>
    <n v="207"/>
    <s v="Marion"/>
    <s v="id3tag --song=&quot;Marion (12.13.12.10.)&quot; --artist=&quot;E.J. Judd&quot; --comment=&quot;&quot; --album=&quot;Red Book&quot; --track=&quot;289&quot; 289r.mid.mp3"/>
    <s v="https://www.dropbox.com/sh/cx7tus4mgkt9o4n/AABOsLgrMBefSzh8WfL4ffyBa/289r.mid.mp3?raw=1"/>
  </r>
  <r>
    <x v="343"/>
    <s v="Marston"/>
    <s v="10.10.10.10."/>
    <n v="21"/>
    <m/>
    <s v="LFTBs"/>
    <s v="Red Book"/>
    <x v="238"/>
    <s v="253r.mid"/>
    <s v="253r.mid.mp3"/>
    <m/>
    <m/>
    <n v="208"/>
    <s v="Marston"/>
    <s v="id3tag --song=&quot;Marston (10.10.10.10.)&quot; --artist=&quot;Mrs. A.L. Bloomfield&quot; --comment=&quot;&quot; --album=&quot;Red Book&quot; --track=&quot;253&quot; 253r.mid.mp3"/>
    <s v="https://www.dropbox.com/sh/cx7tus4mgkt9o4n/AADwZi-ZP78DOWk5qWD0aSXFa/253r.mid.mp3?raw=1"/>
  </r>
  <r>
    <x v="344"/>
    <s v="Martyrdom"/>
    <s v="C.M."/>
    <n v="19"/>
    <m/>
    <s v="LFTB"/>
    <s v="Green Book"/>
    <x v="239"/>
    <s v="37g.mid"/>
    <s v="37g.mid.mp3"/>
    <m/>
    <m/>
    <n v="575"/>
    <s v="Martyrdom"/>
    <s v="id3tag --song=&quot;Martyrdom (C.M.)&quot; --artist=&quot;H. Wilson&quot; --comment=&quot;&quot; --album=&quot;Green Book&quot; --track=&quot;37&quot; 37g.mid.mp3"/>
    <s v="https://www.dropbox.com/sh/cx7tus4mgkt9o4n/AAAB0_x9hiWqplLHcdQP6i2Sa/37g.mid.mp3?raw=1"/>
  </r>
  <r>
    <x v="130"/>
    <s v="Mary"/>
    <s v="C.M.D."/>
    <n v="61"/>
    <m/>
    <s v="LFTB"/>
    <s v="Green Book"/>
    <x v="240"/>
    <s v="82g.mid"/>
    <s v="82g.mid.mp3"/>
    <n v="1941"/>
    <m/>
    <n v="423"/>
    <s v="Mary"/>
    <s v="id3tag --song=&quot;Mary (C.M.D.)&quot; --artist=&quot;D. G. Spary&quot; --comment=&quot;&quot; --album=&quot;Green Book&quot; --track=&quot;82&quot; 82g.mid.mp3"/>
    <s v="https://www.dropbox.com/sh/cx7tus4mgkt9o4n/AABYMStiKegQ_bWWHAMiSN6qa/82g.mid.mp3?raw=1"/>
  </r>
  <r>
    <x v="345"/>
    <s v="Maryfield"/>
    <s v="8.7.8.7.4.4.7. Iambic"/>
    <n v="76"/>
    <m/>
    <s v="LFTB"/>
    <s v="Green Book"/>
    <x v="11"/>
    <s v="356.mid"/>
    <s v="356.mid.mp3"/>
    <m/>
    <m/>
    <n v="24"/>
    <s v="Maryfield"/>
    <s v="id3tag --song=&quot;Maryfield (8.7.8.7.4.4.7. Iambic)&quot; --artist=&quot;T. Collins&quot; --comment=&quot;&quot; --album=&quot;Green Book&quot; --track=&quot;356&quot; 356.mid.mp3"/>
    <s v="https://www.dropbox.com/sh/cx7tus4mgkt9o4n/AADFjRfi3OnOiGu35JQ9uToRa/356.mid.mp3?raw=1"/>
  </r>
  <r>
    <x v="346"/>
    <s v="Maryton"/>
    <s v="L.M."/>
    <n v="16"/>
    <m/>
    <s v="LFTB"/>
    <s v="Green Book"/>
    <x v="241"/>
    <s v="109g.mid"/>
    <s v="109g.mid.mp3"/>
    <m/>
    <m/>
    <n v="540"/>
    <s v="Maryton"/>
    <s v="id3tag --song=&quot;Maryton (L.M.)&quot; --artist=&quot;H. P. Smith&quot; --comment=&quot;&quot; --album=&quot;Green Book&quot; --track=&quot;109&quot; 109g.mid.mp3"/>
    <s v="https://www.dropbox.com/sh/cx7tus4mgkt9o4n/AAAVJy0xwbRxzUkKsY6kucGBa/109g.mid.mp3?raw=1"/>
  </r>
  <r>
    <x v="347"/>
    <s v="Maschil"/>
    <s v="8.7.8.7."/>
    <n v="24"/>
    <m/>
    <s v="LFTBs"/>
    <s v="Red Book"/>
    <x v="28"/>
    <s v="153r.mid"/>
    <s v="153r.mid.mp3"/>
    <m/>
    <m/>
    <n v="209"/>
    <s v="Maschil"/>
    <s v="id3tag --song=&quot;Maschil (8.7.8.7.)&quot; --artist=&quot;E. Carren&quot; --comment=&quot;&quot; --album=&quot;Red Book&quot; --track=&quot;153&quot; 153r.mid.mp3"/>
    <s v="https://www.dropbox.com/sh/cx7tus4mgkt9o4n/AACf0vYlN_ZatUEH4RzAhR-la/153r.mid.mp3?raw=1"/>
  </r>
  <r>
    <x v="348"/>
    <s v="Maze Hill"/>
    <s v="6.6.6.6.8.8."/>
    <n v="51"/>
    <m/>
    <s v="LFTBs"/>
    <s v="Red Book"/>
    <x v="242"/>
    <s v="85r.mid"/>
    <s v="85r.mid.mp3"/>
    <m/>
    <m/>
    <n v="210"/>
    <s v="Maze Hill"/>
    <s v="id3tag --song=&quot;Maze Hill (6.6.6.6.8.8.)&quot; --artist=&quot;Charles Nixon&quot; --comment=&quot;&quot; --album=&quot;Red Book&quot; --track=&quot;85&quot; 85r.mid.mp3"/>
    <s v="https://www.dropbox.com/sh/cx7tus4mgkt9o4n/AAC-cU_tXvur4O45V0weyDLia/85r.mid.mp3?raw=1"/>
  </r>
  <r>
    <x v="344"/>
    <s v="Meira"/>
    <s v="L.M."/>
    <n v="16"/>
    <m/>
    <s v="LFTBs"/>
    <s v="Red Book"/>
    <x v="215"/>
    <s v="37r.mid"/>
    <s v="37r.mid.mp3"/>
    <m/>
    <m/>
    <n v="211"/>
    <s v="Meira"/>
    <s v="id3tag --song=&quot;Meira (L.M.)&quot; --artist=&quot;Miss A.H. Lee&quot; --comment=&quot;&quot; --album=&quot;Red Book&quot; --track=&quot;37&quot; 37r.mid.mp3"/>
    <s v="https://www.dropbox.com/sh/cx7tus4mgkt9o4n/AABQaMxuCfro9ZVxaKDQbAQXa/37r.mid.mp3?raw=1"/>
  </r>
  <r>
    <x v="349"/>
    <s v="Melcombe"/>
    <s v="L.M."/>
    <n v="16"/>
    <m/>
    <s v="LFTB"/>
    <s v="Green Book"/>
    <x v="26"/>
    <s v="110g.mid"/>
    <s v="110g.mid.mp3"/>
    <m/>
    <m/>
    <n v="541"/>
    <s v="Melcombe"/>
    <s v="id3tag --song=&quot;Melcombe (L.M.)&quot; --artist=&quot;S. Webbe&quot; --comment=&quot;&quot; --album=&quot;Green Book&quot; --track=&quot;110&quot; 110g.mid.mp3"/>
    <s v="https://www.dropbox.com/sh/cx7tus4mgkt9o4n/AAATV4ZwCoNmI-dTofeYdyXHa/110g.mid.mp3?raw=1"/>
  </r>
  <r>
    <x v="350"/>
    <s v="Melita"/>
    <s v="8.8.8.8.8.8."/>
    <n v="26"/>
    <m/>
    <s v="LFTB"/>
    <s v="Green Book"/>
    <x v="19"/>
    <s v="434g.mid"/>
    <s v="434g.mid.mp3"/>
    <m/>
    <m/>
    <n v="396"/>
    <s v="Melita"/>
    <s v="id3tag --song=&quot;Melita (8.8.8.8.8.8.)&quot; --artist=&quot;Dr. J. B. Dykes&quot; --comment=&quot;&quot; --album=&quot;Green Book&quot; --track=&quot;434&quot; 434g.mid.mp3"/>
    <s v="https://www.dropbox.com/sh/cx7tus4mgkt9o4n/AAD9fje3Vb_zta92WmDe8YFNa/434g.mid.mp3?raw=1"/>
  </r>
  <r>
    <x v="351"/>
    <s v="Memucan"/>
    <s v="7.6.7.6.8.8."/>
    <n v="81"/>
    <m/>
    <s v="LFTBs"/>
    <s v="Red Book"/>
    <x v="46"/>
    <s v="111r.mid"/>
    <s v="111r.mid.mp3"/>
    <m/>
    <m/>
    <n v="212"/>
    <s v="Memucan"/>
    <s v="id3tag --song=&quot;Memucan (7.6.7.6.8.8.)&quot; --artist=&quot;Miss E. C. Shanks&quot; --comment=&quot;&quot; --album=&quot;Red Book&quot; --track=&quot;111&quot; 111r.mid.mp3"/>
    <s v="https://www.dropbox.com/sh/cx7tus4mgkt9o4n/AACAYGt1B36R0naiNYNPrDqca/111r.mid.mp3?raw=1"/>
  </r>
  <r>
    <x v="352"/>
    <s v="Mercedem"/>
    <s v="10.10.10.10."/>
    <n v="21"/>
    <m/>
    <s v="LFTB"/>
    <s v="Green Book"/>
    <x v="243"/>
    <s v="493g.mid"/>
    <s v="493g.mid.mp3"/>
    <n v="1945"/>
    <m/>
    <n v="403"/>
    <s v="Mercedem"/>
    <s v="id3tag --song=&quot;Mercedem (10.10.10.10.)&quot; --artist=&quot;A. F. Gilbert&quot; --comment=&quot;&quot; --album=&quot;Green Book&quot; --track=&quot;493&quot; 493g.mid.mp3"/>
    <s v="https://www.dropbox.com/sh/cx7tus4mgkt9o4n/AACYS4Cc-AuIb2YoFEtn3wa6a/493g.mid.mp3?raw=1"/>
  </r>
  <r>
    <x v="353"/>
    <s v="Meredith"/>
    <s v="8.7.8.7. Dactylic"/>
    <n v="80"/>
    <m/>
    <s v="LFTBs"/>
    <s v="Red Book"/>
    <x v="244"/>
    <s v="163r.mid"/>
    <s v="163r.mid.mp3"/>
    <m/>
    <m/>
    <n v="213"/>
    <s v="Meredith"/>
    <s v="id3tag --song=&quot;Meredith (8.7.8.7. Dactylic)&quot; --artist=&quot;Mrs. C.T. McCorkell&quot; --comment=&quot;&quot; --album=&quot;Red Book&quot; --track=&quot;163&quot; 163r.mid.mp3"/>
    <s v="https://www.dropbox.com/sh/cx7tus4mgkt9o4n/AADmf3OPDWMRWp6tdPX7ghrMa/163r.mid.mp3?raw=1"/>
  </r>
  <r>
    <x v="354"/>
    <s v="Merton"/>
    <s v="C.M."/>
    <n v="19"/>
    <m/>
    <s v="LFTB"/>
    <s v="Green Book"/>
    <x v="113"/>
    <s v="38g.mid"/>
    <s v="38g.mid.mp3"/>
    <m/>
    <m/>
    <n v="576"/>
    <s v="Merton"/>
    <s v="id3tag --song=&quot;Merton (C.M.)&quot; --artist=&quot;From 'Geistliche Leider'&quot; --comment=&quot;&quot; --album=&quot;Green Book&quot; --track=&quot;38&quot; 38g.mid.mp3"/>
    <s v="https://www.dropbox.com/sh/cx7tus4mgkt9o4n/AAA6ki2zGFizOTulyh65YBySa/38g.mid.mp3?raw=1"/>
  </r>
  <r>
    <x v="254"/>
    <s v="Mighty One"/>
    <s v="6.6.6.6.8.8."/>
    <n v="51"/>
    <m/>
    <s v="LFTB"/>
    <s v="Green Book"/>
    <x v="245"/>
    <s v="200g.mid"/>
    <s v="200g.mid.mp3"/>
    <m/>
    <m/>
    <n v="362"/>
    <s v="Mighty One"/>
    <s v="id3tag --song=&quot;Mighty One (6.6.6.6.8.8.)&quot; --artist=&quot;G. F. Root&quot; --comment=&quot;&quot; --album=&quot;Green Book&quot; --track=&quot;200&quot; 200g.mid.mp3"/>
    <s v="https://www.dropbox.com/sh/cx7tus4mgkt9o4n/AACVlQaBi9x3pSQiPCwdltnua/200g.mid.mp3?raw=1"/>
  </r>
  <r>
    <x v="355"/>
    <s v="Miles' Lane"/>
    <s v="C.M."/>
    <n v="19"/>
    <m/>
    <s v="LFTB"/>
    <s v="Green Book"/>
    <x v="246"/>
    <s v="39g.mid"/>
    <s v="39g.mid.mp3"/>
    <m/>
    <m/>
    <n v="577"/>
    <s v="Miles' Lane"/>
    <s v="id3tag --song=&quot;Miles' Lane (C.M.)&quot; --artist=&quot;W. Shrubsole&quot; --comment=&quot;&quot; --album=&quot;Green Book&quot; --track=&quot;39&quot; 39g.mid.mp3"/>
    <s v="https://www.dropbox.com/sh/cx7tus4mgkt9o4n/AAAEHJl5QVVmci0qJ864iayoa/39g.mid.mp3?raw=1"/>
  </r>
  <r>
    <x v="285"/>
    <s v="Millenium"/>
    <s v="6.6.6.6.8.8."/>
    <n v="51"/>
    <m/>
    <s v="LFTB"/>
    <s v="Green Book"/>
    <x v="9"/>
    <s v="201g.mid"/>
    <s v="201g.mid.mp3"/>
    <m/>
    <m/>
    <n v="622"/>
    <s v="Millenium"/>
    <s v="id3tag --song=&quot;Millenium (6.6.6.6.8.8.)&quot; --artist=&quot;Unknown&quot; --comment=&quot;&quot; --album=&quot;Green Book&quot; --track=&quot;201&quot; 201g.mid.mp3"/>
    <s v="https://www.dropbox.com/sh/cx7tus4mgkt9o4n/AAB59ba7_6MtnWxL7GxA1qzza/201g.mid.mp3?raw=1"/>
  </r>
  <r>
    <x v="356"/>
    <s v="Misericordia"/>
    <s v="8.8.8.6."/>
    <n v="39"/>
    <m/>
    <s v="LFTBs"/>
    <s v="Red Book"/>
    <x v="96"/>
    <s v="202r.mid"/>
    <s v="202r.mid.mp3"/>
    <m/>
    <m/>
    <n v="214"/>
    <s v="Misericordia"/>
    <s v="id3tag --song=&quot;Misericordia (8.8.8.6.)&quot; --artist=&quot;Henry Smart&quot; --comment=&quot;&quot; --album=&quot;Red Book&quot; --track=&quot;202&quot; 202r.mid.mp3"/>
    <s v="https://www.dropbox.com/sh/cx7tus4mgkt9o4n/AABmdlmW2JE8Uymzz-BeOXpba/202r.mid.mp3?raw=1"/>
  </r>
  <r>
    <x v="165"/>
    <s v="Missionary"/>
    <s v="7.6.7.6.7.6.7.6."/>
    <n v="34"/>
    <m/>
    <s v="LFTB"/>
    <s v="Green Book"/>
    <x v="63"/>
    <s v="250g.mid"/>
    <s v="250g.mid.mp3"/>
    <m/>
    <m/>
    <n v="635"/>
    <s v="Missionary"/>
    <s v="id3tag --song=&quot;Missionary (7.6.7.6.7.6.7.6.)&quot; --artist=&quot;Dr. Lowell Mason&quot; --comment=&quot;&quot; --album=&quot;Green Book&quot; --track=&quot;250&quot; 250g.mid.mp3"/>
    <s v="https://www.dropbox.com/sh/cx7tus4mgkt9o4n/AADaCdhuTvuv3XZRzfau-AT9a/250g.mid.mp3?raw=1"/>
  </r>
  <r>
    <x v="139"/>
    <s v="Missionary Prayer"/>
    <s v="7.6.7.6.8.8."/>
    <n v="81"/>
    <m/>
    <s v="LFTB"/>
    <s v="Green Book"/>
    <x v="247"/>
    <s v="263g.mid"/>
    <s v="263g.mid.mp3"/>
    <m/>
    <m/>
    <n v="641"/>
    <s v="Missionary Prayer"/>
    <s v="id3tag --song=&quot;Missionary Prayer (7.6.7.6.8.8.)&quot; --artist=&quot;E. K. Brinkworth&quot; --comment=&quot;&quot; --album=&quot;Green Book&quot; --track=&quot;263&quot; 263g.mid.mp3"/>
    <s v="https://www.dropbox.com/sh/cx7tus4mgkt9o4n/AABz9Xb0sQLq1g3xFGc4DDiUa/263g.mid.mp3?raw=1"/>
  </r>
  <r>
    <x v="357"/>
    <s v="Mithcah"/>
    <s v="12.11.12.11."/>
    <n v="33"/>
    <s v="6.6.6.5.6.6.6.5."/>
    <s v="LFTBs"/>
    <s v="Red Book"/>
    <x v="215"/>
    <s v="283r.mid"/>
    <s v="283r.mid.mp3"/>
    <m/>
    <m/>
    <n v="215"/>
    <s v="Mithcah"/>
    <s v="id3tag --song=&quot;Mithcah (12.11.12.11.)&quot; --artist=&quot;Miss A.H. Lee&quot; --comment=&quot;&quot; --album=&quot;Red Book&quot; --track=&quot;283&quot; 283r.mid.mp3"/>
    <s v="https://www.dropbox.com/sh/cx7tus4mgkt9o4n/AAA-Fw4xthoGtHR1jHNc6HNPa/283r.mid.mp3?raw=1"/>
  </r>
  <r>
    <x v="358"/>
    <s v="Modena"/>
    <s v="8.7.8.7.4.7."/>
    <n v="50"/>
    <m/>
    <s v="LFTBs"/>
    <s v="Red Book"/>
    <x v="248"/>
    <s v="175r.mid"/>
    <s v="175r.mid.mp3"/>
    <m/>
    <s v="Repeat 5th line of each verse"/>
    <n v="216"/>
    <s v="Modena"/>
    <s v="id3tag --song=&quot;Modena (8.7.8.7.4.7.)&quot; --artist=&quot;J.V. Roberts&quot; --comment=&quot;Repeat 5th line of each verse&quot; --album=&quot;Red Book&quot; --track=&quot;175&quot; 175r.mid.mp3"/>
    <s v="https://www.dropbox.com/sh/cx7tus4mgkt9o4n/AAAGaGJhWv7Xo1TGON2MeBh1a/175r.mid.mp3?raw=1"/>
  </r>
  <r>
    <x v="359"/>
    <s v="Moment by Moment"/>
    <s v="10.10.10.10. Dactylic"/>
    <n v="63"/>
    <m/>
    <s v="LFTB"/>
    <s v="Green Book"/>
    <x v="249"/>
    <s v="505g.mid"/>
    <s v="505g.mid.mp3"/>
    <m/>
    <m/>
    <n v="406"/>
    <s v="Moment by Moment"/>
    <s v="id3tag --song=&quot;Moment by Moment (10.10.10.10. Dactylic)&quot; --artist=&quot;Mrs. Mary W. Moody&quot; --comment=&quot;&quot; --album=&quot;Green Book&quot; --track=&quot;505&quot; 505g.mid.mp3"/>
    <s v="https://www.dropbox.com/sh/cx7tus4mgkt9o4n/AAApegC0bnTCxkfBfcnnwm0pa/505g.mid.mp3?raw=1"/>
  </r>
  <r>
    <x v="360"/>
    <s v="Monica"/>
    <s v="8.6.8.6.8.8."/>
    <n v="55"/>
    <m/>
    <s v="LFTBs"/>
    <s v="Red Book"/>
    <x v="250"/>
    <s v="146r.mid"/>
    <s v="146r.mid.mp3"/>
    <m/>
    <m/>
    <n v="217"/>
    <s v="Monica"/>
    <s v="id3tag --song=&quot;Monica (8.6.8.6.8.8.)&quot; --artist=&quot;N. Whitbouro&quot; --comment=&quot;&quot; --album=&quot;Red Book&quot; --track=&quot;146&quot; 146r.mid.mp3"/>
    <s v="https://www.dropbox.com/sh/cx7tus4mgkt9o4n/AACHwqwFHppVpmUzjT6ZkSE1a/146r.mid.mp3?raw=1"/>
  </r>
  <r>
    <x v="77"/>
    <s v="Monifieth"/>
    <s v="8.7.8.7.4.7."/>
    <n v="50"/>
    <m/>
    <s v="LFTBs"/>
    <s v="Red Book"/>
    <x v="34"/>
    <s v="176r.mid"/>
    <s v="176r.mid.mp3"/>
    <m/>
    <s v="Repeat 5th line of each verse"/>
    <n v="218"/>
    <s v="Monifieth"/>
    <s v="id3tag --song=&quot;Monifieth (8.7.8.7.4.7.)&quot; --artist=&quot;Gordon Millar&quot; --comment=&quot;Repeat 5th line of each verse&quot; --album=&quot;Red Book&quot; --track=&quot;176&quot; 176r.mid.mp3"/>
    <s v="https://www.dropbox.com/sh/cx7tus4mgkt9o4n/AAAXZxCYG7Z0-I7eVyNOKoRKa/176r.mid.mp3?raw=1"/>
  </r>
  <r>
    <x v="231"/>
    <s v="Monkland"/>
    <s v="7.7.7.7."/>
    <n v="29"/>
    <m/>
    <s v="LFTB"/>
    <s v="Green Book"/>
    <x v="251"/>
    <s v="270g.mid"/>
    <s v="270g.mid.mp3"/>
    <m/>
    <m/>
    <n v="477"/>
    <s v="Monkland"/>
    <s v="id3tag --song=&quot;Monkland (7.7.7.7.)&quot; --artist=&quot;J. Wilkes&quot; --comment=&quot;&quot; --album=&quot;Green Book&quot; --track=&quot;270&quot; 270g.mid.mp3"/>
    <s v="https://www.dropbox.com/sh/cx7tus4mgkt9o4n/AADYHxxLvbCM8-30ZkTI9_s8a/270g.mid.mp3?raw=1"/>
  </r>
  <r>
    <x v="18"/>
    <s v="Moreland"/>
    <s v="S.M."/>
    <n v="22"/>
    <m/>
    <s v="LFTB"/>
    <s v="Green Book"/>
    <x v="219"/>
    <s v="140g.mid"/>
    <s v="140g.mid.mp3"/>
    <n v="1904"/>
    <m/>
    <n v="436"/>
    <s v="Moreland"/>
    <s v="id3tag --song=&quot;Moreland (S.M.)&quot; --artist=&quot;From 'Melodies and Chants'&quot; --comment=&quot;&quot; --album=&quot;Green Book&quot; --track=&quot;140&quot; 140g.mid.mp3"/>
    <s v="https://www.dropbox.com/sh/cx7tus4mgkt9o4n/AACgb7s3NrCLLalpzMKUnbnca/140g.mid.mp3?raw=1"/>
  </r>
  <r>
    <x v="361"/>
    <s v="Morning Light (Kingston)"/>
    <s v="C.M."/>
    <n v="19"/>
    <m/>
    <s v="LFTB"/>
    <s v="Green Book"/>
    <x v="252"/>
    <s v="40g.mid"/>
    <s v="40g.mid.mp3"/>
    <m/>
    <m/>
    <n v="578"/>
    <s v="Morning Light (Kingston)"/>
    <s v="id3tag --song=&quot;Morning Light (Kingston) (C.M.)&quot; --artist=&quot;Mrs. E. S. Kingston&quot; --comment=&quot;&quot; --album=&quot;Green Book&quot; --track=&quot;40&quot; 40g.mid.mp3"/>
    <s v="https://www.dropbox.com/sh/cx7tus4mgkt9o4n/AACYJHI3ipDfFF6e1gDMmRKua/40g.mid.mp3?raw=1"/>
  </r>
  <r>
    <x v="190"/>
    <s v="Morning Light (Webb)"/>
    <s v="7.6.7.6.7.6.7.6."/>
    <n v="34"/>
    <m/>
    <s v="LFTB"/>
    <s v="Green Book"/>
    <x v="253"/>
    <s v="251g.mid"/>
    <s v="251g.mid.mp3"/>
    <m/>
    <m/>
    <n v="636"/>
    <s v="Morning Light (Webb)"/>
    <s v="id3tag --song=&quot;Morning Light (Webb) (7.6.7.6.7.6.7.6.)&quot; --artist=&quot;G. J. Webb&quot; --comment=&quot;&quot; --album=&quot;Green Book&quot; --track=&quot;251&quot; 251g.mid.mp3"/>
    <s v="https://www.dropbox.com/sh/cx7tus4mgkt9o4n/AAAADXk5aZzqH1y750yxtSmya/251g.mid.mp3?raw=1"/>
  </r>
  <r>
    <x v="362"/>
    <s v="Morning Star (Leflaive)"/>
    <s v="10.10.10.10."/>
    <n v="21"/>
    <m/>
    <s v="LFTBs"/>
    <s v="Red Book"/>
    <x v="16"/>
    <s v="254r.mid"/>
    <s v="254r.mid.mp3"/>
    <m/>
    <m/>
    <n v="219"/>
    <s v="Morning Star (Leflaive)"/>
    <s v="id3tag --song=&quot;Morning Star (Leflaive) (10.10.10.10.)&quot; --artist=&quot;C. Leflaive&quot; --comment=&quot;&quot; --album=&quot;Red Book&quot; --track=&quot;254&quot; 254r.mid.mp3"/>
    <s v="https://www.dropbox.com/sh/cx7tus4mgkt9o4n/AACuoGjPssigxQIbDEEnZbL_a/254r.mid.mp3?raw=1"/>
  </r>
  <r>
    <x v="60"/>
    <s v="Mornington's Chant"/>
    <s v="S.M."/>
    <n v="22"/>
    <m/>
    <s v="LFTB"/>
    <s v="Green Book"/>
    <x v="192"/>
    <s v="141g.mid"/>
    <s v="141g.mid.mp3"/>
    <n v="1760"/>
    <m/>
    <n v="437"/>
    <s v="Mornington's Chant"/>
    <s v="id3tag --song=&quot;Mornington's Chant (S.M.)&quot; --artist=&quot;Earl of Mornington&quot; --comment=&quot;&quot; --album=&quot;Green Book&quot; --track=&quot;141&quot; 141g.mid.mp3"/>
    <s v="https://www.dropbox.com/sh/cx7tus4mgkt9o4n/AADQTmRhPoMjK3XIWSGRx5kia/141g.mid.mp3?raw=1"/>
  </r>
  <r>
    <x v="259"/>
    <s v="Moscow"/>
    <s v="6.6.4.6.6.6.4."/>
    <n v="93"/>
    <m/>
    <s v="LFTB"/>
    <s v="Green Book"/>
    <x v="254"/>
    <s v="185g.mid"/>
    <s v="185g.mid.mp3"/>
    <m/>
    <m/>
    <n v="25"/>
    <s v="Moscow"/>
    <s v="id3tag --song=&quot;Moscow (6.6.4.6.6.6.4.)&quot; --artist=&quot;F. Giardini&quot; --comment=&quot;&quot; --album=&quot;Green Book&quot; --track=&quot;185&quot; 185g.mid.mp3"/>
    <s v="https://www.dropbox.com/sh/cx7tus4mgkt9o4n/AAChbuISk-DPlarUJbtdMsdWa/185g.mid.mp3?raw=1"/>
  </r>
  <r>
    <x v="363"/>
    <s v="Mourne"/>
    <s v="7.7.7.7.7.7."/>
    <n v="83"/>
    <m/>
    <s v="LFTBs"/>
    <s v="Red Book"/>
    <x v="34"/>
    <s v="118r.mid"/>
    <s v="118r.mid.mp3"/>
    <m/>
    <m/>
    <n v="220"/>
    <s v="Mourne"/>
    <s v="id3tag --song=&quot;Mourne (7.7.7.7.7.7.)&quot; --artist=&quot;Gordon Millar&quot; --comment=&quot;&quot; --album=&quot;Red Book&quot; --track=&quot;118&quot; 118r.mid.mp3"/>
    <s v="https://www.dropbox.com/sh/cx7tus4mgkt9o4n/AABIqDe6ocDrL6qsRMHWZWrTa/118r.mid.mp3?raw=1"/>
  </r>
  <r>
    <x v="280"/>
    <s v="Mozart"/>
    <s v="7.7.7.7."/>
    <n v="29"/>
    <m/>
    <s v="LFTB"/>
    <s v="Green Book"/>
    <x v="255"/>
    <s v="271g.mid"/>
    <s v="271g.mid.mp3"/>
    <m/>
    <m/>
    <n v="478"/>
    <s v="Mozart"/>
    <s v="id3tag --song=&quot;Mozart (7.7.7.7.)&quot; --artist=&quot;From Mozart&quot; --comment=&quot;&quot; --album=&quot;Green Book&quot; --track=&quot;271&quot; 271g.mid.mp3"/>
    <s v="https://www.dropbox.com/sh/cx7tus4mgkt9o4n/AACV8qdqF3ecYCWVq_iQFeufa/271g.mid.mp3?raw=1"/>
  </r>
  <r>
    <x v="119"/>
    <s v="Mudstone"/>
    <s v="S.M."/>
    <n v="22"/>
    <m/>
    <s v="LFTB"/>
    <s v="Green Book"/>
    <x v="256"/>
    <s v="142g.mid"/>
    <s v="142g.mid.mp3"/>
    <m/>
    <m/>
    <n v="438"/>
    <s v="Mudstone"/>
    <s v="id3tag --song=&quot;Mudstone (S.M.)&quot; --artist=&quot;David Johnson&quot; --comment=&quot;&quot; --album=&quot;Green Book&quot; --track=&quot;142&quot; 142g.mid.mp3"/>
    <s v="https://www.dropbox.com/sh/cx7tus4mgkt9o4n/AAAc0z8yvxw0TRbGrU_DmIrva/142g.mid.mp3?raw=1"/>
  </r>
  <r>
    <x v="364"/>
    <s v="Mullaghmore"/>
    <s v="S.M."/>
    <n v="22"/>
    <m/>
    <s v="LFTB"/>
    <s v="Green Book"/>
    <x v="257"/>
    <s v="143g.mid"/>
    <s v="143g.mid.mp3"/>
    <m/>
    <m/>
    <n v="439"/>
    <s v="Mullaghmore"/>
    <s v="id3tag --song=&quot;Mullaghmore (S.M.)&quot; --artist=&quot;J. Steven&quot; --comment=&quot;&quot; --album=&quot;Green Book&quot; --track=&quot;143&quot; 143g.mid.mp3"/>
    <s v="https://www.dropbox.com/sh/cx7tus4mgkt9o4n/AAAZHSXkaDeWVoSDziK13-R4a/143g.mid.mp3?raw=1"/>
  </r>
  <r>
    <x v="221"/>
    <s v="My Beloved"/>
    <s v="S.M."/>
    <n v="22"/>
    <m/>
    <s v="LFTB"/>
    <s v="Green Book"/>
    <x v="116"/>
    <s v="144g.mid"/>
    <s v="144g.mid.mp3"/>
    <m/>
    <m/>
    <n v="440"/>
    <s v="My Beloved"/>
    <s v="id3tag --song=&quot;My Beloved (S.M.)&quot; --artist=&quot;H. F. Morley&quot; --comment=&quot;&quot; --album=&quot;Green Book&quot; --track=&quot;144&quot; 144g.mid.mp3"/>
    <s v="https://www.dropbox.com/sh/cx7tus4mgkt9o4n/AABMiceqexGOG175ZaPeqqJRa/144g.mid.mp3?raw=1"/>
  </r>
  <r>
    <x v="365"/>
    <s v="My Father Knoweth"/>
    <s v="8.5.8.5.8.5.8.5."/>
    <n v="37"/>
    <m/>
    <s v="LFTB"/>
    <s v="Green Book"/>
    <x v="258"/>
    <s v="299g.mid"/>
    <s v="299g.mid.mp3"/>
    <m/>
    <m/>
    <n v="653"/>
    <s v="My Father Knoweth"/>
    <s v="id3tag --song=&quot;My Father Knoweth (8.5.8.5.8.5.8.5.)&quot; --artist=&quot;J.H. Burke&quot; --comment=&quot;&quot; --album=&quot;Green Book&quot; --track=&quot;299&quot; 299g.mid.mp3"/>
    <s v="https://www.dropbox.com/sh/cx7tus4mgkt9o4n/AABexvOdMw6WZM9lqAmQPOHva/299g.mid.mp3?raw=1"/>
  </r>
  <r>
    <x v="88"/>
    <s v="My Willing People"/>
    <s v="8.7.8.7. Iambic"/>
    <n v="94"/>
    <m/>
    <s v="LFTBs"/>
    <s v="Red Book"/>
    <x v="180"/>
    <s v="169r.mid"/>
    <s v="169r.mid.mp3"/>
    <m/>
    <m/>
    <n v="221"/>
    <s v="My Willing People"/>
    <s v="id3tag --song=&quot;My Willing People (8.7.8.7. Iambic)&quot; --artist=&quot;Miss Norah Nilsson&quot; --comment=&quot;&quot; --album=&quot;Red Book&quot; --track=&quot;169&quot; 169r.mid.mp3"/>
    <s v="https://www.dropbox.com/sh/cx7tus4mgkt9o4n/AAAeJME8G714dmp2gabHLQ0za/169r.mid.mp3?raw=1"/>
  </r>
  <r>
    <x v="112"/>
    <s v="Nain"/>
    <s v="6.4.6.4."/>
    <n v="62"/>
    <m/>
    <s v="LFTB"/>
    <s v="Green Book"/>
    <x v="63"/>
    <s v="170g.mid"/>
    <s v="170g.mid.mp3"/>
    <m/>
    <m/>
    <n v="26"/>
    <s v="Nain"/>
    <s v="id3tag --song=&quot;Nain (6.4.6.4.)&quot; --artist=&quot;Dr. Lowell Mason&quot; --comment=&quot;&quot; --album=&quot;Green Book&quot; --track=&quot;170&quot; 170g.mid.mp3"/>
    <s v="https://www.dropbox.com/sh/cx7tus4mgkt9o4n/AABWjkJgCOy08w74QrKH7z6fa/170g.mid.mp3?raw=1"/>
  </r>
  <r>
    <x v="304"/>
    <s v="Name of Jesus"/>
    <s v="C.M."/>
    <n v="19"/>
    <m/>
    <s v="LFTB"/>
    <s v="Green Book"/>
    <x v="259"/>
    <s v="41g.mid"/>
    <s v="41g.mid.mp3"/>
    <m/>
    <m/>
    <n v="579"/>
    <s v="Name of Jesus"/>
    <s v="id3tag --song=&quot;Name of Jesus (C.M.)&quot; --artist=&quot;Miss S. N. Walker&quot; --comment=&quot;&quot; --album=&quot;Green Book&quot; --track=&quot;41&quot; 41g.mid.mp3"/>
    <s v="https://www.dropbox.com/sh/cx7tus4mgkt9o4n/AAAS0zCsK_Iyt2a-gWxnDiQ6a/41g.mid.mp3?raw=1"/>
  </r>
  <r>
    <x v="366"/>
    <s v="Nativity"/>
    <s v="C.M."/>
    <n v="19"/>
    <m/>
    <s v="LFTB"/>
    <s v="Green Book"/>
    <x v="260"/>
    <s v="42g.mid"/>
    <s v="42g.mid.mp3"/>
    <m/>
    <m/>
    <n v="580"/>
    <s v="Nativity"/>
    <s v="id3tag --song=&quot;Nativity (C.M.)&quot; --artist=&quot;H. Lahee&quot; --comment=&quot;&quot; --album=&quot;Green Book&quot; --track=&quot;42&quot; 42g.mid.mp3"/>
    <s v="https://www.dropbox.com/sh/cx7tus4mgkt9o4n/AABK8lKZUj_ConRPAVDWarFOa/42g.mid.mp3?raw=1"/>
  </r>
  <r>
    <x v="126"/>
    <s v="Newcastle"/>
    <s v="C.M."/>
    <n v="19"/>
    <m/>
    <s v="LFTB"/>
    <s v="Green Book"/>
    <x v="261"/>
    <s v="43g.mid"/>
    <s v="43g.mid.mp3"/>
    <n v="1875"/>
    <s v="Repeat 3rd line of each verse"/>
    <n v="581"/>
    <s v="Newcastle"/>
    <s v="id3tag --song=&quot;Newcastle (C.M.)&quot; --artist=&quot;Henry K. Morley&quot; --comment=&quot;Repeat 3rd line of each verse&quot; --album=&quot;Green Book&quot; --track=&quot;43&quot; 43g.mid.mp3"/>
    <s v="https://www.dropbox.com/sh/cx7tus4mgkt9o4n/AADc2hPBoQxohK7UPrpC6pSIa/43g.mid.mp3?raw=1"/>
  </r>
  <r>
    <x v="367"/>
    <s v="Newton Ferns"/>
    <s v="8.7.8.7."/>
    <n v="24"/>
    <m/>
    <s v="LFTB"/>
    <s v="Green Book"/>
    <x v="262"/>
    <s v="329g.mid"/>
    <s v="329g.mid.mp3"/>
    <m/>
    <m/>
    <n v="380"/>
    <s v="Newton Ferns"/>
    <s v="id3tag --song=&quot;Newton Ferns (8.7.8.7.)&quot; --artist=&quot;Samuel Smith&quot; --comment=&quot;&quot; --album=&quot;Green Book&quot; --track=&quot;329&quot; 329g.mid.mp3"/>
    <s v="https://www.dropbox.com/sh/cx7tus4mgkt9o4n/AAD9dF6SvvhCRVoPuvAZ2Jgpa/329g.mid.mp3?raw=1"/>
  </r>
  <r>
    <x v="368"/>
    <s v="Nicea"/>
    <s v="12.13.12.10."/>
    <n v="48"/>
    <m/>
    <s v="LFTB"/>
    <s v="Green Book"/>
    <x v="19"/>
    <s v="546g.mid"/>
    <s v="546g.mid.mp3"/>
    <m/>
    <m/>
    <n v="566"/>
    <s v="Nicea"/>
    <s v="id3tag --song=&quot;Nicea (12.13.12.10.)&quot; --artist=&quot;Dr. J. B. Dykes&quot; --comment=&quot;&quot; --album=&quot;Green Book&quot; --track=&quot;546&quot; 546g.mid.mp3"/>
    <s v="https://www.dropbox.com/sh/cx7tus4mgkt9o4n/AADVfxRGmojPncCkmDo21fwua/546g.mid.mp3?raw=1"/>
  </r>
  <r>
    <x v="251"/>
    <s v="None But Christ Can Satisfy!"/>
    <s v="C.M.D."/>
    <n v="61"/>
    <m/>
    <s v="LFTB"/>
    <s v="Green Book"/>
    <x v="263"/>
    <s v="83g.mid"/>
    <s v="83g.mid.mp3"/>
    <m/>
    <m/>
    <n v="424"/>
    <s v="None But Christ Can Satisfy!"/>
    <s v="id3tag --song=&quot;None But Christ Can Satisfy! (C.M.D.)&quot; --artist=&quot;J. McGranahan&quot; --comment=&quot;&quot; --album=&quot;Green Book&quot; --track=&quot;83&quot; 83g.mid.mp3"/>
    <s v="https://www.dropbox.com/sh/cx7tus4mgkt9o4n/AABwmkDv7bBQ20-clMC2sn_ga/83g.mid.mp3?raw=1"/>
  </r>
  <r>
    <x v="369"/>
    <s v="Norfolk"/>
    <s v="8.7.8.7."/>
    <n v="24"/>
    <m/>
    <s v="LFTBs"/>
    <s v="Red Book"/>
    <x v="41"/>
    <s v="154r.mid"/>
    <s v="154r.mid.mp3"/>
    <m/>
    <m/>
    <n v="222"/>
    <s v="Norfolk"/>
    <s v="id3tag --song=&quot;Norfolk (8.7.8.7.)&quot; --artist=&quot;K.D. Clarke&quot; --comment=&quot;&quot; --album=&quot;Red Book&quot; --track=&quot;154&quot; 154r.mid.mp3"/>
    <s v="https://www.dropbox.com/sh/cx7tus4mgkt9o4n/AAAFYr3dM6zPkGTT9W7yduDYa/154r.mid.mp3?raw=1"/>
  </r>
  <r>
    <x v="370"/>
    <s v="Norfolk Park"/>
    <s v="11.11.11.11. Trochaic"/>
    <n v="64"/>
    <m/>
    <s v="LFTBs"/>
    <s v="Red Book"/>
    <x v="264"/>
    <s v="280r.mid"/>
    <s v="280r.mid.mp3"/>
    <m/>
    <m/>
    <n v="223"/>
    <s v="Norfolk Park"/>
    <s v="id3tag --song=&quot;Norfolk Park (11.11.11.11. Trochaic)&quot; --artist=&quot;Henry Coward&quot; --comment=&quot;&quot; --album=&quot;Red Book&quot; --track=&quot;280&quot; 280r.mid.mp3"/>
    <s v="https://www.dropbox.com/sh/cx7tus4mgkt9o4n/AADuM7vnkBO6_6ZIH2wtQeWIa/280r.mid.mp3?raw=1"/>
  </r>
  <r>
    <x v="260"/>
    <s v="Norge"/>
    <s v="C.M."/>
    <n v="19"/>
    <m/>
    <s v="LFTB"/>
    <s v="Green Book"/>
    <x v="9"/>
    <s v="44g.mid"/>
    <s v="44g.mid.mp3"/>
    <m/>
    <m/>
    <n v="582"/>
    <s v="Norge"/>
    <s v="id3tag --song=&quot;Norge (C.M.)&quot; --artist=&quot;Unknown&quot; --comment=&quot;&quot; --album=&quot;Green Book&quot; --track=&quot;44&quot; 44g.mid.mp3"/>
    <s v="https://www.dropbox.com/sh/cx7tus4mgkt9o4n/AAD_v8QskSSTsXZMkSdvdo9Ga/44g.mid.mp3?raw=1"/>
  </r>
  <r>
    <x v="371"/>
    <s v="Northampton"/>
    <s v="8.7.8.7.8.7.8.7."/>
    <n v="25"/>
    <m/>
    <s v="LFTB"/>
    <s v="Green Book"/>
    <x v="27"/>
    <s v="390g.mid"/>
    <s v="390g.mid.mp3"/>
    <m/>
    <m/>
    <n v="392"/>
    <s v="Northampton"/>
    <s v="id3tag --song=&quot;Northampton (8.7.8.7.8.7.8.7.)&quot; --artist=&quot;P. P. Bliss&quot; --comment=&quot;&quot; --album=&quot;Green Book&quot; --track=&quot;390&quot; 390g.mid.mp3"/>
    <s v="https://www.dropbox.com/sh/cx7tus4mgkt9o4n/AABYJXMDZxwWQ7l745JQDvQca/390g.mid.mp3?raw=1"/>
  </r>
  <r>
    <x v="293"/>
    <s v="Northrop"/>
    <s v="C.M."/>
    <n v="19"/>
    <m/>
    <s v="LFTB"/>
    <s v="Green Book"/>
    <x v="265"/>
    <s v="45g.mid"/>
    <s v="45g.mid.mp3"/>
    <m/>
    <s v="Repeat last line 3 times"/>
    <n v="583"/>
    <s v="Northrop"/>
    <s v="id3tag --song=&quot;Northrop (C.M.)&quot; --artist=&quot;A. Northrop&quot; --comment=&quot;Repeat last line 3 times&quot; --album=&quot;Green Book&quot; --track=&quot;45&quot; 45g.mid.mp3"/>
    <s v="https://www.dropbox.com/sh/cx7tus4mgkt9o4n/AABDBY5PPeFZuv5yu5zuYOmUa/45g.mid.mp3?raw=1"/>
  </r>
  <r>
    <x v="324"/>
    <s v="Nottingham"/>
    <s v="C.M."/>
    <n v="19"/>
    <m/>
    <s v="LFTB"/>
    <s v="Green Book"/>
    <x v="266"/>
    <s v="46g.mid"/>
    <s v="46g.mid.mp3"/>
    <m/>
    <m/>
    <n v="584"/>
    <s v="Nottingham"/>
    <s v="id3tag --song=&quot;Nottingham (C.M.)&quot; --artist=&quot;Jeremiah Clarke&quot; --comment=&quot;&quot; --album=&quot;Green Book&quot; --track=&quot;46&quot; 46g.mid.mp3"/>
    <s v="https://www.dropbox.com/sh/cx7tus4mgkt9o4n/AABKN9Ee0LWLbN-ev9w2vkpla/46g.mid.mp3?raw=1"/>
  </r>
  <r>
    <x v="105"/>
    <s v="Nun Danket"/>
    <s v="6.6.6.6.6.6.6.6."/>
    <n v="90"/>
    <m/>
    <s v="LFTB"/>
    <s v="Green Book"/>
    <x v="108"/>
    <s v="192g.mid"/>
    <s v="192g.mid.mp3"/>
    <m/>
    <m/>
    <n v="455"/>
    <s v="Nun Danket"/>
    <s v="id3tag --song=&quot;Nun Danket (6.6.6.6.6.6.6.6.)&quot; --artist=&quot;J. Cruger&quot; --comment=&quot;&quot; --album=&quot;Green Book&quot; --track=&quot;192&quot; 192g.mid.mp3"/>
    <s v="https://www.dropbox.com/sh/cx7tus4mgkt9o4n/AADumqDY6BuncwTRzmS4NkkIa/192g.mid.mp3?raw=1"/>
  </r>
  <r>
    <x v="200"/>
    <s v="Nymphe"/>
    <s v="8.8.8.8.8.8."/>
    <n v="26"/>
    <m/>
    <s v="LFTBs"/>
    <s v="Red Book"/>
    <x v="28"/>
    <s v="213r.mid"/>
    <s v="213r.mid.mp3"/>
    <m/>
    <m/>
    <n v="224"/>
    <s v="Nymphe"/>
    <s v="id3tag --song=&quot;Nymphe (8.8.8.8.8.8.)&quot; --artist=&quot;E. Carren&quot; --comment=&quot;&quot; --album=&quot;Red Book&quot; --track=&quot;213&quot; 213r.mid.mp3"/>
    <s v="https://www.dropbox.com/sh/cx7tus4mgkt9o4n/AADMFrzOQBQ1VB_dcGunTtSva/213r.mid.mp3?raw=1"/>
  </r>
  <r>
    <x v="248"/>
    <s v="O How He Loves"/>
    <s v="8.4.8.4.8.8.8.4."/>
    <n v="47"/>
    <m/>
    <s v="LFTB"/>
    <s v="Green Book"/>
    <x v="267"/>
    <s v="287g.mid"/>
    <s v="287g.mid.mp3"/>
    <m/>
    <m/>
    <n v="647"/>
    <s v="O How He Loves"/>
    <s v="id3tag --song=&quot;O How He Loves (8.4.8.4.8.8.8.4.)&quot; --artist=&quot;H.P. Main&quot; --comment=&quot;&quot; --album=&quot;Green Book&quot; --track=&quot;287&quot; 287g.mid.mp3"/>
    <s v="https://www.dropbox.com/sh/cx7tus4mgkt9o4n/AAAKnOKn1CWmlgnuDtUThs5Da/287g.mid.mp3?raw=1"/>
  </r>
  <r>
    <x v="372"/>
    <s v="O Perfect Love"/>
    <s v="11.10.11.10."/>
    <n v="52"/>
    <m/>
    <s v="LFTB"/>
    <s v="Green Book"/>
    <x v="30"/>
    <s v="519g.mid"/>
    <s v="519g.mid.mp3"/>
    <m/>
    <m/>
    <n v="742"/>
    <s v="O Perfect Love"/>
    <s v="id3tag --song=&quot;O Perfect Love (11.10.11.10.)&quot; --artist=&quot;Sir Joseph Barnby&quot; --comment=&quot;&quot; --album=&quot;Green Book&quot; --track=&quot;519&quot; 519g.mid.mp3"/>
    <s v="https://www.dropbox.com/sh/cx7tus4mgkt9o4n/AAA4BDCZk3bPRZ-BZ_VH0nXZa/519g.mid.mp3?raw=1"/>
  </r>
  <r>
    <x v="373"/>
    <s v="O Quanta Qualia"/>
    <s v="11.10.11.10. Dactylic"/>
    <n v="17"/>
    <m/>
    <s v="LFTB"/>
    <s v="Green Book"/>
    <x v="268"/>
    <s v="526g.mid"/>
    <s v="526g.mid.mp3"/>
    <n v="1808"/>
    <m/>
    <n v="409"/>
    <s v="O Quanta Qualia"/>
    <s v="id3tag --song=&quot;O Quanta Qualia (11.10.11.10. Dactylic)&quot; --artist=&quot;La Feillee Methode&quot; --comment=&quot;&quot; --album=&quot;Green Book&quot; --track=&quot;526&quot; 526g.mid.mp3"/>
    <s v="https://www.dropbox.com/sh/cx7tus4mgkt9o4n/AAAIrf79MYzn6orb7K_XmpLaa/526g.mid.mp3?raw=1"/>
  </r>
  <r>
    <x v="374"/>
    <s v="O Solemn Hour!"/>
    <s v="8.6.8.8.6.8.8."/>
    <n v="36"/>
    <m/>
    <s v="LFTBs"/>
    <s v="Red Book"/>
    <x v="28"/>
    <s v="149r.mid"/>
    <s v="149r.mid.mp3"/>
    <m/>
    <m/>
    <n v="225"/>
    <s v="O Solemn Hour!"/>
    <s v="id3tag --song=&quot;O Solemn Hour! (8.6.8.8.6.8.8.)&quot; --artist=&quot;E. Carren&quot; --comment=&quot;&quot; --album=&quot;Red Book&quot; --track=&quot;149&quot; 149r.mid.mp3"/>
    <s v="https://www.dropbox.com/sh/cx7tus4mgkt9o4n/AAAMKhQ4SBti6M2OdY75EySza/149r.mid.mp3?raw=1"/>
  </r>
  <r>
    <x v="124"/>
    <s v="O the Love!"/>
    <s v="8.7.8.7.8.7.8.7.7.7."/>
    <n v="68"/>
    <m/>
    <s v="LFTBs"/>
    <s v="Red Book"/>
    <x v="28"/>
    <s v="194r.mid"/>
    <s v="194r.mid.mp3"/>
    <m/>
    <m/>
    <n v="226"/>
    <s v="O the Love!"/>
    <s v="id3tag --song=&quot;O the Love! (8.7.8.7.8.7.8.7.7.7.)&quot; --artist=&quot;E. Carren&quot; --comment=&quot;&quot; --album=&quot;Red Book&quot; --track=&quot;194&quot; 194r.mid.mp3"/>
    <s v="https://www.dropbox.com/sh/cx7tus4mgkt9o4n/AAAI49I9Iq-KntXTBF-LgLxga/194r.mid.mp3?raw=1"/>
  </r>
  <r>
    <x v="375"/>
    <s v="Oakleigh"/>
    <s v="6.4.6.4.6.4.6.4."/>
    <n v="32"/>
    <m/>
    <s v="LFTBs"/>
    <s v="Red Book"/>
    <x v="95"/>
    <s v="65r.mid"/>
    <s v="65r.mid.mp3"/>
    <m/>
    <m/>
    <n v="227"/>
    <s v="Oakleigh"/>
    <s v="id3tag --song=&quot;Oakleigh (6.4.6.4.6.4.6.4.)&quot; --artist=&quot;R.A. Evershead&quot; --comment=&quot;&quot; --album=&quot;Red Book&quot; --track=&quot;65&quot; 65r.mid.mp3"/>
    <s v="https://www.dropbox.com/sh/cx7tus4mgkt9o4n/AAAiViPLwMudA7APU0NK-RHIa/65r.mid.mp3?raw=1"/>
  </r>
  <r>
    <x v="351"/>
    <s v="Old Hundredth"/>
    <s v="L.M."/>
    <n v="16"/>
    <m/>
    <s v="LFTB"/>
    <s v="Green Book"/>
    <x v="269"/>
    <s v="111g.mid"/>
    <s v="111g.mid.mp3"/>
    <n v="1551"/>
    <m/>
    <n v="542"/>
    <s v="Old Hundredth"/>
    <s v="id3tag --song=&quot;Old Hundredth (L.M.)&quot; --artist=&quot;From 'Genevan Psalter'&quot; --comment=&quot;&quot; --album=&quot;Green Book&quot; --track=&quot;111&quot; 111g.mid.mp3"/>
    <s v="https://www.dropbox.com/sh/cx7tus4mgkt9o4n/AADXP-bPpL0h0t-qa91VgK6Ca/111g.mid.mp3?raw=1"/>
  </r>
  <r>
    <x v="376"/>
    <s v="Oldham Street (Trinity)"/>
    <s v="C.M."/>
    <n v="19"/>
    <m/>
    <s v="LFTB"/>
    <s v="Green Book"/>
    <x v="270"/>
    <s v="47g.mid"/>
    <s v="47g.mid.mp3"/>
    <m/>
    <m/>
    <n v="334"/>
    <s v="Oldham Street (Trinity)"/>
    <s v="id3tag --song=&quot;Oldham Street (Trinity) (C.M.)&quot; --artist=&quot;Howgate&quot; --comment=&quot;&quot; --album=&quot;Green Book&quot; --track=&quot;47&quot; 47g.mid.mp3"/>
    <s v="https://www.dropbox.com/sh/cx7tus4mgkt9o4n/AACH8n18Qc3svMHSkPYvZgi6a/47g.mid.mp3?raw=1"/>
  </r>
  <r>
    <x v="377"/>
    <s v="Olivers"/>
    <s v="8.7.8.7.4.7."/>
    <n v="50"/>
    <m/>
    <s v="LFTB"/>
    <s v="Green Book"/>
    <x v="271"/>
    <s v="361g.mid"/>
    <s v="361g.mid.mp3"/>
    <m/>
    <m/>
    <n v="508"/>
    <s v="Olivers"/>
    <s v="id3tag --song=&quot;Olivers (8.7.8.7.4.7.)&quot; --artist=&quot;T. Olivers&quot; --comment=&quot;&quot; --album=&quot;Green Book&quot; --track=&quot;361&quot; 361g.mid.mp3"/>
    <s v="https://www.dropbox.com/sh/cx7tus4mgkt9o4n/AABBeQdLCn6rIxKwzscS9ORta/361g.mid.mp3?raw=1"/>
  </r>
  <r>
    <x v="284"/>
    <s v="Olivet"/>
    <s v="6.6.4.6.6.6.4."/>
    <n v="93"/>
    <m/>
    <s v="LFTB"/>
    <s v="Green Book"/>
    <x v="63"/>
    <s v="186g.mid"/>
    <s v="186g.mid.mp3"/>
    <m/>
    <m/>
    <n v="451"/>
    <s v="Olivet"/>
    <s v="id3tag --song=&quot;Olivet (6.6.4.6.6.6.4.)&quot; --artist=&quot;Dr. Lowell Mason&quot; --comment=&quot;&quot; --album=&quot;Green Book&quot; --track=&quot;186&quot; 186g.mid.mp3"/>
    <s v="https://www.dropbox.com/sh/cx7tus4mgkt9o4n/AABrKZhIXAvwYJKOuVC6UdM5a/186g.mid.mp3?raw=1"/>
  </r>
  <r>
    <x v="249"/>
    <s v="Ombersley"/>
    <s v="L.M."/>
    <n v="16"/>
    <m/>
    <s v="LFTB"/>
    <s v="Green Book"/>
    <x v="272"/>
    <s v="112g.mid"/>
    <s v="112g.mid.mp3"/>
    <m/>
    <m/>
    <n v="543"/>
    <s v="Ombersley"/>
    <s v="id3tag --song=&quot;Ombersley (L.M.)&quot; --artist=&quot;W. H. Gladstone&quot; --comment=&quot;&quot; --album=&quot;Green Book&quot; --track=&quot;112&quot; 112g.mid.mp3"/>
    <s v="https://www.dropbox.com/sh/cx7tus4mgkt9o4n/AACsXTNDY07cQpr9oKsbtrRna/112g.mid.mp3?raw=1"/>
  </r>
  <r>
    <x v="378"/>
    <s v="Omega"/>
    <s v="9.8.9.8."/>
    <n v="35"/>
    <m/>
    <s v="LFTBs"/>
    <s v="Red Book"/>
    <x v="28"/>
    <s v="227r.mid"/>
    <s v="227r.mid.mp3"/>
    <m/>
    <m/>
    <n v="228"/>
    <s v="Omega"/>
    <s v="id3tag --song=&quot;Omega (9.8.9.8.)&quot; --artist=&quot;E. Carren&quot; --comment=&quot;&quot; --album=&quot;Red Book&quot; --track=&quot;227&quot; 227r.mid.mp3"/>
    <s v="https://www.dropbox.com/sh/cx7tus4mgkt9o4n/AACrxz_kT5RO6r6FdNrD_C3pa/227r.mid.mp3?raw=1"/>
  </r>
  <r>
    <x v="379"/>
    <s v="Omnipotent"/>
    <s v="4.8.4.8.8."/>
    <n v="28"/>
    <m/>
    <s v="LFTBs"/>
    <s v="Red Book"/>
    <x v="224"/>
    <s v="55r.mid"/>
    <s v="55r.mid.mp3"/>
    <n v="1962"/>
    <m/>
    <n v="229"/>
    <s v="Omnipotent"/>
    <s v="id3tag --song=&quot;Omnipotent (4.8.4.8.8.)&quot; --artist=&quot;D. Alan Clarke&quot; --comment=&quot;&quot; --album=&quot;Red Book&quot; --track=&quot;55&quot; 55r.mid.mp3"/>
    <s v="https://www.dropbox.com/sh/cx7tus4mgkt9o4n/AACQX-lcu1iv-BDwGvWY91k7a/55r.mid.mp3?raw=1"/>
  </r>
  <r>
    <x v="380"/>
    <s v="Only a Touch"/>
    <s v="11.10.11.10."/>
    <n v="52"/>
    <m/>
    <s v="LFTBs"/>
    <s v="Red Book"/>
    <x v="16"/>
    <s v="267r.mid"/>
    <s v="267r.mid.mp3"/>
    <m/>
    <m/>
    <n v="230"/>
    <s v="Only a Touch"/>
    <s v="id3tag --song=&quot;Only a Touch (11.10.11.10.)&quot; --artist=&quot;C. Leflaive&quot; --comment=&quot;&quot; --album=&quot;Red Book&quot; --track=&quot;267&quot; 267r.mid.mp3"/>
    <s v="https://www.dropbox.com/sh/cx7tus4mgkt9o4n/AACDY-M6oYflQ0tQ9jrzmiOEa/267r.mid.mp3?raw=1"/>
  </r>
  <r>
    <x v="70"/>
    <s v="Only Waiting"/>
    <s v="8.7.8.7.8.7.8.7."/>
    <n v="25"/>
    <m/>
    <s v="LFTBs"/>
    <s v="Red Book"/>
    <x v="0"/>
    <s v="188r.mid"/>
    <s v="188r.mid.mp3"/>
    <m/>
    <m/>
    <n v="231"/>
    <s v="Only Waiting"/>
    <s v="id3tag --song=&quot;Only Waiting (8.7.8.7.8.7.8.7.)&quot; --artist=&quot;Ira D. Sankey&quot; --comment=&quot;&quot; --album=&quot;Red Book&quot; --track=&quot;188&quot; 188r.mid.mp3"/>
    <s v="https://www.dropbox.com/sh/cx7tus4mgkt9o4n/AAAyCesGqjYxTFLgSHRwdR_ea/188r.mid.mp3?raw=1"/>
  </r>
  <r>
    <x v="338"/>
    <s v="Ootha"/>
    <s v="14.14.14.14."/>
    <n v="85"/>
    <m/>
    <s v="LFTBs"/>
    <s v="Red Book"/>
    <x v="90"/>
    <s v="296r.mid"/>
    <s v="296r.mid.mp3"/>
    <m/>
    <m/>
    <n v="232"/>
    <s v="Ootha"/>
    <s v="id3tag --song=&quot;Ootha (14.14.14.14.)&quot; --artist=&quot;John F. Harvey&quot; --comment=&quot;&quot; --album=&quot;Red Book&quot; --track=&quot;296&quot; 296r.mid.mp3"/>
    <s v="https://www.dropbox.com/sh/cx7tus4mgkt9o4n/AACLqiqhjeo7va20gc5xRWBNa/296r.mid.mp3?raw=1"/>
  </r>
  <r>
    <x v="381"/>
    <s v="Orlington"/>
    <s v="C.M."/>
    <n v="19"/>
    <m/>
    <s v="LFTB"/>
    <s v="Green Book"/>
    <x v="273"/>
    <s v="48g.mid"/>
    <s v="48g.mid.mp3"/>
    <m/>
    <m/>
    <n v="335"/>
    <s v="Orlington"/>
    <s v="id3tag --song=&quot;Orlington (C.M.)&quot; --artist=&quot;J. Campbell&quot; --comment=&quot;&quot; --album=&quot;Green Book&quot; --track=&quot;48&quot; 48g.mid.mp3"/>
    <s v="https://www.dropbox.com/sh/cx7tus4mgkt9o4n/AADucXL1OF9bL8rI4ncSUl2_a/48g.mid.mp3?raw=1"/>
  </r>
  <r>
    <x v="382"/>
    <s v="Oslo"/>
    <s v="8.7.8.7. Dactylic"/>
    <n v="80"/>
    <m/>
    <s v="LFTB"/>
    <s v="Green Book"/>
    <x v="274"/>
    <s v="350g.mid"/>
    <s v="350g.mid.mp3"/>
    <m/>
    <m/>
    <n v="387"/>
    <s v="Oslo"/>
    <s v="id3tag --song=&quot;Oslo (8.7.8.7. Dactylic)&quot; --artist=&quot;Norwegian Air&quot; --comment=&quot;&quot; --album=&quot;Green Book&quot; --track=&quot;350&quot; 350g.mid.mp3"/>
    <s v="https://www.dropbox.com/sh/cx7tus4mgkt9o4n/AACm7mOksn4CjDavFj1-Vp9ea/350g.mid.mp3?raw=1"/>
  </r>
  <r>
    <x v="258"/>
    <s v="Our Leader"/>
    <s v="8.8.8.8.8.8."/>
    <n v="26"/>
    <m/>
    <s v="LFTBs"/>
    <s v="Red Book"/>
    <x v="275"/>
    <s v="214r.mid"/>
    <s v="214r.mid.mp3"/>
    <m/>
    <m/>
    <n v="233"/>
    <s v="Our Leader"/>
    <s v="id3tag --song=&quot;Our Leader (8.8.8.8.8.8.)&quot; --artist=&quot;Jacob Hoff&quot; --comment=&quot;&quot; --album=&quot;Red Book&quot; --track=&quot;214&quot; 214r.mid.mp3"/>
    <s v="https://www.dropbox.com/sh/cx7tus4mgkt9o4n/AAAfXxwjxYQvzqVpxB8ssjePa/214r.mid.mp3?raw=1"/>
  </r>
  <r>
    <x v="383"/>
    <s v="Oxford"/>
    <s v="8.7.8.7."/>
    <n v="24"/>
    <m/>
    <s v="LFTB"/>
    <s v="Green Book"/>
    <x v="276"/>
    <s v="330g.mid"/>
    <s v="330g.mid.mp3"/>
    <m/>
    <m/>
    <n v="381"/>
    <s v="Oxford"/>
    <s v="id3tag --song=&quot;Oxford (8.7.8.7.)&quot; --artist=&quot;Mrs. Daphne M. Morren&quot; --comment=&quot;&quot; --album=&quot;Green Book&quot; --track=&quot;330&quot; 330g.mid.mp3"/>
    <s v="https://www.dropbox.com/sh/cx7tus4mgkt9o4n/AAD-mz5RJeP5C2h_hlytM1yba/330g.mid.mp3?raw=1"/>
  </r>
  <r>
    <x v="384"/>
    <s v="Paignton"/>
    <s v="6.6.4.6.6.6.4."/>
    <n v="93"/>
    <m/>
    <s v="LFTBs"/>
    <s v="Red Book"/>
    <x v="104"/>
    <s v="76r.mid"/>
    <s v="76r.mid.mp3"/>
    <m/>
    <m/>
    <n v="235"/>
    <s v="Paignton"/>
    <s v="id3tag --song=&quot;Paignton (6.6.4.6.6.6.4.)&quot; --artist=&quot;A.B. Skeffington&quot; --comment=&quot;&quot; --album=&quot;Red Book&quot; --track=&quot;76&quot; 76r.mid.mp3"/>
    <s v="https://www.dropbox.com/sh/cx7tus4mgkt9o4n/AAC22uVg4GAdXXZK2_fONUuda/76r.mid.mp3?raw=1"/>
  </r>
  <r>
    <x v="385"/>
    <s v="Palmyra"/>
    <s v="8.6.8.6.8.8."/>
    <n v="55"/>
    <m/>
    <s v="LFTB"/>
    <s v="Green Book"/>
    <x v="277"/>
    <s v="307g.mid"/>
    <s v="307g.mid.mp3"/>
    <m/>
    <m/>
    <n v="491"/>
    <s v="Palmyra"/>
    <s v="id3tag --song=&quot;Palmyra (8.6.8.6.8.8.)&quot; --artist=&quot;J. Summers&quot; --comment=&quot;&quot; --album=&quot;Green Book&quot; --track=&quot;307&quot; 307g.mid.mp3"/>
    <s v="https://www.dropbox.com/sh/cx7tus4mgkt9o4n/AACGt4NCZbVyZ8rLaNiAIu9ja/307g.mid.mp3?raw=1"/>
  </r>
  <r>
    <x v="83"/>
    <s v="Parclete"/>
    <s v="12.11.12.11."/>
    <n v="33"/>
    <s v="6.6.6.5.6.6.6.5."/>
    <s v="LFTBs"/>
    <s v="Red Book"/>
    <x v="28"/>
    <s v="284r.mid"/>
    <s v="284r.mid.mp3"/>
    <m/>
    <m/>
    <n v="236"/>
    <s v="Parclete"/>
    <s v="id3tag --song=&quot;Parclete (12.11.12.11.)&quot; --artist=&quot;E. Carren&quot; --comment=&quot;&quot; --album=&quot;Red Book&quot; --track=&quot;284&quot; 284r.mid.mp3"/>
    <s v="https://www.dropbox.com/sh/cx7tus4mgkt9o4n/AADMJh9Cuch-I7axKehbpH_ea/284r.mid.mp3?raw=1"/>
  </r>
  <r>
    <x v="180"/>
    <s v="Park Langley"/>
    <s v="9.8.9.8.9.8.9.8."/>
    <n v="59"/>
    <m/>
    <s v="LFTBs"/>
    <s v="Red Book"/>
    <x v="278"/>
    <s v="236r.mid"/>
    <s v="236r.mid.mp3"/>
    <m/>
    <m/>
    <n v="237"/>
    <s v="Park Langley"/>
    <s v="id3tag --song=&quot;Park Langley (9.8.9.8.9.8.9.8.)&quot; --artist=&quot;Rev. E.H. Gladstone Sargent&quot; --comment=&quot;&quot; --album=&quot;Red Book&quot; --track=&quot;236&quot; 236r.mid.mp3"/>
    <s v="https://www.dropbox.com/sh/cx7tus4mgkt9o4n/AADEke6H5vJJmrFXbYnyMH9ga/236r.mid.mp3?raw=1"/>
  </r>
  <r>
    <x v="10"/>
    <s v="Park Street"/>
    <s v="6.4.6.4."/>
    <n v="62"/>
    <m/>
    <s v="LFTB"/>
    <s v="Green Book"/>
    <x v="279"/>
    <s v="171g.mid"/>
    <s v="171g.mid.mp3"/>
    <m/>
    <m/>
    <n v="27"/>
    <s v="Park Street"/>
    <s v="id3tag --song=&quot;Park Street (6.4.6.4.)&quot; --artist=&quot;J. H. Kilick&quot; --comment=&quot;&quot; --album=&quot;Green Book&quot; --track=&quot;171&quot; 171g.mid.mp3"/>
    <s v="https://www.dropbox.com/sh/cx7tus4mgkt9o4n/AACN26348UKvEeIKR60ZT626a/171g.mid.mp3?raw=1"/>
  </r>
  <r>
    <x v="386"/>
    <s v="Passion Chorale"/>
    <s v="7.6.7.6.7.6.7.6."/>
    <n v="34"/>
    <m/>
    <s v="LFTB"/>
    <s v="Green Book"/>
    <x v="280"/>
    <s v="549g.mid"/>
    <s v="549g.mid.mp3"/>
    <m/>
    <m/>
    <n v="756"/>
    <s v="Passion Chorale"/>
    <s v="id3tag --song=&quot;Passion Chorale (7.6.7.6.7.6.7.6.)&quot; --artist=&quot;H. L. Hassler&quot; --comment=&quot;&quot; --album=&quot;Green Book&quot; --track=&quot;549&quot; 549g.mid.mp3"/>
    <s v="https://www.dropbox.com/sh/cx7tus4mgkt9o4n/AABQLnKQnrvhb5P4L61-MJMna/549g.mid.mp3?raw=1"/>
  </r>
  <r>
    <x v="29"/>
    <s v="Pastor"/>
    <s v="7.6.7.6."/>
    <n v="41"/>
    <m/>
    <s v="LFTB"/>
    <s v="Green Book"/>
    <x v="281"/>
    <s v="219g.mid"/>
    <s v="219g.mid.mp3"/>
    <m/>
    <m/>
    <n v="624"/>
    <s v="Pastor"/>
    <s v="id3tag --song=&quot;Pastor (7.6.7.6.)&quot; --artist=&quot;Melchior Vulpiius&quot; --comment=&quot;&quot; --album=&quot;Green Book&quot; --track=&quot;219&quot; 219g.mid.mp3"/>
    <s v="https://www.dropbox.com/sh/cx7tus4mgkt9o4n/AACQoglnhLt3JI_kRlxvXk1Ta/219g.mid.mp3?raw=1"/>
  </r>
  <r>
    <x v="376"/>
    <s v="Patience"/>
    <s v="S.M."/>
    <n v="22"/>
    <m/>
    <s v="LFTBs"/>
    <s v="Red Book"/>
    <x v="282"/>
    <s v="47r.mid"/>
    <s v="47r.mid.mp3"/>
    <m/>
    <m/>
    <n v="238"/>
    <s v="Patience"/>
    <s v="id3tag --song=&quot;Patience (S.M.)&quot; --artist=&quot;Miss F.R. Jones&quot; --comment=&quot;&quot; --album=&quot;Red Book&quot; --track=&quot;47&quot; 47r.mid.mp3"/>
    <s v="https://www.dropbox.com/sh/cx7tus4mgkt9o4n/AAA3PPSfTlBEeajPLVmC4wExa/47r.mid.mp3?raw=1"/>
  </r>
  <r>
    <x v="16"/>
    <s v="Peace Eternal"/>
    <s v="9.8.9.8."/>
    <n v="35"/>
    <m/>
    <s v="LFTBs"/>
    <s v="Red Book"/>
    <x v="165"/>
    <s v="228r.mid"/>
    <s v="228r.mid.mp3"/>
    <m/>
    <s v="German Tunes (1952) No. 163"/>
    <n v="239"/>
    <s v="Peace Eternal"/>
    <s v="id3tag --song=&quot;Peace Eternal (9.8.9.8.)&quot; --artist=&quot;R. Arras&quot; --comment=&quot;German Tunes (1952) No. 163&quot; --album=&quot;Red Book&quot; --track=&quot;228&quot; 228r.mid.mp3"/>
    <s v="https://www.dropbox.com/sh/cx7tus4mgkt9o4n/AADBxKI-60RTTETRogG9gmMpa/228r.mid.mp3?raw=1"/>
  </r>
  <r>
    <x v="387"/>
    <s v="Peel Castle"/>
    <s v="10.10.10.10."/>
    <n v="21"/>
    <m/>
    <s v="LFTBs"/>
    <s v="Red Book"/>
    <x v="9"/>
    <s v="255r.mid"/>
    <s v="255r.mid.mp3"/>
    <m/>
    <m/>
    <n v="240"/>
    <s v="Peel Castle"/>
    <s v="id3tag --song=&quot;Peel Castle (10.10.10.10.)&quot; --artist=&quot;Unknown&quot; --comment=&quot;&quot; --album=&quot;Red Book&quot; --track=&quot;255&quot; 255r.mid.mp3"/>
    <s v="https://www.dropbox.com/sh/cx7tus4mgkt9o4n/AAAuX2GqIdDqKiKCRyvzqY_3a/255r.mid.mp3?raw=1"/>
  </r>
  <r>
    <x v="388"/>
    <s v="Pekah"/>
    <s v="6.6.6.5.6.6.6.5."/>
    <n v="43"/>
    <m/>
    <s v="LFTBs"/>
    <s v="Red Book"/>
    <x v="4"/>
    <s v="77r.mid"/>
    <s v="77r.mid.mp3"/>
    <m/>
    <m/>
    <n v="241"/>
    <s v="Pekah"/>
    <s v="id3tag --song=&quot;Pekah (6.6.6.5.6.6.6.5.)&quot; --artist=&quot;Miss E.C. Shanks&quot; --comment=&quot;&quot; --album=&quot;Red Book&quot; --track=&quot;77&quot; 77r.mid.mp3"/>
    <s v="https://www.dropbox.com/sh/cx7tus4mgkt9o4n/AAAiUMTmrZ1ptJpLhwm-d8zSa/77r.mid.mp3?raw=1"/>
  </r>
  <r>
    <x v="389"/>
    <s v="Pembroke"/>
    <s v="8.8.6.8.8.6."/>
    <n v="20"/>
    <m/>
    <s v="LFTB"/>
    <s v="Green Book"/>
    <x v="283"/>
    <s v="408g.mid"/>
    <s v="408g.mid.mp3"/>
    <m/>
    <m/>
    <n v="684"/>
    <s v="Pembroke"/>
    <s v="id3tag --song=&quot;Pembroke (8.8.6.8.8.6.)&quot; --artist=&quot;J. Foster&quot; --comment=&quot;&quot; --album=&quot;Green Book&quot; --track=&quot;408&quot; 408g.mid.mp3"/>
    <s v="https://www.dropbox.com/sh/cx7tus4mgkt9o4n/AABkZkFvhFLGFXw9OjaGsQHQa/408g.mid.mp3?raw=1"/>
  </r>
  <r>
    <x v="300"/>
    <s v="Pentecost"/>
    <s v="L.M."/>
    <n v="16"/>
    <m/>
    <s v="LFTB"/>
    <s v="Green Book"/>
    <x v="284"/>
    <s v="113g.mid"/>
    <s v="113g.mid.mp3"/>
    <m/>
    <m/>
    <n v="352"/>
    <s v="Pentecost"/>
    <s v="id3tag --song=&quot;Pentecost (L.M.)&quot; --artist=&quot;W. Boyd&quot; --comment=&quot;&quot; --album=&quot;Green Book&quot; --track=&quot;113&quot; 113g.mid.mp3"/>
    <s v="https://www.dropbox.com/sh/cx7tus4mgkt9o4n/AADRPgpg4aVh1Y7qvR8mhyYZa/113g.mid.mp3?raw=1"/>
  </r>
  <r>
    <x v="390"/>
    <s v="Perpetura"/>
    <s v="8.8.8.6."/>
    <n v="39"/>
    <m/>
    <s v="LFTB"/>
    <s v="Green Book"/>
    <x v="16"/>
    <s v="419g.mid"/>
    <s v="419g.mid.mp3"/>
    <m/>
    <m/>
    <n v="28"/>
    <s v="Perpetura"/>
    <s v="id3tag --song=&quot;Perpetura (8.8.8.6.)&quot; --artist=&quot;C. Leflaive&quot; --comment=&quot;&quot; --album=&quot;Green Book&quot; --track=&quot;419&quot; 419g.mid.mp3"/>
    <s v="https://www.dropbox.com/sh/cx7tus4mgkt9o4n/AAAl-GrE-RSii-D-tAgP-iSWa/419g.mid.mp3?raw=1"/>
  </r>
  <r>
    <x v="230"/>
    <s v="Petition"/>
    <s v="7.6.7.6.7.6.7.6."/>
    <n v="34"/>
    <m/>
    <s v="LFTB"/>
    <s v="Green Book"/>
    <x v="50"/>
    <s v="252g.mid"/>
    <s v="252g.mid.mp3"/>
    <m/>
    <m/>
    <n v="471"/>
    <s v="Petition"/>
    <s v="id3tag --song=&quot;Petition (7.6.7.6.7.6.7.6.)&quot; --artist=&quot;From Haydn&quot; --comment=&quot;&quot; --album=&quot;Green Book&quot; --track=&quot;252&quot; 252g.mid.mp3"/>
    <s v="https://www.dropbox.com/sh/cx7tus4mgkt9o4n/AADxD7Cl3xCbXd08rbZrJebPa/252g.mid.mp3?raw=1"/>
  </r>
  <r>
    <x v="391"/>
    <s v="Petrograd"/>
    <s v="9.8.9.8.9.8.9.8."/>
    <n v="59"/>
    <m/>
    <s v="LFTB"/>
    <s v="Green Book"/>
    <x v="285"/>
    <s v="447g.mid"/>
    <s v="447g.mid.mp3"/>
    <m/>
    <m/>
    <n v="398"/>
    <s v="Petrograd"/>
    <s v="id3tag --song=&quot;Petrograd (9.8.9.8.9.8.9.8.)&quot; --artist=&quot;D. Otsing&quot; --comment=&quot;&quot; --album=&quot;Green Book&quot; --track=&quot;447&quot; 447g.mid.mp3"/>
    <s v="https://www.dropbox.com/sh/cx7tus4mgkt9o4n/AAAsod9p3GHihkUJ61_ms0Bna/447g.mid.mp3?raw=1"/>
  </r>
  <r>
    <x v="366"/>
    <s v="Philologus"/>
    <s v="L.M.D."/>
    <n v="84"/>
    <m/>
    <s v="LFTBs"/>
    <s v="Red Book"/>
    <x v="4"/>
    <s v="42r.mid"/>
    <s v="42r.mid.mp3"/>
    <m/>
    <m/>
    <n v="242"/>
    <s v="Philologus"/>
    <s v="id3tag --song=&quot;Philologus (L.M.D.)&quot; --artist=&quot;Miss E.C. Shanks&quot; --comment=&quot;&quot; --album=&quot;Red Book&quot; --track=&quot;42&quot; 42r.mid.mp3"/>
    <s v="https://www.dropbox.com/sh/cx7tus4mgkt9o4n/AADv9_kQN5coSWSwjvhCobXaa/42r.mid.mp3?raw=1"/>
  </r>
  <r>
    <x v="392"/>
    <s v="Pilgrims"/>
    <s v="11.10.11.10.9.11."/>
    <n v="67"/>
    <m/>
    <s v="LFTB"/>
    <s v="Green Book"/>
    <x v="64"/>
    <s v="531g.mid"/>
    <s v="531g.mid.mp3"/>
    <m/>
    <m/>
    <n v="517"/>
    <s v="Pilgrims"/>
    <s v="id3tag --song=&quot;Pilgrims (11.10.11.10.9.11.)&quot; --artist=&quot;H. T. Smart&quot; --comment=&quot;&quot; --album=&quot;Green Book&quot; --track=&quot;531&quot; 531g.mid.mp3"/>
    <s v="https://www.dropbox.com/sh/cx7tus4mgkt9o4n/AAA8wSh-7Am5pm80_IYrL8cma/531g.mid.mp3?raw=1"/>
  </r>
  <r>
    <x v="393"/>
    <s v="Placida"/>
    <s v="8.7.8.7."/>
    <n v="24"/>
    <m/>
    <s v="LFTB"/>
    <s v="Green Book"/>
    <x v="113"/>
    <s v="331g.mid"/>
    <s v="331g.mid.mp3"/>
    <m/>
    <m/>
    <n v="382"/>
    <s v="Placida"/>
    <s v="id3tag --song=&quot;Placida (8.7.8.7.)&quot; --artist=&quot;From 'Geistliche Leider'&quot; --comment=&quot;&quot; --album=&quot;Green Book&quot; --track=&quot;331&quot; 331g.mid.mp3"/>
    <s v="https://www.dropbox.com/sh/cx7tus4mgkt9o4n/AAASK3VK2WgCdTpr5oJJ5_Nza/331g.mid.mp3?raw=1"/>
  </r>
  <r>
    <x v="179"/>
    <s v="Plumstead"/>
    <s v="C.M."/>
    <n v="19"/>
    <m/>
    <s v="LFTBs"/>
    <s v="Red Book"/>
    <x v="138"/>
    <s v="16r.mid"/>
    <s v="16r.mid.mp3"/>
    <m/>
    <m/>
    <n v="243"/>
    <s v="Plumstead"/>
    <s v="id3tag --song=&quot;Plumstead (C.M.)&quot; --artist=&quot;E.J. Judd&quot; --comment=&quot;&quot; --album=&quot;Red Book&quot; --track=&quot;16&quot; 16r.mid.mp3"/>
    <s v="https://www.dropbox.com/sh/cx7tus4mgkt9o4n/AACGlAz-FrvGreDsJAjY_8Xta/16r.mid.mp3?raw=1"/>
  </r>
  <r>
    <x v="394"/>
    <s v="Portnockie"/>
    <s v="8.8.6.8.8.6."/>
    <n v="20"/>
    <m/>
    <s v="LFTBs"/>
    <s v="Red Book"/>
    <x v="9"/>
    <s v="198r.mid"/>
    <s v="198r.mid.mp3"/>
    <m/>
    <m/>
    <n v="244"/>
    <s v="Portnockie"/>
    <s v="id3tag --song=&quot;Portnockie (8.8.6.8.8.6.)&quot; --artist=&quot;Unknown&quot; --comment=&quot;&quot; --album=&quot;Red Book&quot; --track=&quot;198&quot; 198r.mid.mp3"/>
    <s v="https://www.dropbox.com/sh/cx7tus4mgkt9o4n/AABIv3p798eVy2eEWoB2Vsbva/198r.mid.mp3?raw=1"/>
  </r>
  <r>
    <x v="395"/>
    <s v="Praise (Carren)"/>
    <s v="7.7.7.7."/>
    <n v="29"/>
    <m/>
    <s v="LFTBs"/>
    <s v="Red Book"/>
    <x v="286"/>
    <s v="115r.mid"/>
    <s v="115r.mid.mp3"/>
    <m/>
    <m/>
    <n v="245"/>
    <s v="Praise (Carren)"/>
    <s v="id3tag --song=&quot;Praise (Carren) (7.7.7.7.)&quot; --artist=&quot;Miss A. H. Lee&quot; --comment=&quot;&quot; --album=&quot;Red Book&quot; --track=&quot;115&quot; 115r.mid.mp3"/>
    <s v="https://www.dropbox.com/sh/cx7tus4mgkt9o4n/AADf6L8HuWih2BW1VnfYdQAka/115r.mid.mp3?raw=1"/>
  </r>
  <r>
    <x v="396"/>
    <s v="Praise (Lee)"/>
    <s v="8.8.6.8.8.6."/>
    <n v="20"/>
    <m/>
    <s v="LFTB"/>
    <s v="Green Book"/>
    <x v="287"/>
    <s v="410g.mid"/>
    <s v="410g.mid.mp3"/>
    <m/>
    <m/>
    <n v="685"/>
    <s v="Praise (Lee)"/>
    <s v="id3tag --song=&quot;Praise (Lee) (8.8.6.8.8.6.)&quot; --artist=&quot;A. Radiger&quot; --comment=&quot;&quot; --album=&quot;Green Book&quot; --track=&quot;410&quot; 410g.mid.mp3"/>
    <s v="https://www.dropbox.com/sh/cx7tus4mgkt9o4n/AACEGAHAObJhxQ6y6uHnNPVza/410g.mid.mp3?raw=1"/>
  </r>
  <r>
    <x v="397"/>
    <s v="Praise (Walker)"/>
    <s v="8.8.4.8.8.4."/>
    <n v="65"/>
    <m/>
    <s v="LFTB"/>
    <s v="Green Book"/>
    <x v="153"/>
    <s v="400g.mid"/>
    <s v="400g.mid.mp3"/>
    <m/>
    <m/>
    <n v="29"/>
    <s v="Praise (Walker)"/>
    <s v="id3tag --song=&quot;Praise (Walker) (8.8.4.8.8.4.)&quot; --artist=&quot;Miss S. M. Walker&quot; --comment=&quot;&quot; --album=&quot;Green Book&quot; --track=&quot;400&quot; 400g.mid.mp3"/>
    <s v="https://www.dropbox.com/sh/cx7tus4mgkt9o4n/AAA6JcdXmVU393StGT-oRlSFa/400g.mid.mp3?raw=1"/>
  </r>
  <r>
    <x v="398"/>
    <s v="Praise and Glory"/>
    <s v="9.8.9.8."/>
    <n v="35"/>
    <m/>
    <s v="LFTB"/>
    <s v="Green Book"/>
    <x v="28"/>
    <s v="444g.mid"/>
    <s v="444g.mid.mp3"/>
    <n v="1951"/>
    <m/>
    <n v="704"/>
    <s v="Praise and Glory"/>
    <s v="id3tag --song=&quot;Praise and Glory (9.8.9.8.)&quot; --artist=&quot;E. Carren&quot; --comment=&quot;&quot; --album=&quot;Green Book&quot; --track=&quot;444&quot; 444g.mid.mp3"/>
    <s v="https://www.dropbox.com/sh/cx7tus4mgkt9o4n/AACwzAUHwc02x1f5qdNv1BGUa/444g.mid.mp3?raw=1"/>
  </r>
  <r>
    <x v="399"/>
    <s v="Praise My Soul"/>
    <s v="8.7.8.7.4.7."/>
    <n v="50"/>
    <m/>
    <s v="LFTB"/>
    <s v="Green Book"/>
    <x v="288"/>
    <s v="362g.mid"/>
    <s v="362g.mid.mp3"/>
    <m/>
    <m/>
    <n v="664"/>
    <s v="Praise My Soul"/>
    <s v="id3tag --song=&quot;Praise My Soul (8.7.8.7.4.7.)&quot; --artist=&quot;Sir John Goss&quot; --comment=&quot;&quot; --album=&quot;Green Book&quot; --track=&quot;362&quot; 362g.mid.mp3"/>
    <s v="https://www.dropbox.com/sh/cx7tus4mgkt9o4n/AADal_9qBxXhq66TMgQLitB-a/362g.mid.mp3?raw=1"/>
  </r>
  <r>
    <x v="400"/>
    <s v="Praise the Saviour"/>
    <s v="8.8.8.5. Trochaic"/>
    <s v="NONE"/>
    <m/>
    <s v="LFTB"/>
    <s v="Green Book"/>
    <x v="9"/>
    <s v="415g.mid"/>
    <s v="415g.mid.mp3"/>
    <m/>
    <m/>
    <n v="688"/>
    <s v="Praise the Saviour"/>
    <s v="id3tag --song=&quot;Praise the Saviour (8.8.8.5. Trochaic)&quot; --artist=&quot;Unknown&quot; --comment=&quot;&quot; --album=&quot;Green Book&quot; --track=&quot;415&quot; 415g.mid.mp3"/>
    <s v="https://www.dropbox.com/sh/cx7tus4mgkt9o4n/AADUUj4L4s-qU028eIPxUDLpa/415g.mid.mp3?raw=1"/>
  </r>
  <r>
    <x v="401"/>
    <s v="Predestination"/>
    <s v="11.10.11.10. Dactylic"/>
    <n v="17"/>
    <m/>
    <s v="LFTB"/>
    <s v="Green Book"/>
    <x v="289"/>
    <s v="527g.mid"/>
    <s v="527g.mid.mp3"/>
    <n v="1951"/>
    <m/>
    <n v="746"/>
    <s v="Predestination"/>
    <s v="id3tag --song=&quot;Predestination (11.10.11.10. Dactylic)&quot; --artist=&quot;B.D. Brooks&quot; --comment=&quot;&quot; --album=&quot;Green Book&quot; --track=&quot;527&quot; 527g.mid.mp3"/>
    <s v="https://www.dropbox.com/sh/cx7tus4mgkt9o4n/AAC8IRTYQyLkojYmQlJZiGlOa/527g.mid.mp3?raw=1"/>
  </r>
  <r>
    <x v="402"/>
    <s v="Prenton"/>
    <s v="4.8.4.8.8."/>
    <n v="28"/>
    <m/>
    <s v="LFTBs"/>
    <s v="Red Book"/>
    <x v="52"/>
    <s v="56r.mid"/>
    <s v="56r.mid.mp3"/>
    <m/>
    <m/>
    <n v="246"/>
    <s v="Prenton"/>
    <s v="id3tag --song=&quot;Prenton (4.8.4.8.8.)&quot; --artist=&quot;F.H. Parkes&quot; --comment=&quot;&quot; --album=&quot;Red Book&quot; --track=&quot;56&quot; 56r.mid.mp3"/>
    <s v="https://www.dropbox.com/sh/cx7tus4mgkt9o4n/AACSI1qMCCBNeAgBuWqh1xtLa/56r.mid.mp3?raw=1"/>
  </r>
  <r>
    <x v="403"/>
    <s v="Priory"/>
    <s v="6.6.8.4.6.6.8.4."/>
    <n v="23"/>
    <m/>
    <s v="LFTB"/>
    <s v="Green Book"/>
    <x v="9"/>
    <s v="210g.mid"/>
    <s v="210g.mid.mp3"/>
    <m/>
    <m/>
    <n v="30"/>
    <s v="Priory"/>
    <s v="id3tag --song=&quot;Priory (6.6.8.4.6.6.8.4.)&quot; --artist=&quot;Unknown&quot; --comment=&quot;&quot; --album=&quot;Green Book&quot; --track=&quot;210&quot; 210g.mid.mp3"/>
    <s v="https://www.dropbox.com/sh/cx7tus4mgkt9o4n/AACNRux_XsrktlJ-MZ0F4fjoa/210g.mid.mp3?raw=1"/>
  </r>
  <r>
    <x v="127"/>
    <s v="Quartus"/>
    <s v="8.7.8.7.8.7.8.7."/>
    <n v="25"/>
    <m/>
    <s v="LFTBs"/>
    <s v="Red Book"/>
    <x v="35"/>
    <s v="189r.mid"/>
    <s v="189r.mid.mp3"/>
    <m/>
    <m/>
    <n v="247"/>
    <s v="Quartus"/>
    <s v="id3tag --song=&quot;Quartus (8.7.8.7.8.7.8.7.)&quot; --artist=&quot;D.A.J. Burling&quot; --comment=&quot;&quot; --album=&quot;Red Book&quot; --track=&quot;189&quot; 189r.mid.mp3"/>
    <s v="https://www.dropbox.com/sh/cx7tus4mgkt9o4n/AAC7Cn1wIqjtv62Ca9aC_YNua/189r.mid.mp3?raw=1"/>
  </r>
  <r>
    <x v="404"/>
    <s v="Quemerford"/>
    <s v="8.8.8.8.8.8."/>
    <n v="26"/>
    <m/>
    <s v="LFTB"/>
    <s v="Green Book"/>
    <x v="75"/>
    <s v="435g.mid"/>
    <s v="435g.mid.mp3"/>
    <m/>
    <m/>
    <n v="699"/>
    <s v="Quemerford"/>
    <s v="id3tag --song=&quot;Quemerford (8.8.8.8.8.8.)&quot; --artist=&quot;Miss La Thangue&quot; --comment=&quot;&quot; --album=&quot;Green Book&quot; --track=&quot;435&quot; 435g.mid.mp3"/>
    <s v="https://www.dropbox.com/sh/cx7tus4mgkt9o4n/AACFh0AjdY3IiqoTYoiScTeya/435g.mid.mp3?raw=1"/>
  </r>
  <r>
    <x v="405"/>
    <s v="Quis Seperabit"/>
    <s v="8.6.8.6.8.6.8.6.8.6."/>
    <s v="NONE"/>
    <m/>
    <s v="LFTB"/>
    <s v="Green Book"/>
    <x v="290"/>
    <s v="304g.mid"/>
    <s v="304g.mid.mp3"/>
    <m/>
    <m/>
    <n v="654"/>
    <s v="No matching tune"/>
    <s v="id3tag --song=&quot;Quis Seperabit (8.6.8.6.8.6.8.6.8.6.)&quot; --artist=&quot;C.T. Lambert&quot; --comment=&quot;&quot; --album=&quot;Green Book&quot; --track=&quot;304&quot; 304g.mid.mp3"/>
    <e v="#N/A"/>
  </r>
  <r>
    <x v="181"/>
    <s v="Quo Vadis"/>
    <s v="C.M."/>
    <n v="19"/>
    <m/>
    <s v="LFTBs"/>
    <s v="Red Book"/>
    <x v="28"/>
    <s v="17r.mid"/>
    <s v="17r.mid.mp3"/>
    <m/>
    <m/>
    <n v="248"/>
    <s v="Quo Vadis"/>
    <s v="id3tag --song=&quot;Quo Vadis (C.M.)&quot; --artist=&quot;E. Carren&quot; --comment=&quot;&quot; --album=&quot;Red Book&quot; --track=&quot;17&quot; 17r.mid.mp3"/>
    <s v="https://www.dropbox.com/sh/cx7tus4mgkt9o4n/AADzrQjPG94088BWp116SoTca/17r.mid.mp3?raw=1"/>
  </r>
  <r>
    <x v="406"/>
    <s v="Rachel"/>
    <s v="9.8.9.8."/>
    <n v="35"/>
    <m/>
    <s v="LFTB"/>
    <s v="Green Book"/>
    <x v="193"/>
    <s v="445g.mid"/>
    <s v="445g.mid.mp3"/>
    <n v="1951"/>
    <m/>
    <n v="705"/>
    <s v="Rachel"/>
    <s v="id3tag --song=&quot;Rachel (9.8.9.8.)&quot; --artist=&quot;P. J. L. Hindle&quot; --comment=&quot;&quot; --album=&quot;Green Book&quot; --track=&quot;445&quot; 445g.mid.mp3"/>
    <s v="https://www.dropbox.com/sh/cx7tus4mgkt9o4n/AABlkI0P2Ph4kdhJvgQEXMvga/445g.mid.mp3?raw=1"/>
  </r>
  <r>
    <x v="340"/>
    <s v="Rachie"/>
    <s v="11.11.11.11. Trochaic"/>
    <n v="64"/>
    <m/>
    <s v="LFTBs"/>
    <s v="Red Book"/>
    <x v="179"/>
    <s v="281r.mid"/>
    <s v="281r.mid.mp3"/>
    <m/>
    <m/>
    <n v="249"/>
    <s v="Rachie"/>
    <s v="id3tag --song=&quot;Rachie (11.11.11.11. Trochaic)&quot; --artist=&quot;Dr. Caradog Roberts&quot; --comment=&quot;&quot; --album=&quot;Red Book&quot; --track=&quot;281&quot; 281r.mid.mp3"/>
    <s v="https://www.dropbox.com/sh/cx7tus4mgkt9o4n/AADH0Ms5yzUxLFvNXIkM2PhMa/281r.mid.mp3?raw=1"/>
  </r>
  <r>
    <x v="255"/>
    <s v="Radlett"/>
    <s v="10.4.10.4.10.10."/>
    <n v="45"/>
    <m/>
    <s v="LFTBs"/>
    <s v="Red Book"/>
    <x v="291"/>
    <s v="245r.mid"/>
    <s v="245r.mid.mp3"/>
    <m/>
    <m/>
    <n v="250"/>
    <s v="Radlett"/>
    <s v="id3tag --song=&quot;Radlett (10.4.10.4.10.10.)&quot; --artist=&quot;T.L. Edwards&quot; --comment=&quot;&quot; --album=&quot;Red Book&quot; --track=&quot;245&quot; 245r.mid.mp3"/>
    <s v="https://www.dropbox.com/sh/cx7tus4mgkt9o4n/AADtPjlD1_cgdp8DFVT7VFHva/245r.mid.mp3?raw=1"/>
  </r>
  <r>
    <x v="407"/>
    <s v="Raemond"/>
    <s v="12.13.12.10."/>
    <n v="48"/>
    <m/>
    <s v="LFTB"/>
    <s v="Green Book"/>
    <x v="119"/>
    <s v="547g.mid"/>
    <s v="547g.mid.mp3"/>
    <n v="1951"/>
    <m/>
    <n v="754"/>
    <s v="Raemond"/>
    <s v="id3tag --song=&quot;Raemond (12.13.12.10.)&quot; --artist=&quot;Miss D. A. Elderton&quot; --comment=&quot;&quot; --album=&quot;Green Book&quot; --track=&quot;547&quot; 547g.mid.mp3"/>
    <s v="https://www.dropbox.com/sh/cx7tus4mgkt9o4n/AABRFyUxrAtpuU-DdsCbYDioa/547g.mid.mp3?raw=1"/>
  </r>
  <r>
    <x v="408"/>
    <s v="Rapture"/>
    <s v="8.7.8.7."/>
    <n v="24"/>
    <m/>
    <s v="LFTBs"/>
    <s v="Red Book"/>
    <x v="43"/>
    <s v="156r.mid"/>
    <s v="156r.mid.mp3"/>
    <m/>
    <m/>
    <n v="251"/>
    <s v="Rapture"/>
    <s v="id3tag --song=&quot;Rapture (8.7.8.7.)&quot; --artist=&quot;Peter Blanche&quot; --comment=&quot;&quot; --album=&quot;Red Book&quot; --track=&quot;156&quot; 156r.mid.mp3"/>
    <s v="https://www.dropbox.com/sh/cx7tus4mgkt9o4n/AAAQvfA-spDpDPpVVr5BUlWQa/156r.mid.mp3?raw=1"/>
  </r>
  <r>
    <x v="409"/>
    <s v="Ravendale"/>
    <s v="8.8.6.8.8.6."/>
    <n v="20"/>
    <m/>
    <s v="LFTB"/>
    <s v="Green Book"/>
    <x v="292"/>
    <s v="411g.mid"/>
    <s v="411g.mid.mp3"/>
    <m/>
    <m/>
    <n v="686"/>
    <s v="Ravendale"/>
    <s v="id3tag --song=&quot;Ravendale (8.8.6.8.8.6.)&quot; --artist=&quot;W. Stokes&quot; --comment=&quot;&quot; --album=&quot;Green Book&quot; --track=&quot;411&quot; 411g.mid.mp3"/>
    <s v="https://www.dropbox.com/sh/cx7tus4mgkt9o4n/AABLj24NW3JUhuuhZyO3cpEwa/411g.mid.mp3?raw=1"/>
  </r>
  <r>
    <x v="294"/>
    <s v="Reapers"/>
    <s v="8.7.8.7.8.7.8.7."/>
    <n v="25"/>
    <m/>
    <s v="LFTBs"/>
    <s v="Red Book"/>
    <x v="293"/>
    <s v="190r.mid"/>
    <s v="190r.mid.mp3"/>
    <m/>
    <m/>
    <n v="252"/>
    <s v="Reapers"/>
    <s v="id3tag --song=&quot;Reapers (8.7.8.7.8.7.8.7.)&quot; --artist=&quot;J.B.O. Clemm&quot; --comment=&quot;&quot; --album=&quot;Red Book&quot; --track=&quot;190&quot; 190r.mid.mp3"/>
    <s v="https://www.dropbox.com/sh/cx7tus4mgkt9o4n/AAB59JBAursW4G-yXBbwEHrka/190r.mid.mp3?raw=1"/>
  </r>
  <r>
    <x v="410"/>
    <s v="Redhead No. 46"/>
    <s v="8.7.8.7."/>
    <n v="24"/>
    <m/>
    <s v="LFTB"/>
    <s v="Green Book"/>
    <x v="294"/>
    <s v="333g.mid"/>
    <s v="333g.mid.mp3"/>
    <m/>
    <m/>
    <n v="383"/>
    <s v="Redhead No. 46"/>
    <s v="id3tag --song=&quot;Redhead No. 46 (8.7.8.7.)&quot; --artist=&quot;Richard Redhead&quot; --comment=&quot;&quot; --album=&quot;Green Book&quot; --track=&quot;333&quot; 333g.mid.mp3"/>
    <s v="https://www.dropbox.com/sh/cx7tus4mgkt9o4n/AABY5TOe5p6zwZQN6vdubcMAa/333g.mid.mp3?raw=1"/>
  </r>
  <r>
    <x v="177"/>
    <s v="Redhead No. 76"/>
    <s v="7.7.7.7.7.7."/>
    <n v="83"/>
    <m/>
    <s v="LFTB"/>
    <s v="Green Book"/>
    <x v="294"/>
    <s v="275g.mid"/>
    <s v="275g.mid.mp3"/>
    <m/>
    <m/>
    <n v="373"/>
    <s v="Redhead No. 76"/>
    <s v="id3tag --song=&quot;Redhead No. 76 (7.7.7.7.7.7.)&quot; --artist=&quot;Richard Redhead&quot; --comment=&quot;&quot; --album=&quot;Green Book&quot; --track=&quot;275&quot; 275g.mid.mp3"/>
    <s v="https://www.dropbox.com/sh/cx7tus4mgkt9o4n/AABLKc3GN_kLzxxuUt5Wo4P-a/275g.mid.mp3?raw=1"/>
  </r>
  <r>
    <x v="339"/>
    <s v="Refulgence"/>
    <s v="7.6.7.6.7.6.7.6."/>
    <n v="34"/>
    <m/>
    <s v="LFTBs"/>
    <s v="Red Book"/>
    <x v="35"/>
    <s v="108r.mid"/>
    <s v="108r.mid.mp3"/>
    <m/>
    <m/>
    <n v="253"/>
    <s v="Refulgence"/>
    <s v="id3tag --song=&quot;Refulgence (7.6.7.6.7.6.7.6.)&quot; --artist=&quot;D.A.J. Burling&quot; --comment=&quot;&quot; --album=&quot;Red Book&quot; --track=&quot;108&quot; 108r.mid.mp3"/>
    <s v="https://www.dropbox.com/sh/cx7tus4mgkt9o4n/AABuHjiBdy-hR0QNyx44QK6pa/108r.mid.mp3?raw=1"/>
  </r>
  <r>
    <x v="411"/>
    <s v="Regent Square"/>
    <s v="8.7.8.7.4.7."/>
    <n v="50"/>
    <m/>
    <s v="LFTB"/>
    <s v="Green Book"/>
    <x v="64"/>
    <s v="363g.mid"/>
    <s v="363g.mid.mp3"/>
    <m/>
    <m/>
    <n v="665"/>
    <s v="Regent Square"/>
    <s v="id3tag --song=&quot;Regent Square (8.7.8.7.4.7.)&quot; --artist=&quot;H. T. Smart&quot; --comment=&quot;&quot; --album=&quot;Green Book&quot; --track=&quot;363&quot; 363g.mid.mp3"/>
    <s v="https://www.dropbox.com/sh/cx7tus4mgkt9o4n/AABuTQc-sRXBvxii3gpyxYvna/363g.mid.mp3?raw=1"/>
  </r>
  <r>
    <x v="183"/>
    <s v="Regina"/>
    <s v="C.M."/>
    <n v="19"/>
    <m/>
    <s v="LFTBs"/>
    <s v="Red Book"/>
    <x v="295"/>
    <s v="18r.mid"/>
    <s v="18r.mid.mp3"/>
    <m/>
    <m/>
    <n v="254"/>
    <s v="Regina"/>
    <s v="id3tag --song=&quot;Regina (C.M.)&quot; --artist=&quot;A. H. McNie&quot; --comment=&quot;&quot; --album=&quot;Red Book&quot; --track=&quot;18&quot; 18r.mid.mp3"/>
    <s v="https://www.dropbox.com/sh/cx7tus4mgkt9o4n/AAB288FKNcSW5uvT_vFUVhdMa/18r.mid.mp3?raw=1"/>
  </r>
  <r>
    <x v="20"/>
    <s v="Rejoicing"/>
    <s v="9.8.9.8."/>
    <n v="35"/>
    <m/>
    <s v="LFTBs"/>
    <s v="Red Book"/>
    <x v="296"/>
    <s v="229r.mid"/>
    <s v="229r.mid.mp3"/>
    <m/>
    <m/>
    <n v="255"/>
    <s v="Rejoicing"/>
    <s v="id3tag --song=&quot;Rejoicing (9.8.9.8.)&quot; --artist=&quot;Mrs. H. B. Burr&quot; --comment=&quot;&quot; --album=&quot;Red Book&quot; --track=&quot;229&quot; 229r.mid.mp3"/>
    <s v="https://www.dropbox.com/sh/cx7tus4mgkt9o4n/AADA40aLPwvlMj9OO7x3uvb7a/229r.mid.mp3?raw=1"/>
  </r>
  <r>
    <x v="412"/>
    <s v="Remember Me"/>
    <s v="C.M."/>
    <n v="19"/>
    <m/>
    <s v="LFTB"/>
    <s v="Green Book"/>
    <x v="297"/>
    <s v="50g.mid"/>
    <s v="50g.mid.mp3"/>
    <m/>
    <m/>
    <n v="336"/>
    <s v="Remember Me"/>
    <s v="id3tag --song=&quot;Remember Me (C.M.)&quot; --artist=&quot;Asa Hull&quot; --comment=&quot;&quot; --album=&quot;Green Book&quot; --track=&quot;50&quot; 50g.mid.mp3"/>
    <s v="https://www.dropbox.com/sh/cx7tus4mgkt9o4n/AABw1c1ihifQnG1nYJf6a8dra/50g.mid.mp3?raw=1"/>
  </r>
  <r>
    <x v="37"/>
    <s v="Remembrance (Booth)"/>
    <s v="7.6.7.6."/>
    <n v="41"/>
    <m/>
    <s v="LFTB"/>
    <s v="Green Book"/>
    <x v="201"/>
    <s v="220g.mid"/>
    <s v="220g.mid.mp3"/>
    <m/>
    <m/>
    <n v="625"/>
    <s v="Remembrance (Booth)"/>
    <s v="id3tag --song=&quot;Remembrance (Booth) (7.6.7.6.)&quot; --artist=&quot;Josiah Booth&quot; --comment=&quot;&quot; --album=&quot;Green Book&quot; --track=&quot;220&quot; 220g.mid.mp3"/>
    <s v="https://www.dropbox.com/sh/cx7tus4mgkt9o4n/AADhu6brIuKAp0HLcaBlDojea/220g.mid.mp3?raw=1"/>
  </r>
  <r>
    <x v="225"/>
    <s v="Repose"/>
    <s v="S.M."/>
    <n v="22"/>
    <m/>
    <s v="LFTB"/>
    <s v="Green Book"/>
    <x v="155"/>
    <s v="145g.mid"/>
    <s v="145g.mid.mp3"/>
    <n v="1938"/>
    <m/>
    <n v="441"/>
    <s v="Repose"/>
    <s v="id3tag --song=&quot;Repose (S.M.)&quot; --artist=&quot;P. Blanche&quot; --comment=&quot;&quot; --album=&quot;Green Book&quot; --track=&quot;145&quot; 145g.mid.mp3"/>
    <s v="https://www.dropbox.com/sh/cx7tus4mgkt9o4n/AAC5M4T-JQTWYBritbo2Wecxa/145g.mid.mp3?raw=1"/>
  </r>
  <r>
    <x v="413"/>
    <s v="Response"/>
    <s v="9.8.9.8."/>
    <n v="35"/>
    <m/>
    <s v="LFTBs"/>
    <s v="Red Book"/>
    <x v="298"/>
    <s v="230r.mid"/>
    <s v="230r.mid.mp3"/>
    <m/>
    <m/>
    <n v="256"/>
    <s v="Response"/>
    <s v="id3tag --song=&quot;Response (9.8.9.8.)&quot; --artist=&quot;C. Jarres&quot; --comment=&quot;&quot; --album=&quot;Red Book&quot; --track=&quot;230&quot; 230r.mid.mp3"/>
    <s v="https://www.dropbox.com/sh/cx7tus4mgkt9o4n/AACwMF0rEbSHXR8OL7Cn9c0aa/230r.mid.mp3?raw=1"/>
  </r>
  <r>
    <x v="154"/>
    <s v="Rest (Maker)"/>
    <s v="C.M."/>
    <n v="19"/>
    <m/>
    <s v="LFTB"/>
    <s v="Green Book"/>
    <x v="211"/>
    <s v="51g.mid"/>
    <s v="51g.mid.mp3"/>
    <m/>
    <m/>
    <n v="531"/>
    <s v="Rest (Maker)"/>
    <s v="id3tag --song=&quot;Rest (Maker) (C.M.)&quot; --artist=&quot;F.C. Maker&quot; --comment=&quot;&quot; --album=&quot;Green Book&quot; --track=&quot;51&quot; 51g.mid.mp3"/>
    <s v="https://www.dropbox.com/sh/cx7tus4mgkt9o4n/AADv5Vgj6o0TxqIj-QBFMmjia/51g.mid.mp3?raw=1"/>
  </r>
  <r>
    <x v="414"/>
    <s v="Rest (Stainer)"/>
    <s v="8.8.8.8.8.8."/>
    <n v="26"/>
    <m/>
    <s v="LFTB"/>
    <s v="Green Book"/>
    <x v="21"/>
    <s v="436g.mid"/>
    <s v="436g.mid.mp3"/>
    <m/>
    <m/>
    <n v="700"/>
    <s v="Rest (Stainer)"/>
    <s v="id3tag --song=&quot;Rest (Stainer) (8.8.8.8.8.8.)&quot; --artist=&quot;Sir John Stainer&quot; --comment=&quot;&quot; --album=&quot;Green Book&quot; --track=&quot;436&quot; 436g.mid.mp3"/>
    <s v="https://www.dropbox.com/sh/cx7tus4mgkt9o4n/AABZZtKPw3SMFkqHRzVAuP4ua/436g.mid.mp3?raw=1"/>
  </r>
  <r>
    <x v="362"/>
    <s v="Rest and Home"/>
    <s v="7.6.7.6.7.6.7.6."/>
    <n v="34"/>
    <m/>
    <s v="LFTB"/>
    <s v="Green Book"/>
    <x v="75"/>
    <s v="254g.mid"/>
    <s v="254g.mid.mp3"/>
    <m/>
    <m/>
    <n v="637"/>
    <s v="Rest and Home"/>
    <s v="id3tag --song=&quot;Rest and Home (7.6.7.6.7.6.7.6.)&quot; --artist=&quot;Miss La Thangue&quot; --comment=&quot;&quot; --album=&quot;Green Book&quot; --track=&quot;254&quot; 254g.mid.mp3"/>
    <s v="https://www.dropbox.com/sh/cx7tus4mgkt9o4n/AAC5jXjqupv9fbkqvbS8MCa-a/254g.mid.mp3?raw=1"/>
  </r>
  <r>
    <x v="415"/>
    <s v="Resurrection"/>
    <s v="8.7.8.7."/>
    <n v="24"/>
    <s v="8.8.7.7."/>
    <s v="LFTBs"/>
    <s v="Red Book"/>
    <x v="299"/>
    <s v="157r.mid"/>
    <s v="157r.mid.mp3"/>
    <m/>
    <m/>
    <n v="257"/>
    <s v="Resurrection"/>
    <s v="id3tag --song=&quot;Resurrection (8.7.8.7.)&quot; --artist=&quot;Mrs. D.L. Johnston&quot; --comment=&quot;&quot; --album=&quot;Red Book&quot; --track=&quot;157&quot; 157r.mid.mp3"/>
    <s v="https://www.dropbox.com/sh/cx7tus4mgkt9o4n/AAAGd2h_UTl0zAfjIzuAfAFla/157r.mid.mp3?raw=1"/>
  </r>
  <r>
    <x v="354"/>
    <s v="Retreat"/>
    <s v="L.M."/>
    <n v="16"/>
    <m/>
    <s v="LFTBs"/>
    <s v="Red Book"/>
    <x v="300"/>
    <s v="38r.mid"/>
    <s v="38r.mid.mp3"/>
    <m/>
    <m/>
    <n v="258"/>
    <s v="Retreat"/>
    <s v="id3tag --song=&quot;Retreat (L.M.)&quot; --artist=&quot;Dr. Thomas Hastings&quot; --comment=&quot;&quot; --album=&quot;Red Book&quot; --track=&quot;38&quot; 38r.mid.mp3"/>
    <s v="https://www.dropbox.com/sh/cx7tus4mgkt9o4n/AACRf-1XnW9qO-P1cjx0PRlMa/38r.mid.mp3?raw=1"/>
  </r>
  <r>
    <x v="416"/>
    <s v="Reuben"/>
    <s v="8.8.6.8.8.6."/>
    <n v="20"/>
    <m/>
    <s v="LFTB"/>
    <s v="Green Book"/>
    <x v="301"/>
    <s v="412g.mid"/>
    <s v="412g.mid.mp3"/>
    <m/>
    <m/>
    <n v="687"/>
    <s v="Reuben"/>
    <s v="id3tag --song=&quot;Reuben (8.8.6.8.8.6.)&quot; --artist=&quot;S. Wakely&quot; --comment=&quot;&quot; --album=&quot;Green Book&quot; --track=&quot;412&quot; 412g.mid.mp3"/>
    <s v="https://www.dropbox.com/sh/cx7tus4mgkt9o4n/AADiQhHNkzSOFy3bApueBxVaa/412g.mid.mp3?raw=1"/>
  </r>
  <r>
    <x v="417"/>
    <s v="Revelation"/>
    <s v="4.8.4.8.8."/>
    <n v="28"/>
    <m/>
    <s v="LFTB"/>
    <s v="Green Book"/>
    <x v="125"/>
    <s v="165g.mid"/>
    <s v="165g.mid.mp3"/>
    <n v="1951"/>
    <m/>
    <n v="31"/>
    <s v="Revelation"/>
    <s v="id3tag --song=&quot;Revelation (4.8.4.8.8.)&quot; --artist=&quot;Mrs. H. B. Cowie&quot; --comment=&quot;&quot; --album=&quot;Green Book&quot; --track=&quot;165&quot; 165g.mid.mp3"/>
    <s v="https://www.dropbox.com/sh/cx7tus4mgkt9o4n/AABzIEcvRcsgXghy5bSzQoOya/165g.mid.mp3?raw=1"/>
  </r>
  <r>
    <x v="418"/>
    <s v="Revival"/>
    <s v="S.M.D."/>
    <n v="70"/>
    <m/>
    <s v="LFTBs"/>
    <s v="Red Book"/>
    <x v="302"/>
    <s v="52r.mid"/>
    <s v="52r.mid.mp3"/>
    <m/>
    <m/>
    <n v="259"/>
    <s v="Revival"/>
    <s v="id3tag --song=&quot;Revival (S.M.D.)&quot; --artist=&quot;W.H. Doane&quot; --comment=&quot;&quot; --album=&quot;Red Book&quot; --track=&quot;52&quot; 52r.mid.mp3"/>
    <s v="https://www.dropbox.com/sh/cx7tus4mgkt9o4n/AAASLLvAUqqJIuGHHU0aqebxa/52r.mid.mp3?raw=1"/>
  </r>
  <r>
    <x v="419"/>
    <s v="Rhineland"/>
    <s v="8.7.8.7."/>
    <n v="24"/>
    <m/>
    <s v="LFTB"/>
    <s v="Green Book"/>
    <x v="113"/>
    <s v="334g.mid"/>
    <s v="334g.mid.mp3"/>
    <m/>
    <m/>
    <n v="384"/>
    <s v="Rhineland"/>
    <s v="id3tag --song=&quot;Rhineland (8.7.8.7.)&quot; --artist=&quot;From 'Geistliche Leider'&quot; --comment=&quot;&quot; --album=&quot;Green Book&quot; --track=&quot;334&quot; 334g.mid.mp3"/>
    <s v="https://www.dropbox.com/sh/cx7tus4mgkt9o4n/AAB35lk-2Nyy7pM9azjjsX0Ia/334g.mid.mp3?raw=1"/>
  </r>
  <r>
    <x v="360"/>
    <s v="Rhodes"/>
    <s v="S.M."/>
    <n v="22"/>
    <m/>
    <s v="LFTB"/>
    <s v="Green Book"/>
    <x v="303"/>
    <s v="146g.mid"/>
    <s v="146g.mid.mp3"/>
    <m/>
    <m/>
    <n v="614"/>
    <s v="Rhodes"/>
    <s v="id3tag --song=&quot;Rhodes (S.M.)&quot; --artist=&quot;Dr. C. Warwich Jordan&quot; --comment=&quot;&quot; --album=&quot;Green Book&quot; --track=&quot;146&quot; 146g.mid.mp3"/>
    <s v="https://www.dropbox.com/sh/cx7tus4mgkt9o4n/AACaIPSS7gwBWscU6p6eqL9ia/146g.mid.mp3?raw=1"/>
  </r>
  <r>
    <x v="420"/>
    <s v="Rhys"/>
    <s v="11.10.11.10."/>
    <n v="52"/>
    <m/>
    <s v="LFTB"/>
    <s v="Green Book"/>
    <x v="304"/>
    <s v="520g.mid"/>
    <s v="520g.mid.mp3"/>
    <m/>
    <m/>
    <n v="743"/>
    <s v="Rhys"/>
    <s v="id3tag --song=&quot;Rhys (11.10.11.10.)&quot; --artist=&quot;W. J. Evans&quot; --comment=&quot;&quot; --album=&quot;Green Book&quot; --track=&quot;520&quot; 520g.mid.mp3"/>
    <s v="https://www.dropbox.com/sh/cx7tus4mgkt9o4n/AAAFI-XDHqT1ihg6oDmJYb92a/520g.mid.mp3?raw=1"/>
  </r>
  <r>
    <x v="418"/>
    <s v="Richmond"/>
    <s v="C.M."/>
    <n v="19"/>
    <m/>
    <s v="LFTB"/>
    <s v="Green Book"/>
    <x v="305"/>
    <s v="52g.mid"/>
    <s v="52g.mid.mp3"/>
    <m/>
    <m/>
    <n v="532"/>
    <s v="Richmond"/>
    <s v="id3tag --song=&quot;Richmond (C.M.)&quot; --artist=&quot;T. Haweis&quot; --comment=&quot;&quot; --album=&quot;Green Book&quot; --track=&quot;52&quot; 52g.mid.mp3"/>
    <s v="https://www.dropbox.com/sh/cx7tus4mgkt9o4n/AADKMd72pIRzRqFWI20rG6iCa/52g.mid.mp3?raw=1"/>
  </r>
  <r>
    <x v="395"/>
    <s v="Rimington"/>
    <s v="L.M."/>
    <n v="16"/>
    <m/>
    <s v="LFTB"/>
    <s v="Green Book"/>
    <x v="51"/>
    <s v="115g.mid"/>
    <s v="115g.mid.mp3"/>
    <m/>
    <m/>
    <n v="353"/>
    <s v="Rimington"/>
    <s v="id3tag --song=&quot;Rimington (L.M.)&quot; --artist=&quot;F. Duckworth&quot; --comment=&quot;&quot; --album=&quot;Green Book&quot; --track=&quot;115&quot; 115g.mid.mp3"/>
    <s v="https://www.dropbox.com/sh/cx7tus4mgkt9o4n/AADCkt9B9uXjR0sXMUCRJsMSa/115g.mid.mp3?raw=1"/>
  </r>
  <r>
    <x v="421"/>
    <s v="Ripon"/>
    <s v="S.M."/>
    <n v="22"/>
    <m/>
    <s v="LFTB"/>
    <s v="Green Book"/>
    <x v="306"/>
    <s v="147g.mid"/>
    <s v="147g.mid.mp3"/>
    <m/>
    <m/>
    <n v="615"/>
    <s v="Ripon"/>
    <s v="id3tag --song=&quot;Ripon (S.M.)&quot; --artist=&quot;J. G. Nageli&quot; --comment=&quot;&quot; --album=&quot;Green Book&quot; --track=&quot;147&quot; 147g.mid.mp3"/>
    <s v="https://www.dropbox.com/sh/cx7tus4mgkt9o4n/AAABigbBerK9GBJJ20NhhjE8a/147g.mid.mp3?raw=1"/>
  </r>
  <r>
    <x v="422"/>
    <s v="Riposo"/>
    <s v="8.7.8.7."/>
    <n v="24"/>
    <m/>
    <s v="LFTBs"/>
    <s v="Red Book"/>
    <x v="16"/>
    <s v="158r.mid"/>
    <s v="158r.mid.mp3"/>
    <m/>
    <m/>
    <n v="260"/>
    <s v="Riposo"/>
    <s v="id3tag --song=&quot;Riposo (8.7.8.7.)&quot; --artist=&quot;C. Leflaive&quot; --comment=&quot;&quot; --album=&quot;Red Book&quot; --track=&quot;158&quot; 158r.mid.mp3"/>
    <s v="https://www.dropbox.com/sh/cx7tus4mgkt9o4n/AAB-mUAGEtjOzpw8ByQZulQoa/158r.mid.mp3?raw=1"/>
  </r>
  <r>
    <x v="423"/>
    <s v="Rivermede"/>
    <s v="8.7.8.7."/>
    <n v="24"/>
    <m/>
    <s v="LFTBs"/>
    <s v="Red Book"/>
    <x v="215"/>
    <s v="159r.mid"/>
    <s v="159r.mid.mp3"/>
    <m/>
    <m/>
    <n v="261"/>
    <s v="Rivermede"/>
    <s v="id3tag --song=&quot;Rivermede (8.7.8.7.)&quot; --artist=&quot;Miss A.H. Lee&quot; --comment=&quot;&quot; --album=&quot;Red Book&quot; --track=&quot;159&quot; 159r.mid.mp3"/>
    <s v="https://www.dropbox.com/sh/cx7tus4mgkt9o4n/AABDdm685gI14ArD4Xd5qpU3a/159r.mid.mp3?raw=1"/>
  </r>
  <r>
    <x v="387"/>
    <s v="Robe of Righteousness"/>
    <s v="7.6.7.6.7.6.7.6."/>
    <n v="34"/>
    <m/>
    <s v="LFTB"/>
    <s v="Green Book"/>
    <x v="63"/>
    <s v="255g.mid"/>
    <s v="255g.mid.mp3"/>
    <m/>
    <m/>
    <n v="638"/>
    <s v="Robe of Righteousness"/>
    <s v="id3tag --song=&quot;Robe of Righteousness (7.6.7.6.7.6.7.6.)&quot; --artist=&quot;Dr. Lowell Mason&quot; --comment=&quot;&quot; --album=&quot;Green Book&quot; --track=&quot;255&quot; 255g.mid.mp3"/>
    <s v="https://www.dropbox.com/sh/cx7tus4mgkt9o4n/AACDEa1_mT7yJDHXotes7vqBa/255g.mid.mp3?raw=1"/>
  </r>
  <r>
    <x v="129"/>
    <s v="Robinson's Chant"/>
    <s v="S.M."/>
    <n v="22"/>
    <m/>
    <s v="LFTB"/>
    <s v="Green Book"/>
    <x v="307"/>
    <s v="148g.mid"/>
    <s v="148g.mid.mp3"/>
    <m/>
    <m/>
    <n v="616"/>
    <s v="Robinson's Chant"/>
    <s v="id3tag --song=&quot;Robinson's Chant (S.M.)&quot; --artist=&quot;J. Robinson&quot; --comment=&quot;&quot; --album=&quot;Green Book&quot; --track=&quot;148&quot; 148g.mid.mp3"/>
    <s v="https://www.dropbox.com/sh/cx7tus4mgkt9o4n/AADpK_BJq6Jv96iqYiKaqBnIa/148g.mid.mp3?raw=1"/>
  </r>
  <r>
    <x v="424"/>
    <s v="Rock of Ages"/>
    <s v="7.7.7.7.7.7."/>
    <n v="83"/>
    <m/>
    <s v="LFTBs"/>
    <s v="Red Book"/>
    <x v="43"/>
    <s v="119r.mid"/>
    <s v="119r.mid.mp3"/>
    <m/>
    <m/>
    <n v="262"/>
    <s v="Rock of Ages"/>
    <s v="id3tag --song=&quot;Rock of Ages (7.7.7.7.7.7.)&quot; --artist=&quot;Peter Blanche&quot; --comment=&quot;&quot; --album=&quot;Red Book&quot; --track=&quot;119&quot; 119r.mid.mp3"/>
    <s v="https://www.dropbox.com/sh/cx7tus4mgkt9o4n/AADYh6uWhAJTPG_uUq0bWQhta/119r.mid.mp3?raw=1"/>
  </r>
  <r>
    <x v="243"/>
    <s v="Rockingham"/>
    <s v="L.M."/>
    <n v="16"/>
    <m/>
    <s v="LFTB"/>
    <s v="Green Book"/>
    <x v="308"/>
    <s v="116g.mid"/>
    <s v="116g.mid.mp3"/>
    <m/>
    <m/>
    <n v="354"/>
    <s v="Rockingham"/>
    <s v="id3tag --song=&quot;Rockingham (L.M.)&quot; --artist=&quot;Dr. Edward Miller&quot; --comment=&quot;&quot; --album=&quot;Green Book&quot; --track=&quot;116&quot; 116g.mid.mp3"/>
    <s v="https://www.dropbox.com/sh/cx7tus4mgkt9o4n/AAD_J-fpxQfANiUzXvUKL8qqa/116g.mid.mp3?raw=1"/>
  </r>
  <r>
    <x v="425"/>
    <s v="Romanza"/>
    <s v="8.7.8.7."/>
    <n v="24"/>
    <m/>
    <s v="LFTB"/>
    <s v="Green Book"/>
    <x v="163"/>
    <s v="336g.mid"/>
    <s v="336g.mid.mp3"/>
    <m/>
    <m/>
    <n v="385"/>
    <s v="Romanza"/>
    <s v="id3tag --song=&quot;Romanza (8.7.8.7.)&quot; --artist=&quot;From Beethoven&quot; --comment=&quot;&quot; --album=&quot;Green Book&quot; --track=&quot;336&quot; 336g.mid.mp3"/>
    <s v="https://www.dropbox.com/sh/cx7tus4mgkt9o4n/AAA_In1UHzCL3jqaZsprGRiKa/336g.mid.mp3?raw=1"/>
  </r>
  <r>
    <x v="426"/>
    <s v="Room for Jesus"/>
    <s v="8.7.8.7.8.7.8.7."/>
    <n v="25"/>
    <m/>
    <s v="LFTB"/>
    <s v="Green Book"/>
    <x v="309"/>
    <s v="393g.mid"/>
    <s v="393g.mid.mp3"/>
    <m/>
    <m/>
    <n v="393"/>
    <s v="Room for Jesus"/>
    <s v="id3tag --song=&quot;Room for Jesus (8.7.8.7.8.7.8.7.)&quot; --artist=&quot;C.C. Williams&quot; --comment=&quot;&quot; --album=&quot;Green Book&quot; --track=&quot;393&quot; 393g.mid.mp3"/>
    <s v="https://www.dropbox.com/sh/cx7tus4mgkt9o4n/AADOklsvhdR9XMs1SfLr09CIa/393g.mid.mp3?raw=1"/>
  </r>
  <r>
    <x v="253"/>
    <s v="Rothley"/>
    <s v="8.6.8.4."/>
    <n v="72"/>
    <m/>
    <s v="LFTBs"/>
    <s v="Red Book"/>
    <x v="288"/>
    <s v="137r.mid"/>
    <s v="137r.mid.mp3"/>
    <m/>
    <m/>
    <n v="263"/>
    <s v="Rothley"/>
    <s v="id3tag --song=&quot;Rothley (8.6.8.4.)&quot; --artist=&quot;Sir John Goss&quot; --comment=&quot;&quot; --album=&quot;Red Book&quot; --track=&quot;137&quot; 137r.mid.mp3"/>
    <s v="https://www.dropbox.com/sh/cx7tus4mgkt9o4n/AAAPsnodImqArOt1uXvjreJka/137r.mid.mp3?raw=1"/>
  </r>
  <r>
    <x v="346"/>
    <s v="Rotterdam"/>
    <s v="7.6.7.6.7.6.7.6."/>
    <n v="34"/>
    <m/>
    <s v="LFTBs"/>
    <s v="Red Book"/>
    <x v="310"/>
    <s v="109r.mid"/>
    <s v="109r.mid.mp3"/>
    <m/>
    <m/>
    <n v="264"/>
    <s v="Rotterdam"/>
    <s v="id3tag --song=&quot;Rotterdam (7.6.7.6.7.6.7.6.)&quot; --artist=&quot;B. Tours&quot; --comment=&quot;&quot; --album=&quot;Red Book&quot; --track=&quot;109&quot; 109r.mid.mp3"/>
    <s v="https://www.dropbox.com/sh/cx7tus4mgkt9o4n/AADhTuZMVw4nslg5CacIitV8a/109r.mid.mp3?raw=1"/>
  </r>
  <r>
    <x v="427"/>
    <s v="Royal Fort"/>
    <s v="C.M."/>
    <n v="19"/>
    <m/>
    <s v="LFTB"/>
    <s v="Green Book"/>
    <x v="311"/>
    <s v="53g.mid"/>
    <s v="53g.mid.mp3"/>
    <m/>
    <m/>
    <n v="533"/>
    <s v="Royal Fort"/>
    <s v="id3tag --song=&quot;Royal Fort (C.M.)&quot; --artist=&quot;E.J. Orchard&quot; --comment=&quot;&quot; --album=&quot;Green Book&quot; --track=&quot;53&quot; 53g.mid.mp3"/>
    <s v="https://www.dropbox.com/sh/cx7tus4mgkt9o4n/AAC8Ppv6c5I1FEDq3vmmzTGja/53g.mid.mp3?raw=1"/>
  </r>
  <r>
    <x v="320"/>
    <s v="Rozel"/>
    <s v="8.8.8.8.6."/>
    <n v="58"/>
    <m/>
    <s v="LFTBs"/>
    <s v="Red Book"/>
    <x v="312"/>
    <s v="209r.mid"/>
    <s v="209r.mid.mp3"/>
    <m/>
    <m/>
    <n v="265"/>
    <s v="Rozel"/>
    <s v="id3tag --song=&quot;Rozel (8.8.8.8.6.)&quot; --artist=&quot;David H. Bance&quot; --comment=&quot;&quot; --album=&quot;Red Book&quot; --track=&quot;209&quot; 209r.mid.mp3"/>
    <s v="https://www.dropbox.com/sh/cx7tus4mgkt9o4n/AACSOOv5Nz_hN6bqLh7LKVIza/209r.mid.mp3?raw=1"/>
  </r>
  <r>
    <x v="186"/>
    <s v="Russian Air"/>
    <s v="9.8.9.8.9.8.9.8."/>
    <n v="59"/>
    <m/>
    <s v="LFTBs"/>
    <s v="Red Book"/>
    <x v="9"/>
    <s v="237r.mid"/>
    <s v="237r.mid.mp3"/>
    <m/>
    <m/>
    <n v="266"/>
    <s v="Russian Air"/>
    <s v="id3tag --song=&quot;Russian Air (9.8.9.8.9.8.9.8.)&quot; --artist=&quot;Unknown&quot; --comment=&quot;&quot; --album=&quot;Red Book&quot; --track=&quot;237&quot; 237r.mid.mp3"/>
    <s v="https://www.dropbox.com/sh/cx7tus4mgkt9o4n/AACo_SA4N2SmdNkoOZam59cda/237r.mid.mp3?raw=1"/>
  </r>
  <r>
    <x v="194"/>
    <s v="Ruth (Leflaive)"/>
    <s v="8.8.8.8.8.8."/>
    <n v="26"/>
    <m/>
    <s v="LFTBs"/>
    <s v="Red Book"/>
    <x v="16"/>
    <s v="215r.mid"/>
    <s v="215r.mid.mp3"/>
    <m/>
    <m/>
    <n v="267"/>
    <s v="Ruth (Leflaive)"/>
    <s v="id3tag --song=&quot;Ruth (Leflaive) (8.8.8.8.8.8.)&quot; --artist=&quot;C. Leflaive&quot; --comment=&quot;&quot; --album=&quot;Red Book&quot; --track=&quot;215&quot; 215r.mid.mp3"/>
    <s v="https://www.dropbox.com/sh/cx7tus4mgkt9o4n/AADR4m-X-BWOq0jk7L83l3FVa/215r.mid.mp3?raw=1"/>
  </r>
  <r>
    <x v="313"/>
    <s v="Rutherford"/>
    <s v="7.6.7.6.7.6.7.5."/>
    <s v="NONE"/>
    <m/>
    <s v="LFTB"/>
    <s v="Green Book"/>
    <x v="313"/>
    <s v="226g.mid"/>
    <s v="226g.mid.mp3"/>
    <m/>
    <m/>
    <n v="366"/>
    <s v="Rutherford"/>
    <s v="id3tag --song=&quot;Rutherford (7.6.7.6.7.6.7.5.)&quot; --artist=&quot;Chretien D'Urhan&quot; --comment=&quot;&quot; --album=&quot;Green Book&quot; --track=&quot;226&quot; 226g.mid.mp3"/>
    <s v="https://www.dropbox.com/sh/cx7tus4mgkt9o4n/AAAADXH4aNVo92ENLKGbVZwla/226g.mid.mp3?raw=1"/>
  </r>
  <r>
    <x v="356"/>
    <s v="Safe Home"/>
    <s v="6.6.6.6.8.8."/>
    <n v="51"/>
    <m/>
    <s v="LFTB"/>
    <s v="Green Book"/>
    <x v="68"/>
    <s v="202g.mid"/>
    <s v="202g.mid.mp3"/>
    <m/>
    <m/>
    <n v="623"/>
    <s v="Safe Home"/>
    <s v="id3tag --song=&quot;Safe Home (6.6.6.6.8.8.)&quot; --artist=&quot;Sir Arthur S. Sullivan&quot; --comment=&quot;&quot; --album=&quot;Green Book&quot; --track=&quot;202&quot; 202g.mid.mp3"/>
    <s v="https://www.dropbox.com/sh/cx7tus4mgkt9o4n/AAC4nYMZcDWpPX-iQQ-b802wa/202g.mid.mp3?raw=1"/>
  </r>
  <r>
    <x v="170"/>
    <s v="Saffron Walden"/>
    <s v="8.7.8.7."/>
    <n v="24"/>
    <m/>
    <s v="LFTBs"/>
    <s v="Red Book"/>
    <x v="314"/>
    <s v="160r.mid"/>
    <s v="160r.mid.mp3"/>
    <m/>
    <s v="Copyright.  By permission of Mrs. Jacinth Morton"/>
    <n v="268"/>
    <s v="Saffron Walden"/>
    <s v="id3tag --song=&quot;Saffron Walden (8.7.8.7.)&quot; --artist=&quot;Dr. Herbert Mahon&quot; --comment=&quot;Copyright.  By permission of Mrs. Jacinth Morton&quot; --album=&quot;Red Book&quot; --track=&quot;160&quot; 160r.mid.mp3"/>
    <s v="https://www.dropbox.com/sh/cx7tus4mgkt9o4n/AAD_B121OWTMUBOizUipFoGOa/160r.mid.mp3?raw=1"/>
  </r>
  <r>
    <x v="428"/>
    <s v="Saffron Walden"/>
    <s v="8.8.8.6."/>
    <n v="39"/>
    <m/>
    <s v="LFTBs"/>
    <s v="Red Book"/>
    <x v="315"/>
    <s v="203r.mid"/>
    <s v="203r.mid.mp3"/>
    <m/>
    <m/>
    <n v="269"/>
    <s v="Saffron Walden"/>
    <s v="id3tag --song=&quot;Saffron Walden (8.8.8.6.)&quot; --artist=&quot;A.H. Brown&quot; --comment=&quot;&quot; --album=&quot;Red Book&quot; --track=&quot;203&quot; 203r.mid.mp3"/>
    <s v="https://www.dropbox.com/sh/cx7tus4mgkt9o4n/AAA7hPLprVyD3YTjPY-xU75La/203r.mid.mp3?raw=1"/>
  </r>
  <r>
    <x v="429"/>
    <s v="Salva Festa Dies"/>
    <s v="11.11.11.11. Trochaic"/>
    <n v="64"/>
    <m/>
    <s v="LFTBs"/>
    <s v="Red Book"/>
    <x v="30"/>
    <s v="282r.mid"/>
    <s v="282r.mid.mp3"/>
    <m/>
    <m/>
    <n v="270"/>
    <s v="Salva Festa Dies"/>
    <s v="id3tag --song=&quot;Salva Festa Dies (11.11.11.11. Trochaic)&quot; --artist=&quot;Sir Joseph Barnby&quot; --comment=&quot;&quot; --album=&quot;Red Book&quot; --track=&quot;282&quot; 282r.mid.mp3"/>
    <s v="https://www.dropbox.com/sh/cx7tus4mgkt9o4n/AAA29rdG0WfCc0Cxb4oCqbima/282r.mid.mp3?raw=1"/>
  </r>
  <r>
    <x v="430"/>
    <s v="Salvator"/>
    <s v="11.10.11.10. Dactylic"/>
    <n v="17"/>
    <m/>
    <s v="LFTBs"/>
    <s v="Red Book"/>
    <x v="28"/>
    <s v="272r.mid"/>
    <s v="272r.mid.mp3"/>
    <m/>
    <m/>
    <n v="271"/>
    <s v="Salvator"/>
    <s v="id3tag --song=&quot;Salvator (11.10.11.10. Dactylic)&quot; --artist=&quot;E. Carren&quot; --comment=&quot;&quot; --album=&quot;Red Book&quot; --track=&quot;272&quot; 272r.mid.mp3"/>
    <s v="https://www.dropbox.com/sh/cx7tus4mgkt9o4n/AAAK2QGDNbKv9frOc4Muug3Fa/272r.mid.mp3?raw=1"/>
  </r>
  <r>
    <x v="375"/>
    <s v="Salzburg"/>
    <s v="C.M."/>
    <n v="19"/>
    <m/>
    <s v="LFTB"/>
    <s v="Green Book"/>
    <x v="177"/>
    <s v="65g.mid"/>
    <s v="65g.mid.mp3"/>
    <m/>
    <m/>
    <n v="595"/>
    <s v="Salzburg"/>
    <s v="id3tag --song=&quot;Salzburg (C.M.)&quot; --artist=&quot;J. M. Haydn&quot; --comment=&quot;&quot; --album=&quot;Green Book&quot; --track=&quot;65&quot; 65g.mid.mp3"/>
    <s v="https://www.dropbox.com/sh/cx7tus4mgkt9o4n/AAAPmlWCXf9wUGn7t0xs2U8Sa/65g.mid.mp3?raw=1"/>
  </r>
  <r>
    <x v="428"/>
    <s v="Samuel (Sullivan)"/>
    <s v="6.6.6.6.8.8."/>
    <n v="51"/>
    <m/>
    <s v="LFTB"/>
    <s v="Green Book"/>
    <x v="68"/>
    <s v="203g.mid"/>
    <s v="203g.mid.mp3"/>
    <m/>
    <m/>
    <n v="457"/>
    <s v="Samuel (Sullivan)"/>
    <s v="id3tag --song=&quot;Samuel (Sullivan) (6.6.6.6.8.8.)&quot; --artist=&quot;Sir Arthur S. Sullivan&quot; --comment=&quot;&quot; --album=&quot;Green Book&quot; --track=&quot;203&quot; 203g.mid.mp3"/>
    <s v="https://www.dropbox.com/sh/cx7tus4mgkt9o4n/AADpY6D9OwNaoWf6XOnGvt7Ba/203g.mid.mp3?raw=1"/>
  </r>
  <r>
    <x v="431"/>
    <s v="Sandon"/>
    <s v="10.4.10.4.10.10."/>
    <n v="45"/>
    <m/>
    <s v="LFTB"/>
    <s v="Green Book"/>
    <x v="316"/>
    <s v="458g.mid"/>
    <s v="458g.mid.mp3"/>
    <m/>
    <m/>
    <n v="32"/>
    <s v="Sandon"/>
    <s v="id3tag --song=&quot;Sandon (10.4.10.4.10.10.)&quot; --artist=&quot;C. H. Purday&quot; --comment=&quot;&quot; --album=&quot;Green Book&quot; --track=&quot;458&quot; 458g.mid.mp3"/>
    <s v="https://www.dropbox.com/sh/cx7tus4mgkt9o4n/AABHrMx8kQsFoaaQOl8w47l_a/458g.mid.mp3?raw=1"/>
  </r>
  <r>
    <x v="168"/>
    <s v="Saved By Grace"/>
    <s v="L.M.D."/>
    <n v="84"/>
    <m/>
    <s v="LFTB"/>
    <s v="Green Book"/>
    <x v="18"/>
    <s v="128g.mid"/>
    <s v="128g.mid.mp3"/>
    <m/>
    <m/>
    <n v="432"/>
    <s v="Saved By Grace"/>
    <s v="id3tag --song=&quot;Saved By Grace (L.M.D.)&quot; --artist=&quot;G. C. Stebbins&quot; --comment=&quot;&quot; --album=&quot;Green Book&quot; --track=&quot;128&quot; 128g.mid.mp3"/>
    <s v="https://www.dropbox.com/sh/cx7tus4mgkt9o4n/AAAHaX6gLZbKW1y690V1qLOBa/128g.mid.mp3?raw=1"/>
  </r>
  <r>
    <x v="417"/>
    <s v="Saviour of Sinners"/>
    <s v="8.7.8.7. Dactylic Chorus 5.7.8.7."/>
    <n v="54"/>
    <m/>
    <s v="LFTBs"/>
    <s v="Red Book"/>
    <x v="34"/>
    <s v="165r.mid"/>
    <s v="165r.mid.mp3"/>
    <m/>
    <m/>
    <n v="272"/>
    <s v="Saviour of Sinners"/>
    <s v="id3tag --song=&quot;Saviour of Sinners (8.7.8.7. Dactylic Chorus 5.7.8.7.)&quot; --artist=&quot;Gordon Millar&quot; --comment=&quot;&quot; --album=&quot;Red Book&quot; --track=&quot;165&quot; 165r.mid.mp3"/>
    <s v="https://www.dropbox.com/sh/cx7tus4mgkt9o4n/AABtQRDPyu_MBuam0whYlrAva/165r.mid.mp3?raw=1"/>
  </r>
  <r>
    <x v="432"/>
    <s v="Sawley"/>
    <s v="C.M."/>
    <n v="19"/>
    <m/>
    <s v="LFTB"/>
    <s v="Green Book"/>
    <x v="133"/>
    <s v="66g.mid"/>
    <s v="66g.mid.mp3"/>
    <m/>
    <m/>
    <n v="596"/>
    <s v="Sawley"/>
    <s v="id3tag --song=&quot;Sawley (C.M.)&quot; --artist=&quot;J. Walch&quot; --comment=&quot;&quot; --album=&quot;Green Book&quot; --track=&quot;66&quot; 66g.mid.mp3"/>
    <s v="https://www.dropbox.com/sh/cx7tus4mgkt9o4n/AACfxdBz8YrAi5FP3nTnOj9Oa/66g.mid.mp3?raw=1"/>
  </r>
  <r>
    <x v="218"/>
    <s v="Scotstoun"/>
    <s v="9.9.6.6.6.4."/>
    <n v="69"/>
    <m/>
    <s v="LFTBs"/>
    <s v="Red Book"/>
    <x v="102"/>
    <s v="240r.mid"/>
    <s v="240r.mid.mp3"/>
    <m/>
    <m/>
    <n v="273"/>
    <s v="Scotstoun"/>
    <s v="id3tag --song=&quot;Scotstoun (9.9.6.6.6.4.)&quot; --artist=&quot;John. F. Harvey&quot; --comment=&quot;&quot; --album=&quot;Red Book&quot; --track=&quot;240&quot; 240r.mid.mp3"/>
    <s v="https://www.dropbox.com/sh/cx7tus4mgkt9o4n/AAARgb0M8-OgpVWxixFhSLsoa/240r.mid.mp3?raw=1"/>
  </r>
  <r>
    <x v="433"/>
    <s v="Seeds of Kindness"/>
    <s v="8.7.8.7.8.7.8.7.7.7."/>
    <n v="68"/>
    <m/>
    <s v="LFTB"/>
    <s v="Green Book"/>
    <x v="212"/>
    <s v="398g.mid"/>
    <s v="398g.mid.mp3"/>
    <m/>
    <m/>
    <n v="680"/>
    <s v="Seeds of Kindness"/>
    <s v="id3tag --song=&quot;Seeds of Kindness (8.7.8.7.8.7.8.7.7.7.)&quot; --artist=&quot;S.J. Vail&quot; --comment=&quot;&quot; --album=&quot;Green Book&quot; --track=&quot;398&quot; 398g.mid.mp3"/>
    <s v="https://www.dropbox.com/sh/cx7tus4mgkt9o4n/AABhFuSk5bzWWmDVz_yV2ltPa/398g.mid.mp3?raw=1"/>
  </r>
  <r>
    <x v="434"/>
    <s v="Semper Fidelis"/>
    <s v="8.8.8.8."/>
    <n v="30"/>
    <m/>
    <s v="LFTB"/>
    <s v="Green Book"/>
    <x v="290"/>
    <s v="423g.mid"/>
    <s v="423g.mid.mp3"/>
    <m/>
    <m/>
    <n v="33"/>
    <s v="Semper Fidelis"/>
    <s v="id3tag --song=&quot;Semper Fidelis (8.8.8.8.)&quot; --artist=&quot;C.T. Lambert&quot; --comment=&quot;&quot; --album=&quot;Green Book&quot; --track=&quot;423&quot; 423g.mid.mp3"/>
    <s v="https://www.dropbox.com/sh/cx7tus4mgkt9o4n/AADWkQ6VwEqL9GdnIJ9CsZT6a/423g.mid.mp3?raw=1"/>
  </r>
  <r>
    <x v="435"/>
    <s v="Serenity"/>
    <s v="S.M."/>
    <n v="22"/>
    <m/>
    <s v="LFTBs"/>
    <s v="Red Book"/>
    <x v="317"/>
    <s v="49r.mid"/>
    <s v="49r.mid.mp3"/>
    <m/>
    <m/>
    <n v="274"/>
    <s v="Serenity"/>
    <s v="id3tag --song=&quot;Serenity (S.M.)&quot; --artist=&quot;C. Bryan&quot; --comment=&quot;&quot; --album=&quot;Red Book&quot; --track=&quot;49&quot; 49r.mid.mp3"/>
    <s v="https://www.dropbox.com/sh/cx7tus4mgkt9o4n/AADKaBOhgwp1-lGcmPFZBE7Qa/49r.mid.mp3?raw=1"/>
  </r>
  <r>
    <x v="436"/>
    <s v="Shades of Evening"/>
    <s v="8.7.8.7."/>
    <n v="24"/>
    <m/>
    <s v="LFTB"/>
    <s v="Green Book"/>
    <x v="318"/>
    <s v="345g.mid"/>
    <s v="345g.mid.mp3"/>
    <m/>
    <m/>
    <n v="660"/>
    <s v="Shades of Evening"/>
    <s v="id3tag --song=&quot;Shades of Evening (8.7.8.7.)&quot; --artist=&quot;D.E. Jones&quot; --comment=&quot;&quot; --album=&quot;Green Book&quot; --track=&quot;345&quot; 345g.mid.mp3"/>
    <s v="https://www.dropbox.com/sh/cx7tus4mgkt9o4n/AADtzCGO231BQmp9T4Rtnb7Ia/345g.mid.mp3?raw=1"/>
  </r>
  <r>
    <x v="49"/>
    <s v="Shamgar"/>
    <s v="9.8.9.8."/>
    <n v="35"/>
    <m/>
    <s v="LFTBs"/>
    <s v="Red Book"/>
    <x v="70"/>
    <s v="231r.mid"/>
    <s v="231r.mid.mp3"/>
    <m/>
    <m/>
    <n v="275"/>
    <s v="Shamgar"/>
    <s v="id3tag --song=&quot;Shamgar (9.8.9.8.)&quot; --artist=&quot;Miss. E.C. Shanks&quot; --comment=&quot;&quot; --album=&quot;Red Book&quot; --track=&quot;231&quot; 231r.mid.mp3"/>
    <s v="https://www.dropbox.com/sh/cx7tus4mgkt9o4n/AAA8Dlrr2GRpKJVIuqRjqelsa/231r.mid.mp3?raw=1"/>
  </r>
  <r>
    <x v="437"/>
    <s v="Shannon"/>
    <s v="6.5.11.6.5.11."/>
    <n v="27"/>
    <s v="11.11.11.11."/>
    <s v="LFTBs"/>
    <s v="Red Book"/>
    <x v="230"/>
    <s v="74r.mid"/>
    <s v="74r.mid.mp3"/>
    <m/>
    <m/>
    <n v="276"/>
    <s v="Shannon"/>
    <s v="id3tag --song=&quot;Shannon (6.5.11.6.5.11.)&quot; --artist=&quot;P.S. Pope&quot; --comment=&quot;&quot; --album=&quot;Red Book&quot; --track=&quot;74&quot; 74r.mid.mp3"/>
    <s v="https://www.dropbox.com/sh/cx7tus4mgkt9o4n/AAAx13-kY3AP6nnlIHQR45JWa/74r.mid.mp3?raw=1"/>
  </r>
  <r>
    <x v="438"/>
    <s v="Sharon"/>
    <s v="8.7.8.7."/>
    <n v="24"/>
    <m/>
    <s v="LFTB"/>
    <s v="Green Book"/>
    <x v="319"/>
    <s v="341g.mid"/>
    <s v="341g.mid.mp3"/>
    <m/>
    <m/>
    <n v="501"/>
    <s v="Sharon"/>
    <s v="id3tag --song=&quot;Sharon (8.7.8.7.)&quot; --artist=&quot;Dr. W. Boyce&quot; --comment=&quot;&quot; --album=&quot;Green Book&quot; --track=&quot;341&quot; 341g.mid.mp3"/>
    <s v="https://www.dropbox.com/sh/cx7tus4mgkt9o4n/AABnMtBF-mBmy3ZfhSVx0iYta/341g.mid.mp3?raw=1"/>
  </r>
  <r>
    <x v="3"/>
    <s v="Sheffield"/>
    <s v="C.M."/>
    <n v="19"/>
    <m/>
    <s v="LFTB"/>
    <s v="Green Book"/>
    <x v="320"/>
    <s v="67g.mid"/>
    <s v="67g.mid.mp3"/>
    <m/>
    <m/>
    <n v="597"/>
    <s v="Sheffield"/>
    <s v="id3tag --song=&quot;Sheffield (C.M.)&quot; --artist=&quot;W. Mather&quot; --comment=&quot;&quot; --album=&quot;Green Book&quot; --track=&quot;67&quot; 67g.mid.mp3"/>
    <s v="https://www.dropbox.com/sh/cx7tus4mgkt9o4n/AACEkGwDx2tsbBjxRCwbH6-Pa/67g.mid.mp3?raw=1"/>
  </r>
  <r>
    <x v="357"/>
    <s v="Shoshannim"/>
    <s v="7.7.8.7."/>
    <s v="NONE"/>
    <m/>
    <s v="LFTB"/>
    <s v="Green Book"/>
    <x v="11"/>
    <s v="283g.mid"/>
    <s v="283g.mid.mp3"/>
    <m/>
    <m/>
    <n v="34"/>
    <s v="Shoshannim"/>
    <s v="id3tag --song=&quot;Shoshannim (7.7.8.7.)&quot; --artist=&quot;T. Collins&quot; --comment=&quot;&quot; --album=&quot;Green Book&quot; --track=&quot;283&quot; 283g.mid.mp3"/>
    <s v="https://www.dropbox.com/sh/cx7tus4mgkt9o4n/AADeepMr813GvZp-stCTLyNXa/283g.mid.mp3?raw=1"/>
  </r>
  <r>
    <x v="439"/>
    <s v="Showers of Blessing"/>
    <s v="8.7.8.7. Dactylic Chorus 5.7.8.7."/>
    <n v="54"/>
    <m/>
    <s v="LFTB"/>
    <s v="Green Book"/>
    <x v="263"/>
    <s v="353g.mid"/>
    <s v="353g.mid.mp3"/>
    <m/>
    <m/>
    <n v="504"/>
    <s v="Showers of Blessing"/>
    <s v="id3tag --song=&quot;Showers of Blessing (8.7.8.7. Dactylic Chorus 5.7.8.7.)&quot; --artist=&quot;J. McGranahan&quot; --comment=&quot;&quot; --album=&quot;Green Book&quot; --track=&quot;353&quot; 353g.mid.mp3"/>
    <s v="https://www.dropbox.com/sh/cx7tus4mgkt9o4n/AADGXf9NlplVPLpO5XT07Oxja/353g.mid.mp3?raw=1"/>
  </r>
  <r>
    <x v="440"/>
    <s v="Sicilian Mariners"/>
    <s v="8.7.8.7."/>
    <n v="24"/>
    <m/>
    <s v="LFTB"/>
    <s v="Green Book"/>
    <x v="321"/>
    <s v="342g.mid"/>
    <s v="342g.mid.mp3"/>
    <m/>
    <m/>
    <n v="502"/>
    <s v="Sicilian Mariners"/>
    <s v="id3tag --song=&quot;Sicilian Mariners (8.7.8.7.)&quot; --artist=&quot;Old Sicilian Melody&quot; --comment=&quot;&quot; --album=&quot;Green Book&quot; --track=&quot;342&quot; 342g.mid.mp3"/>
    <s v="https://www.dropbox.com/sh/cx7tus4mgkt9o4n/AABDpW3j8Oty4uGWbgeTKNxRa/342g.mid.mp3?raw=1"/>
  </r>
  <r>
    <x v="353"/>
    <s v="Sidcup"/>
    <s v="4.6.8.8.4."/>
    <n v="74"/>
    <m/>
    <s v="LFTB"/>
    <s v="Green Book"/>
    <x v="20"/>
    <s v="163g.mid"/>
    <s v="163g.mid.mp3"/>
    <m/>
    <m/>
    <n v="35"/>
    <s v="Sidcup"/>
    <s v="id3tag --song=&quot;Sidcup (4.6.8.8.4.)&quot; --artist=&quot;C. T. Lambert&quot; --comment=&quot;&quot; --album=&quot;Green Book&quot; --track=&quot;163&quot; 163g.mid.mp3"/>
    <s v="https://www.dropbox.com/sh/cx7tus4mgkt9o4n/AAAtkm7F0oaeUOgljZ5KF6hwa/163g.mid.mp3?raw=1"/>
  </r>
  <r>
    <x v="84"/>
    <s v="Silchester"/>
    <s v="S.M."/>
    <n v="22"/>
    <m/>
    <s v="LFTB"/>
    <s v="Green Book"/>
    <x v="322"/>
    <s v="151g.mid"/>
    <s v="151g.mid.mp3"/>
    <m/>
    <m/>
    <n v="443"/>
    <s v="Silchester"/>
    <s v="id3tag --song=&quot;Silchester (S.M.)&quot; --artist=&quot;Dr. H.A.C. Malan&quot; --comment=&quot;&quot; --album=&quot;Green Book&quot; --track=&quot;151&quot; 151g.mid.mp3"/>
    <s v="https://www.dropbox.com/sh/cx7tus4mgkt9o4n/AADLMTdGizPAdKCMQTRH5WGga/151g.mid.mp3?raw=1"/>
  </r>
  <r>
    <x v="441"/>
    <s v="Silla"/>
    <s v="10.10.10.10."/>
    <n v="21"/>
    <m/>
    <s v="LFTBs"/>
    <s v="Red Book"/>
    <x v="323"/>
    <s v="256r.mid"/>
    <s v="256r.mid.mp3"/>
    <m/>
    <m/>
    <n v="277"/>
    <s v="Silla"/>
    <s v="id3tag --song=&quot;Silla (10.10.10.10.)&quot; --artist=&quot;Paul Gerard&quot; --comment=&quot;&quot; --album=&quot;Red Book&quot; --track=&quot;256&quot; 256r.mid.mp3"/>
    <s v="https://www.dropbox.com/sh/cx7tus4mgkt9o4n/AACbd041BB5OU54qxtEfAeANa/256r.mid.mp3?raw=1"/>
  </r>
  <r>
    <x v="355"/>
    <s v="Silver Hill"/>
    <s v="L.M."/>
    <n v="16"/>
    <m/>
    <s v="LFTBs"/>
    <s v="Red Book"/>
    <x v="211"/>
    <s v="39r.mid"/>
    <s v="39r.mid.mp3"/>
    <m/>
    <s v="Copyright.  By permission of Geo. Taylor, The Cross Printing Works, Stainland"/>
    <n v="278"/>
    <s v="Silver Hill"/>
    <s v="id3tag --song=&quot;Silver Hill (L.M.)&quot; --artist=&quot;F.C. Maker&quot; --comment=&quot;Copyright.  By permission of Geo. Taylor, The Cross Printing Works, Stainland&quot; --album=&quot;Red Book&quot; --track=&quot;39&quot; 39r.mid.mp3"/>
    <s v="https://www.dropbox.com/sh/cx7tus4mgkt9o4n/AACjiNSUGENxkpoDLs7HCNj5a/39r.mid.mp3?raw=1"/>
  </r>
  <r>
    <x v="442"/>
    <s v="Skelton"/>
    <s v="11.10.11.10. Dactylic"/>
    <n v="17"/>
    <m/>
    <s v="LFTB"/>
    <s v="Green Book"/>
    <x v="324"/>
    <s v="528g.mid"/>
    <s v="528g.mid.mp3"/>
    <n v="1860"/>
    <m/>
    <n v="747"/>
    <s v="Skelton"/>
    <s v="id3tag --song=&quot;Skelton (11.10.11.10. Dactylic)&quot; --artist=&quot;Miss F. T. Wigram&quot; --comment=&quot;&quot; --album=&quot;Green Book&quot; --track=&quot;528&quot; 528g.mid.mp3"/>
    <s v="https://www.dropbox.com/sh/cx7tus4mgkt9o4n/AABeMFOuie3XoIz_nhwefin0a/528g.mid.mp3?raw=1"/>
  </r>
  <r>
    <x v="443"/>
    <s v="Slane"/>
    <s v="10.10.10.10. Dactylic"/>
    <n v="63"/>
    <m/>
    <s v="LFTBs"/>
    <s v="Red Book"/>
    <x v="325"/>
    <s v="260r.mid"/>
    <s v="260r.mid.mp3"/>
    <m/>
    <s v="Harmonized by L.L. Dix"/>
    <n v="279"/>
    <s v="Slane"/>
    <s v="id3tag --song=&quot;Slane (10.10.10.10. Dactylic)&quot; --artist=&quot;Irish Folk Melody&quot; --comment=&quot;Harmonized by L.L. Dix&quot; --album=&quot;Red Book&quot; --track=&quot;260&quot; 260r.mid.mp3"/>
    <s v="https://www.dropbox.com/sh/cx7tus4mgkt9o4n/AAA9fJ2TnqRwG_J3vmHgrSbsa/260r.mid.mp3?raw=1"/>
  </r>
  <r>
    <x v="201"/>
    <s v="Solyma"/>
    <s v="S.M."/>
    <n v="22"/>
    <m/>
    <s v="LFTB"/>
    <s v="Green Book"/>
    <x v="9"/>
    <s v="152g.mid"/>
    <s v="152g.mid.mp3"/>
    <m/>
    <m/>
    <n v="444"/>
    <s v="Solyma"/>
    <s v="id3tag --song=&quot;Solyma (S.M.)&quot; --artist=&quot;Unknown&quot; --comment=&quot;&quot; --album=&quot;Green Book&quot; --track=&quot;152&quot; 152g.mid.mp3"/>
    <s v="https://www.dropbox.com/sh/cx7tus4mgkt9o4n/AABEi9K57T9LOUqc9MSHGSQoa/152g.mid.mp3?raw=1"/>
  </r>
  <r>
    <x v="444"/>
    <s v="Source of Blessing"/>
    <s v="8.7.8.7.8.7.8.7.7.7."/>
    <n v="68"/>
    <m/>
    <s v="LFTB"/>
    <s v="Green Book"/>
    <x v="326"/>
    <s v="399g.mid"/>
    <s v="399g.mid.mp3"/>
    <n v="1952"/>
    <m/>
    <n v="681"/>
    <s v="Source of Blessing"/>
    <s v="id3tag --song=&quot;Source of Blessing (8.7.8.7.8.7.8.7.7.7.)&quot; --artist=&quot;Miss Dorothea Markham&quot; --comment=&quot;&quot; --album=&quot;Green Book&quot; --track=&quot;399&quot; 399g.mid.mp3"/>
    <s v="https://www.dropbox.com/sh/cx7tus4mgkt9o4n/AADq-f5lfw00qIhe4UEEKAbta/399g.mid.mp3?raw=1"/>
  </r>
  <r>
    <x v="445"/>
    <s v="Southampton"/>
    <s v="7.7.8.7.7.7.8.7."/>
    <n v="82"/>
    <m/>
    <s v="LFTBs"/>
    <s v="Red Book"/>
    <x v="104"/>
    <s v="123r.mid"/>
    <s v="123r.mid.mp3"/>
    <m/>
    <m/>
    <n v="280"/>
    <s v="Southampton"/>
    <s v="id3tag --song=&quot;Southampton (7.7.8.7.7.7.8.7.)&quot; --artist=&quot;A.B. Skeffington&quot; --comment=&quot;&quot; --album=&quot;Red Book&quot; --track=&quot;123&quot; 123r.mid.mp3"/>
    <s v="https://www.dropbox.com/sh/cx7tus4mgkt9o4n/AAC3jyeBane6tQUzqodzlhASa/123r.mid.mp3?raw=1"/>
  </r>
  <r>
    <x v="265"/>
    <s v="Southgate"/>
    <s v="8.4.8.4.8.8.8.4."/>
    <n v="47"/>
    <m/>
    <s v="LFTB"/>
    <s v="Green Book"/>
    <x v="84"/>
    <s v="288g.mid"/>
    <s v="288g.mid.mp3"/>
    <m/>
    <m/>
    <n v="482"/>
    <s v="Southgate"/>
    <s v="id3tag --song=&quot;Southgate (8.4.8.4.8.8.8.4.)&quot; --artist=&quot;T. B. Southgate&quot; --comment=&quot;&quot; --album=&quot;Green Book&quot; --track=&quot;288&quot; 288g.mid.mp3"/>
    <s v="https://www.dropbox.com/sh/cx7tus4mgkt9o4n/AACi82pEXt8OjS17vuhXKQvsa/288g.mid.mp3?raw=1"/>
  </r>
  <r>
    <x v="106"/>
    <s v="Southwell"/>
    <s v="C.M."/>
    <n v="19"/>
    <m/>
    <s v="LFTB"/>
    <s v="Green Book"/>
    <x v="327"/>
    <s v="68g.mid"/>
    <s v="68g.mid.mp3"/>
    <m/>
    <m/>
    <n v="598"/>
    <s v="Southwell"/>
    <s v="id3tag --song=&quot;Southwell (C.M.)&quot; --artist=&quot;H.S. Irons&quot; --comment=&quot;&quot; --album=&quot;Green Book&quot; --track=&quot;68&quot; 68g.mid.mp3"/>
    <s v="https://www.dropbox.com/sh/cx7tus4mgkt9o4n/AACt33JWhTPHr7aDKKbWuHjDa/68g.mid.mp3?raw=1"/>
  </r>
  <r>
    <x v="116"/>
    <s v="Sovereignty"/>
    <s v="6.6.8.6.6.8."/>
    <n v="73"/>
    <m/>
    <s v="LFTBs"/>
    <s v="Red Book"/>
    <x v="328"/>
    <s v="95r.mid"/>
    <s v="95r.mid.mp3"/>
    <m/>
    <m/>
    <n v="281"/>
    <s v="Sovereignty"/>
    <s v="id3tag --song=&quot;Sovereignty (6.6.8.6.6.8.)&quot; --artist=&quot;A.W. Michael Rooke&quot; --comment=&quot;&quot; --album=&quot;Red Book&quot; --track=&quot;95&quot; 95r.mid.mp3"/>
    <s v="https://www.dropbox.com/sh/cx7tus4mgkt9o4n/AABVKoiFxNMSWMfiOF4TREkqa/95r.mid.mp3?raw=1"/>
  </r>
  <r>
    <x v="138"/>
    <s v="Spanish Air"/>
    <s v="9.8.9.8."/>
    <n v="35"/>
    <m/>
    <s v="LFTBs"/>
    <s v="Red Book"/>
    <x v="9"/>
    <s v="232r.mid"/>
    <s v="232r.mid.mp3"/>
    <m/>
    <m/>
    <n v="282"/>
    <s v="Spanish Air"/>
    <s v="id3tag --song=&quot;Spanish Air (9.8.9.8.)&quot; --artist=&quot;Unknown&quot; --comment=&quot;&quot; --album=&quot;Red Book&quot; --track=&quot;232&quot; 232r.mid.mp3"/>
    <s v="https://www.dropbox.com/sh/cx7tus4mgkt9o4n/AABP7bzVbGms3DPGbGqfZ2zVa/232r.mid.mp3?raw=1"/>
  </r>
  <r>
    <x v="446"/>
    <s v="Speak to Me, Lord"/>
    <s v="10.10.10.10."/>
    <n v="21"/>
    <m/>
    <s v="LFTBs"/>
    <s v="Red Book"/>
    <x v="329"/>
    <s v="257r.mid"/>
    <s v="257r.mid.mp3"/>
    <m/>
    <m/>
    <n v="283"/>
    <s v="Speak to Me, Lord"/>
    <s v="id3tag --song=&quot;Speak to Me, Lord (10.10.10.10.)&quot; --artist=&quot;W.H. Jude&quot; --comment=&quot;&quot; --album=&quot;Red Book&quot; --track=&quot;257&quot; 257r.mid.mp3"/>
    <s v="https://www.dropbox.com/sh/cx7tus4mgkt9o4n/AABM-bqYRPcGuBewgnmhpXHZa/257r.mid.mp3?raw=1"/>
  </r>
  <r>
    <x v="447"/>
    <s v="Speranza"/>
    <s v="10.10.10.10."/>
    <n v="21"/>
    <m/>
    <s v="LFTB"/>
    <s v="Green Book"/>
    <x v="16"/>
    <s v="499g.mid"/>
    <s v="499g.mid.mp3"/>
    <m/>
    <m/>
    <n v="405"/>
    <s v="Speranza"/>
    <s v="id3tag --song=&quot;Speranza (10.10.10.10.)&quot; --artist=&quot;C. Leflaive&quot; --comment=&quot;&quot; --album=&quot;Green Book&quot; --track=&quot;499&quot; 499g.mid.mp3"/>
    <s v="https://www.dropbox.com/sh/cx7tus4mgkt9o4n/AABm6QHHbdZTJdcul1VFUNANa/499g.mid.mp3?raw=1"/>
  </r>
  <r>
    <x v="448"/>
    <s v="Spes Mea in Deo"/>
    <s v="10.10.10.10."/>
    <n v="21"/>
    <m/>
    <s v="LFTB"/>
    <s v="Green Book"/>
    <x v="330"/>
    <s v="500g.mid"/>
    <s v="500g.mid.mp3"/>
    <m/>
    <m/>
    <n v="557"/>
    <s v="Spes Mea in Deo"/>
    <s v="id3tag --song=&quot;Spes Mea in Deo (10.10.10.10.)&quot; --artist=&quot;J. S. Warburton&quot; --comment=&quot;&quot; --album=&quot;Green Book&quot; --track=&quot;500&quot; 500g.mid.mp3"/>
    <s v="https://www.dropbox.com/sh/cx7tus4mgkt9o4n/AAD_zRkc2-Zx8BjgpKxY71FDa/500g.mid.mp3?raw=1"/>
  </r>
  <r>
    <x v="449"/>
    <s v="Splendor"/>
    <s v="4.8.4.8.8."/>
    <n v="28"/>
    <m/>
    <s v="LFTBs"/>
    <s v="Red Book"/>
    <x v="43"/>
    <s v="57r.mid"/>
    <s v="57r.mid.mp3"/>
    <m/>
    <m/>
    <n v="284"/>
    <s v="Splendor"/>
    <s v="id3tag --song=&quot;Splendor (4.8.4.8.8.)&quot; --artist=&quot;Peter Blanche&quot; --comment=&quot;&quot; --album=&quot;Red Book&quot; --track=&quot;57&quot; 57r.mid.mp3"/>
    <s v="https://www.dropbox.com/sh/cx7tus4mgkt9o4n/AADErirwTzw7jQT3Ewrx11bma/57r.mid.mp3?raw=1"/>
  </r>
  <r>
    <x v="145"/>
    <s v="Spohr"/>
    <s v="C.M."/>
    <n v="19"/>
    <m/>
    <s v="LFTB"/>
    <s v="Green Book"/>
    <x v="331"/>
    <s v="69g.mid"/>
    <s v="69g.mid.mp3"/>
    <m/>
    <m/>
    <n v="599"/>
    <s v="Spohr"/>
    <s v="id3tag --song=&quot;Spohr (C.M.)&quot; --artist=&quot;L. Spohr&quot; --comment=&quot;&quot; --album=&quot;Green Book&quot; --track=&quot;69&quot; 69g.mid.mp3"/>
    <s v="https://www.dropbox.com/sh/cx7tus4mgkt9o4n/AAAoJ7jCy3kEIRQujnQCX8HVa/69g.mid.mp3?raw=1"/>
  </r>
  <r>
    <x v="450"/>
    <s v="Springfield (11.10.11.10.)"/>
    <s v="11.10.11.10. Dactylic"/>
    <n v="17"/>
    <m/>
    <s v="LFTB"/>
    <s v="Green Book"/>
    <x v="332"/>
    <s v="529g.mid"/>
    <s v="529g.mid.mp3"/>
    <m/>
    <m/>
    <n v="748"/>
    <s v="Springfield (11.10.11.10.)"/>
    <s v="id3tag --song=&quot;Springfield (11.10.11.10.) (11.10.11.10. Dactylic)&quot; --artist=&quot;Dr. H. J. Gauntlett&quot; --comment=&quot;&quot; --album=&quot;Green Book&quot; --track=&quot;529&quot; 529g.mid.mp3"/>
    <s v="https://www.dropbox.com/sh/cx7tus4mgkt9o4n/AACzaFqaaPmv7O6axAowL71Oa/529g.mid.mp3?raw=1"/>
  </r>
  <r>
    <x v="451"/>
    <s v="Springfield (8.7.8.7.)"/>
    <s v="8.7.8.7."/>
    <n v="24"/>
    <m/>
    <s v="LFTB"/>
    <s v="Green Book"/>
    <x v="332"/>
    <s v="343g.mid"/>
    <s v="343g.mid.mp3"/>
    <m/>
    <m/>
    <n v="503"/>
    <s v="Springfield (8.7.8.7.)"/>
    <s v="id3tag --song=&quot;Springfield (8.7.8.7.) (8.7.8.7.)&quot; --artist=&quot;Dr. H. J. Gauntlett&quot; --comment=&quot;&quot; --album=&quot;Green Book&quot; --track=&quot;343&quot; 343g.mid.mp3"/>
    <s v="https://www.dropbox.com/sh/cx7tus4mgkt9o4n/AADf__yGwC8GxnsYvPXnyNd6a/343g.mid.mp3?raw=1"/>
  </r>
  <r>
    <x v="403"/>
    <s v="Springing Fountain"/>
    <s v="8.8.8.8.6."/>
    <n v="58"/>
    <m/>
    <s v="LFTBs"/>
    <s v="Red Book"/>
    <x v="328"/>
    <s v="210r.mid"/>
    <s v="210r.mid.mp3"/>
    <m/>
    <m/>
    <n v="285"/>
    <s v="Springing Fountain"/>
    <s v="id3tag --song=&quot;Springing Fountain (8.8.8.8.6.)&quot; --artist=&quot;A.W. Michael Rooke&quot; --comment=&quot;&quot; --album=&quot;Red Book&quot; --track=&quot;210&quot; 210r.mid.mp3"/>
    <s v="https://www.dropbox.com/sh/cx7tus4mgkt9o4n/AAAB7Qzp_G7MSTlUlQrW9y21a/210r.mid.mp3?raw=1"/>
  </r>
  <r>
    <x v="152"/>
    <s v="Springing Well"/>
    <s v="8.7.8.7. Dactylic"/>
    <n v="80"/>
    <m/>
    <s v="LFTBs"/>
    <s v="Red Book"/>
    <x v="34"/>
    <s v="164r.mid"/>
    <s v="164r.mid.mp3"/>
    <m/>
    <m/>
    <n v="286"/>
    <s v="Springing Well"/>
    <s v="id3tag --song=&quot;Springing Well (8.7.8.7. Dactylic)&quot; --artist=&quot;Gordon Millar&quot; --comment=&quot;&quot; --album=&quot;Red Book&quot; --track=&quot;164&quot; 164r.mid.mp3"/>
    <s v="https://www.dropbox.com/sh/cx7tus4mgkt9o4n/AACErenq1t2rd3VwyNU9uCCVa/164r.mid.mp3?raw=1"/>
  </r>
  <r>
    <x v="192"/>
    <s v="St. Agnes (Dykes/Durham)"/>
    <s v="C.M."/>
    <n v="19"/>
    <m/>
    <s v="LFTB"/>
    <s v="Green Book"/>
    <x v="333"/>
    <s v="54g.mid"/>
    <s v="54g.mid.mp3"/>
    <m/>
    <m/>
    <n v="534"/>
    <s v="St. Agnes (Dykes/Durham)"/>
    <s v="id3tag --song=&quot;St. Agnes (Dykes/Durham) (C.M.)&quot; --artist=&quot;Dr. J.B. Dykes&quot; --comment=&quot;&quot; --album=&quot;Green Book&quot; --track=&quot;54&quot; 54g.mid.mp3"/>
    <s v="https://www.dropbox.com/sh/cx7tus4mgkt9o4n/AABTKC1_i3xw0t4Z3HpvKB1pa/54g.mid.mp3?raw=1"/>
  </r>
  <r>
    <x v="452"/>
    <s v="St. Agnes (Langran/Hoyland)"/>
    <s v="10.10.10.10."/>
    <n v="21"/>
    <m/>
    <s v="LFTB"/>
    <s v="Green Book"/>
    <x v="121"/>
    <s v="497g.mid"/>
    <s v="497g.mid.mp3"/>
    <m/>
    <m/>
    <n v="404"/>
    <s v="St. Agnes (Langran/Hoyland)"/>
    <s v="id3tag --song=&quot;St. Agnes (Langran/Hoyland) (10.10.10.10.)&quot; --artist=&quot;J. Langran&quot; --comment=&quot;&quot; --album=&quot;Green Book&quot; --track=&quot;497&quot; 497g.mid.mp3"/>
    <s v="https://www.dropbox.com/sh/cx7tus4mgkt9o4n/AABVulGBCpGRgJDxu2z4-_Yaa/497g.mid.mp3?raw=1"/>
  </r>
  <r>
    <x v="185"/>
    <s v="St. Alban"/>
    <s v="C.M."/>
    <n v="19"/>
    <m/>
    <s v="LFTBs"/>
    <s v="Red Book"/>
    <x v="9"/>
    <s v="19r.mid"/>
    <s v="19r.mid.mp3"/>
    <m/>
    <m/>
    <n v="287"/>
    <s v="St. Alban"/>
    <s v="id3tag --song=&quot;St. Alban (C.M.)&quot; --artist=&quot;Unknown&quot; --comment=&quot;&quot; --album=&quot;Red Book&quot; --track=&quot;19&quot; 19r.mid.mp3"/>
    <s v="https://www.dropbox.com/sh/cx7tus4mgkt9o4n/AAD1Ttd9zz4gpNbSFxklcCZra/19r.mid.mp3?raw=1"/>
  </r>
  <r>
    <x v="67"/>
    <s v="St. Alphege"/>
    <s v="7.6.7.6."/>
    <n v="41"/>
    <m/>
    <s v="LFTB"/>
    <s v="Green Book"/>
    <x v="332"/>
    <s v="221g.mid"/>
    <s v="221g.mid.mp3"/>
    <m/>
    <m/>
    <n v="626"/>
    <s v="St. Alphege"/>
    <s v="id3tag --song=&quot;St. Alphege (7.6.7.6.)&quot; --artist=&quot;Dr. H. J. Gauntlett&quot; --comment=&quot;&quot; --album=&quot;Green Book&quot; --track=&quot;221&quot; 221g.mid.mp3"/>
    <s v="https://www.dropbox.com/sh/cx7tus4mgkt9o4n/AAAQTlYS0_iGQjPOQl6Rk6ova/221g.mid.mp3?raw=1"/>
  </r>
  <r>
    <x v="207"/>
    <s v="St. Anatolius"/>
    <s v="7.6.7.6.8.8."/>
    <n v="81"/>
    <m/>
    <s v="LFTB"/>
    <s v="Green Book"/>
    <x v="334"/>
    <s v="264g.mid"/>
    <s v="264g.mid.mp3"/>
    <m/>
    <m/>
    <n v="642"/>
    <s v="St. Anatolius"/>
    <s v="id3tag --song=&quot;St. Anatolius (7.6.7.6.8.8.)&quot; --artist=&quot;Arthur H. Brown&quot; --comment=&quot;&quot; --album=&quot;Green Book&quot; --track=&quot;264&quot; 264g.mid.mp3"/>
    <s v="https://www.dropbox.com/sh/cx7tus4mgkt9o4n/AAAEAw37cfkZAbDKBqWLDz8ua/264g.mid.mp3?raw=1"/>
  </r>
  <r>
    <x v="379"/>
    <s v="St. Andrew"/>
    <s v="C.M."/>
    <n v="19"/>
    <m/>
    <s v="LFTB"/>
    <s v="Green Book"/>
    <x v="335"/>
    <s v="55g.mid"/>
    <s v="55g.mid.mp3"/>
    <n v="1764"/>
    <m/>
    <n v="585"/>
    <s v="St. Andrew"/>
    <s v="id3tag --song=&quot;St. Andrew (C.M.)&quot; --artist=&quot;From 'New Harmony of Sion'&quot; --comment=&quot;&quot; --album=&quot;Green Book&quot; --track=&quot;55&quot; 55g.mid.mp3"/>
    <s v="https://www.dropbox.com/sh/cx7tus4mgkt9o4n/AADnJ41oqHTORl5BVL3zD4rMa/55g.mid.mp3?raw=1"/>
  </r>
  <r>
    <x v="402"/>
    <s v="St. Anne"/>
    <s v="C.M."/>
    <n v="19"/>
    <m/>
    <s v="LFTB"/>
    <s v="Green Book"/>
    <x v="181"/>
    <s v="56g.mid"/>
    <s v="56g.mid.mp3"/>
    <m/>
    <m/>
    <n v="586"/>
    <s v="St. Anne"/>
    <s v="id3tag --song=&quot;St. Anne (C.M.)&quot; --artist=&quot;Dr. W. Croft&quot; --comment=&quot;&quot; --album=&quot;Green Book&quot; --track=&quot;56&quot; 56g.mid.mp3"/>
    <s v="https://www.dropbox.com/sh/cx7tus4mgkt9o4n/AABuZQ9U6gDrkR6UDsxlYhS_a/56g.mid.mp3?raw=1"/>
  </r>
  <r>
    <x v="430"/>
    <s v="St. Bees"/>
    <s v="7.7.7.7."/>
    <n v="29"/>
    <m/>
    <s v="LFTB"/>
    <s v="Green Book"/>
    <x v="19"/>
    <s v="272g.mid"/>
    <s v="272g.mid.mp3"/>
    <m/>
    <m/>
    <n v="479"/>
    <s v="St. Bees"/>
    <s v="id3tag --song=&quot;St. Bees (7.7.7.7.)&quot; --artist=&quot;Dr. J. B. Dykes&quot; --comment=&quot;&quot; --album=&quot;Green Book&quot; --track=&quot;272&quot; 272g.mid.mp3"/>
    <s v="https://www.dropbox.com/sh/cx7tus4mgkt9o4n/AACdk3z53fy9WDgRJxquNixRa/272g.mid.mp3?raw=1"/>
  </r>
  <r>
    <x v="449"/>
    <s v="St. Bernard"/>
    <s v="C.M."/>
    <n v="19"/>
    <m/>
    <s v="LFTB"/>
    <s v="Green Book"/>
    <x v="336"/>
    <s v="57g.mid"/>
    <s v="57g.mid.mp3"/>
    <m/>
    <m/>
    <n v="587"/>
    <s v="No matching tune"/>
    <s v="id3tag --song=&quot;St. Bernard (C.M.)&quot; --artist=&quot;J. Richardson&quot; --comment=&quot;&quot; --album=&quot;Green Book&quot; --track=&quot;57&quot; 57g.mid.mp3"/>
    <e v="#N/A"/>
  </r>
  <r>
    <x v="453"/>
    <s v="St. Catherine (Flood Jones)"/>
    <s v="8.7.8.7."/>
    <n v="24"/>
    <m/>
    <s v="LFTBs"/>
    <s v="Red Book"/>
    <x v="337"/>
    <s v="161r.mid"/>
    <s v="161r.mid.mp3"/>
    <m/>
    <m/>
    <n v="288"/>
    <s v="St. Catherine (Flood Jones)"/>
    <s v="id3tag --song=&quot;St. Catherine (Flood Jones) (8.7.8.7.)&quot; --artist=&quot;S. Flood Jones&quot; --comment=&quot;&quot; --album=&quot;Red Book&quot; --track=&quot;161&quot; 161r.mid.mp3"/>
    <s v="https://www.dropbox.com/sh/cx7tus4mgkt9o4n/AACnadvPInSg4l70cZWYYN8ea/161r.mid.mp3?raw=1"/>
  </r>
  <r>
    <x v="441"/>
    <s v="St. Christopher"/>
    <s v="7.6.7.6.7.6.7.6."/>
    <n v="34"/>
    <m/>
    <s v="LFTB"/>
    <s v="Green Book"/>
    <x v="5"/>
    <s v="256g.mid"/>
    <s v="256g.mid.mp3"/>
    <m/>
    <m/>
    <n v="472"/>
    <s v="St. Christopher"/>
    <s v="id3tag --song=&quot;St. Christopher (7.6.7.6.7.6.7.6.)&quot; --artist=&quot;F. C. Maker&quot; --comment=&quot;&quot; --album=&quot;Green Book&quot; --track=&quot;256&quot; 256g.mid.mp3"/>
    <s v="https://www.dropbox.com/sh/cx7tus4mgkt9o4n/AACcDDQpPop96QsMaQ08IGlea/256g.mid.mp3?raw=1"/>
  </r>
  <r>
    <x v="454"/>
    <s v="St. Clement"/>
    <s v="L.M."/>
    <n v="16"/>
    <m/>
    <s v="LFTB"/>
    <s v="Green Book"/>
    <x v="338"/>
    <s v="117g.mid"/>
    <s v="117g.mid.mp3"/>
    <m/>
    <m/>
    <n v="355"/>
    <s v="St. Clement"/>
    <s v="id3tag --song=&quot;St. Clement (L.M.)&quot; --artist=&quot;C. C. Scholefield&quot; --comment=&quot;&quot; --album=&quot;Green Book&quot; --track=&quot;117&quot; 117g.mid.mp3"/>
    <s v="https://www.dropbox.com/sh/cx7tus4mgkt9o4n/AADPEIcNMkOWGvMYnZgkLMp0a/117g.mid.mp3?raw=1"/>
  </r>
  <r>
    <x v="455"/>
    <s v="St. Columba"/>
    <s v="C.M."/>
    <n v="19"/>
    <m/>
    <s v="LFTB"/>
    <s v="Green Book"/>
    <x v="339"/>
    <s v="58g.mid"/>
    <s v="58g.mid.mp3"/>
    <m/>
    <m/>
    <n v="588"/>
    <s v="St. Columba"/>
    <s v="id3tag --song=&quot;St. Columba (C.M.)&quot; --artist=&quot;Irish Traditional Melody&quot; --comment=&quot;&quot; --album=&quot;Green Book&quot; --track=&quot;58&quot; 58g.mid.mp3"/>
    <s v="https://www.dropbox.com/sh/cx7tus4mgkt9o4n/AAApzmNUiO4TyObd_qjDZgSca/58g.mid.mp3?raw=1"/>
  </r>
  <r>
    <x v="456"/>
    <s v="St. Cuthbert"/>
    <s v="8.6.8.4."/>
    <n v="72"/>
    <m/>
    <s v="LFTB"/>
    <s v="Green Book"/>
    <x v="19"/>
    <s v="301g.mid"/>
    <s v="301g.mid.mp3"/>
    <m/>
    <m/>
    <n v="489"/>
    <s v="St. Cuthbert"/>
    <s v="id3tag --song=&quot;St. Cuthbert (8.6.8.4.)&quot; --artist=&quot;Dr. J. B. Dykes&quot; --comment=&quot;&quot; --album=&quot;Green Book&quot; --track=&quot;301&quot; 301g.mid.mp3"/>
    <s v="https://www.dropbox.com/sh/cx7tus4mgkt9o4n/AAC_rGuKklxomtF4GFyPHj6va/301g.mid.mp3?raw=1"/>
  </r>
  <r>
    <x v="457"/>
    <s v="St. Denio"/>
    <s v="11.11.11.11."/>
    <n v="31"/>
    <m/>
    <s v="LFTB"/>
    <s v="Green Book"/>
    <x v="340"/>
    <s v="536g.mid"/>
    <s v="536g.mid.mp3"/>
    <m/>
    <m/>
    <n v="562"/>
    <s v="St. Denio"/>
    <s v="id3tag --song=&quot;St. Denio (11.11.11.11.)&quot; --artist=&quot;Welch Hymn Melody&quot; --comment=&quot;&quot; --album=&quot;Green Book&quot; --track=&quot;536&quot; 536g.mid.mp3"/>
    <s v="https://www.dropbox.com/sh/cx7tus4mgkt9o4n/AAAdSqv0p5M5HH0-fKJ4qEhZa/536g.mid.mp3?raw=1"/>
  </r>
  <r>
    <x v="446"/>
    <s v="St. Denis"/>
    <s v="7.6.7.6.7.6.7.6."/>
    <n v="34"/>
    <m/>
    <s v="LFTB"/>
    <s v="Green Book"/>
    <x v="341"/>
    <s v="257g.mid"/>
    <s v="257g.mid.mp3"/>
    <n v="1840"/>
    <m/>
    <n v="473"/>
    <s v="St. Denis"/>
    <s v="id3tag --song=&quot;St. Denis (7.6.7.6.7.6.7.6.)&quot; --artist=&quot;From 'Calcotts Psalm and Hymn Tunes'&quot; --comment=&quot;&quot; --album=&quot;Green Book&quot; --track=&quot;257&quot; 257g.mid.mp3"/>
    <s v="https://www.dropbox.com/sh/cx7tus4mgkt9o4n/AABvtR5yIH_ti7ou8D0aH24ea/257g.mid.mp3?raw=1"/>
  </r>
  <r>
    <x v="312"/>
    <s v="St. Edmund"/>
    <s v="6.4.6.4.6.6.6.4."/>
    <n v="44"/>
    <m/>
    <s v="LFTB"/>
    <s v="Green Book"/>
    <x v="68"/>
    <s v="179g.mid"/>
    <s v="179g.mid.mp3"/>
    <m/>
    <m/>
    <n v="618"/>
    <s v="St. Edmund"/>
    <s v="id3tag --song=&quot;St. Edmund (6.4.6.4.6.6.6.4.)&quot; --artist=&quot;Sir Arthur S. Sullivan&quot; --comment=&quot;&quot; --album=&quot;Green Book&quot; --track=&quot;179&quot; 179g.mid.mp3"/>
    <s v="https://www.dropbox.com/sh/cx7tus4mgkt9o4n/AABut6_WNS5pOUZiQ74a4nzxa/179g.mid.mp3?raw=1"/>
  </r>
  <r>
    <x v="458"/>
    <s v="St. Fulbert"/>
    <s v="C.M."/>
    <n v="19"/>
    <m/>
    <s v="LFTB"/>
    <s v="Green Book"/>
    <x v="332"/>
    <s v="59g.mid"/>
    <s v="59g.mid.mp3"/>
    <m/>
    <m/>
    <n v="589"/>
    <s v="St. Fulbert"/>
    <s v="id3tag --song=&quot;St. Fulbert (C.M.)&quot; --artist=&quot;Dr. H. J. Gauntlett&quot; --comment=&quot;&quot; --album=&quot;Green Book&quot; --track=&quot;59&quot; 59g.mid.mp3"/>
    <s v="https://www.dropbox.com/sh/cx7tus4mgkt9o4n/AABZs_OI1S_wvn0pYm_Hp3Q2a/59g.mid.mp3?raw=1"/>
  </r>
  <r>
    <x v="374"/>
    <s v="St. George"/>
    <s v="S.M."/>
    <n v="22"/>
    <m/>
    <s v="LFTB"/>
    <s v="Green Book"/>
    <x v="332"/>
    <s v="149g.mid"/>
    <s v="149g.mid.mp3"/>
    <m/>
    <m/>
    <n v="617"/>
    <s v="St. George"/>
    <s v="id3tag --song=&quot;St. George (S.M.)&quot; --artist=&quot;Dr. H. J. Gauntlett&quot; --comment=&quot;&quot; --album=&quot;Green Book&quot; --track=&quot;149&quot; 149g.mid.mp3"/>
    <s v="https://www.dropbox.com/sh/cx7tus4mgkt9o4n/AAAPwqwTHkOnQMTj46zhQYNCa/149g.mid.mp3?raw=1"/>
  </r>
  <r>
    <x v="101"/>
    <s v="St. Ives"/>
    <s v="6.6.8.6.6.8."/>
    <n v="73"/>
    <m/>
    <s v="LFTBs"/>
    <s v="Red Book"/>
    <x v="342"/>
    <s v="94r.mid"/>
    <s v="94r.mid.mp3"/>
    <m/>
    <m/>
    <n v="289"/>
    <s v="No matching tune"/>
    <s v="id3tag --song=&quot;St. Ives (6.6.8.6.6.8.)&quot; --artist=&quot;C. Green&quot; --comment=&quot;&quot; --album=&quot;Red Book&quot; --track=&quot;94&quot; 94r.mid.mp3"/>
    <e v="#N/A"/>
  </r>
  <r>
    <x v="459"/>
    <s v="St. John"/>
    <s v="6.6.6.6.8.8."/>
    <n v="51"/>
    <m/>
    <s v="LFTBs"/>
    <s v="Red Book"/>
    <x v="343"/>
    <s v="86r.mid"/>
    <s v="86r.mid.mp3"/>
    <m/>
    <m/>
    <n v="290"/>
    <s v="St. John"/>
    <s v="id3tag --song=&quot;St. John (6.6.6.6.8.8.)&quot; --artist=&quot;J. Baptiste Calkin&quot; --comment=&quot;&quot; --album=&quot;Red Book&quot; --track=&quot;86&quot; 86r.mid.mp3"/>
    <s v="https://www.dropbox.com/sh/cx7tus4mgkt9o4n/AABnYcnCZHazemOTG9muKmIBa/86r.mid.mp3?raw=1"/>
  </r>
  <r>
    <x v="288"/>
    <s v="St. Leonard"/>
    <s v="C.M."/>
    <n v="19"/>
    <m/>
    <s v="LFTB"/>
    <s v="Green Book"/>
    <x v="64"/>
    <s v="60g.mid"/>
    <s v="60g.mid.mp3"/>
    <m/>
    <m/>
    <n v="590"/>
    <s v="St. Leonard"/>
    <s v="id3tag --song=&quot;St. Leonard (C.M.)&quot; --artist=&quot;H. T. Smart&quot; --comment=&quot;&quot; --album=&quot;Green Book&quot; --track=&quot;60&quot; 60g.mid.mp3"/>
    <s v="https://www.dropbox.com/sh/cx7tus4mgkt9o4n/AAAV5tYGB2u_53TniuOi6p0ra/60g.mid.mp3?raw=1"/>
  </r>
  <r>
    <x v="460"/>
    <s v="St. Margaret"/>
    <s v="8.8.8.8.6."/>
    <n v="58"/>
    <m/>
    <s v="LFTB"/>
    <s v="Green Book"/>
    <x v="344"/>
    <s v="427g.mid"/>
    <s v="427g.mid.mp3"/>
    <m/>
    <m/>
    <n v="693"/>
    <s v="St. Margaret"/>
    <s v="id3tag --song=&quot;St. Margaret (8.8.8.8.6.)&quot; --artist=&quot;A. L. Peace&quot; --comment=&quot;&quot; --album=&quot;Green Book&quot; --track=&quot;427&quot; 427g.mid.mp3"/>
    <s v="https://www.dropbox.com/sh/cx7tus4mgkt9o4n/AAAaxwO5r6mrPu-EyRDpbqmUa/427g.mid.mp3?raw=1"/>
  </r>
  <r>
    <x v="303"/>
    <s v="St. Matthew"/>
    <s v="C.M.D."/>
    <n v="61"/>
    <m/>
    <s v="LFTB"/>
    <s v="Green Book"/>
    <x v="181"/>
    <s v="84g.mid"/>
    <s v="84g.mid.mp3"/>
    <m/>
    <m/>
    <n v="538"/>
    <s v="St. Matthew"/>
    <s v="id3tag --song=&quot;St. Matthew (C.M.D.)&quot; --artist=&quot;Dr. W. Croft&quot; --comment=&quot;&quot; --album=&quot;Green Book&quot; --track=&quot;84&quot; 84g.mid.mp3"/>
    <s v="https://www.dropbox.com/sh/cx7tus4mgkt9o4n/AABOHc2EkxBONUx5BVIjaoJEa/84g.mid.mp3?raw=1"/>
  </r>
  <r>
    <x v="461"/>
    <s v="St. Matthias"/>
    <s v="8.8.8.8.8.8."/>
    <n v="26"/>
    <m/>
    <s v="LFTB"/>
    <s v="Green Book"/>
    <x v="345"/>
    <s v="439g.mid"/>
    <s v="439g.mid.mp3"/>
    <m/>
    <m/>
    <n v="701"/>
    <s v="St. Matthias"/>
    <s v="id3tag --song=&quot;St. Matthias (8.8.8.8.8.8.)&quot; --artist=&quot;Dr. W.H. Monk&quot; --comment=&quot;&quot; --album=&quot;Green Book&quot; --track=&quot;439&quot; 439g.mid.mp3"/>
    <s v="https://www.dropbox.com/sh/cx7tus4mgkt9o4n/AACQfBocDGbQR8povkQY3Ur4a/439g.mid.mp3?raw=1"/>
  </r>
  <r>
    <x v="462"/>
    <s v="St. Michael"/>
    <s v="S.M."/>
    <n v="22"/>
    <m/>
    <s v="LFTB"/>
    <s v="Green Book"/>
    <x v="346"/>
    <s v="150g.mid"/>
    <s v="150g.mid.mp3"/>
    <m/>
    <m/>
    <n v="442"/>
    <s v="St. Michael"/>
    <s v="id3tag --song=&quot;St. Michael (S.M.)&quot; --artist=&quot;From 'Day's Psalter'&quot; --comment=&quot;&quot; --album=&quot;Green Book&quot; --track=&quot;150&quot; 150g.mid.mp3"/>
    <s v="https://www.dropbox.com/sh/cx7tus4mgkt9o4n/AADdph4Eu-RwfjtkUxvH5CnQa/150g.mid.mp3?raw=1"/>
  </r>
  <r>
    <x v="23"/>
    <s v="St. Paul"/>
    <s v="C.M."/>
    <n v="19"/>
    <m/>
    <s v="LFTB"/>
    <s v="Green Book"/>
    <x v="347"/>
    <s v="61g.mid"/>
    <s v="61g.mid.mp3"/>
    <m/>
    <m/>
    <n v="591"/>
    <s v="St. Paul"/>
    <s v="id3tag --song=&quot;St. Paul (C.M.)&quot; --artist=&quot;From 'Chalmer's Collection'&quot; --comment=&quot;&quot; --album=&quot;Green Book&quot; --track=&quot;61&quot; 61g.mid.mp3"/>
    <s v="https://www.dropbox.com/sh/cx7tus4mgkt9o4n/AACVLPSW2BWEfWENuhy6UazJa/61g.mid.mp3?raw=1"/>
  </r>
  <r>
    <x v="381"/>
    <s v="St. Paul's"/>
    <s v="S.M."/>
    <n v="22"/>
    <m/>
    <s v="LFTBs"/>
    <s v="Red Book"/>
    <x v="21"/>
    <s v="48r.mid"/>
    <s v="48r.mid.mp3"/>
    <m/>
    <m/>
    <n v="291"/>
    <s v="St. Paul's"/>
    <s v="id3tag --song=&quot;St. Paul's (S.M.)&quot; --artist=&quot;Sir John Stainer&quot; --comment=&quot;&quot; --album=&quot;Red Book&quot; --track=&quot;48&quot; 48r.mid.mp3"/>
    <s v="https://www.dropbox.com/sh/cx7tus4mgkt9o4n/AADjAPsAKfKWXKJ8SU3ykeaIa/48r.mid.mp3?raw=1"/>
  </r>
  <r>
    <x v="133"/>
    <s v="St. Peter"/>
    <s v="C.M."/>
    <n v="19"/>
    <m/>
    <s v="LFTB"/>
    <s v="Green Book"/>
    <x v="348"/>
    <s v="62g.mid"/>
    <s v="62g.mid.mp3"/>
    <m/>
    <m/>
    <n v="592"/>
    <s v="St. Peter"/>
    <s v="id3tag --song=&quot;St. Peter (C.M.)&quot; --artist=&quot;A. R. Reinagle&quot; --comment=&quot;&quot; --album=&quot;Green Book&quot; --track=&quot;62&quot; 62g.mid.mp3"/>
    <s v="https://www.dropbox.com/sh/cx7tus4mgkt9o4n/AACbIF-HYFH_f-sSrzbfvtp6a/62g.mid.mp3?raw=1"/>
  </r>
  <r>
    <x v="114"/>
    <s v="St. Philip"/>
    <s v="7.6.7.6."/>
    <n v="41"/>
    <m/>
    <s v="LFTB"/>
    <s v="Green Book"/>
    <x v="9"/>
    <s v="222g.mid"/>
    <s v="222g.mid.mp3"/>
    <m/>
    <m/>
    <n v="627"/>
    <s v="St. Philip"/>
    <s v="id3tag --song=&quot;St. Philip (7.6.7.6.)&quot; --artist=&quot;Unknown&quot; --comment=&quot;&quot; --album=&quot;Green Book&quot; --track=&quot;222&quot; 222g.mid.mp3"/>
    <s v="https://www.dropbox.com/sh/cx7tus4mgkt9o4n/AAD1xoVR3nJWskQgnRG-WdEsa/222g.mid.mp3?raw=1"/>
  </r>
  <r>
    <x v="150"/>
    <s v="St. Saviour"/>
    <s v="C.M."/>
    <n v="19"/>
    <m/>
    <s v="LFTB"/>
    <s v="Green Book"/>
    <x v="349"/>
    <s v="63g.mid"/>
    <s v="63g.mid.mp3"/>
    <m/>
    <m/>
    <n v="593"/>
    <s v="St. Saviour"/>
    <s v="id3tag --song=&quot;St. Saviour (C.M.)&quot; --artist=&quot;F. G. Baker&quot; --comment=&quot;&quot; --album=&quot;Green Book&quot; --track=&quot;63&quot; 63g.mid.mp3"/>
    <s v="https://www.dropbox.com/sh/cx7tus4mgkt9o4n/AAA4_nEWVe_m3UpbYnLYvbB8a/63g.mid.mp3?raw=1"/>
  </r>
  <r>
    <x v="323"/>
    <s v="St. Stephen"/>
    <s v="C.M."/>
    <n v="19"/>
    <m/>
    <s v="LFTB"/>
    <s v="Green Book"/>
    <x v="350"/>
    <s v="64g.mid"/>
    <s v="64g.mid.mp3"/>
    <m/>
    <m/>
    <n v="594"/>
    <s v="St. Stephen"/>
    <s v="id3tag --song=&quot;St. Stephen (C.M.)&quot; --artist=&quot;W. Jones&quot; --comment=&quot;&quot; --album=&quot;Green Book&quot; --track=&quot;64&quot; 64g.mid.mp3"/>
    <s v="https://www.dropbox.com/sh/cx7tus4mgkt9o4n/AACG2ZO318myfmSCpqEctQ83a/64g.mid.mp3?raw=1"/>
  </r>
  <r>
    <x v="463"/>
    <s v="St. Sulien"/>
    <s v="9.8.9.8."/>
    <n v="35"/>
    <m/>
    <s v="LFTB"/>
    <s v="Green Book"/>
    <x v="351"/>
    <s v="446g.mid"/>
    <s v="446g.mid.mp3"/>
    <m/>
    <m/>
    <n v="706"/>
    <s v="St. Sulien"/>
    <s v="id3tag --song=&quot;St. Sulien (9.8.9.8.)&quot; --artist=&quot;Edward Arthur&quot; --comment=&quot;&quot; --album=&quot;Green Book&quot; --track=&quot;446&quot; 446g.mid.mp3"/>
    <s v="https://www.dropbox.com/sh/cx7tus4mgkt9o4n/AAA9n7mbWbEZ-WMZWep3-CHpa/446g.mid.mp3?raw=1"/>
  </r>
  <r>
    <x v="464"/>
    <s v="St. Sylvester (Barnby)"/>
    <s v="14.14.14.14."/>
    <n v="85"/>
    <m/>
    <s v="LFTB"/>
    <s v="Green Book"/>
    <x v="30"/>
    <s v="554g.mid"/>
    <s v="554g.mid.mp3"/>
    <m/>
    <m/>
    <n v="568"/>
    <s v="St. Sylvester (Barnby)"/>
    <s v="id3tag --song=&quot;St. Sylvester (Barnby) (14.14.14.14.)&quot; --artist=&quot;Sir Joseph Barnby&quot; --comment=&quot;&quot; --album=&quot;Green Book&quot; --track=&quot;554&quot; 554g.mid.mp3"/>
    <s v="https://www.dropbox.com/sh/cx7tus4mgkt9o4n/AACjSW6p338ahWqRpSUCeU-1a/554g.mid.mp3?raw=1"/>
  </r>
  <r>
    <x v="465"/>
    <s v="St. Theodulph"/>
    <s v="7.6.7.6.7.6.7.6."/>
    <n v="34"/>
    <m/>
    <s v="LFTB"/>
    <s v="Green Book"/>
    <x v="352"/>
    <s v="258g.mid"/>
    <s v="258g.mid.mp3"/>
    <n v="1615"/>
    <m/>
    <n v="639"/>
    <s v="St. Theodulph"/>
    <s v="id3tag --song=&quot;St. Theodulph (7.6.7.6.7.6.7.6.)&quot; --artist=&quot;M. Teschner&quot; --comment=&quot;&quot; --album=&quot;Green Book&quot; --track=&quot;258&quot; 258g.mid.mp3"/>
    <s v="https://www.dropbox.com/sh/cx7tus4mgkt9o4n/AAA5dzMZsmWh2hCKYkCSM92Ta/258g.mid.mp3?raw=1"/>
  </r>
  <r>
    <x v="466"/>
    <s v="Stachys"/>
    <s v="11.10.11.10. Dactylic"/>
    <n v="17"/>
    <m/>
    <s v="LFTB"/>
    <s v="Green Book"/>
    <x v="11"/>
    <s v="530g.mid"/>
    <s v="530g.mid.mp3"/>
    <m/>
    <m/>
    <n v="749"/>
    <s v="Stachys"/>
    <s v="id3tag --song=&quot;Stachys (11.10.11.10. Dactylic)&quot; --artist=&quot;T. Collins&quot; --comment=&quot;&quot; --album=&quot;Green Book&quot; --track=&quot;530&quot; 530g.mid.mp3"/>
    <s v="https://www.dropbox.com/sh/cx7tus4mgkt9o4n/AABn-Dh_Wulkv3RPWt2GJ6eGa/530g.mid.mp3?raw=1"/>
  </r>
  <r>
    <x v="467"/>
    <s v="Star of Bethlehem"/>
    <s v="14.14.14.14."/>
    <n v="85"/>
    <m/>
    <s v="LFTBs"/>
    <s v="Red Book"/>
    <x v="4"/>
    <s v="297r.mid"/>
    <s v="297r.mid.mp3"/>
    <m/>
    <m/>
    <n v="292"/>
    <s v="Star of Bethlehem"/>
    <s v="id3tag --song=&quot;Star of Bethlehem (14.14.14.14.)&quot; --artist=&quot;Miss E.C. Shanks&quot; --comment=&quot;&quot; --album=&quot;Red Book&quot; --track=&quot;297&quot; 297r.mid.mp3"/>
    <s v="https://www.dropbox.com/sh/cx7tus4mgkt9o4n/AACgbLjOwagcIJRKacOk38XBa/297r.mid.mp3?raw=1"/>
  </r>
  <r>
    <x v="468"/>
    <s v="Stella"/>
    <s v="8.8.8.8.8.8."/>
    <n v="26"/>
    <m/>
    <s v="LFTB"/>
    <s v="Green Book"/>
    <x v="353"/>
    <s v="440g.mid"/>
    <s v="440g.mid.mp3"/>
    <m/>
    <m/>
    <n v="702"/>
    <s v="Stella"/>
    <s v="id3tag --song=&quot;Stella (8.8.8.8.8.8.)&quot; --artist=&quot;Old English Melody&quot; --comment=&quot;&quot; --album=&quot;Green Book&quot; --track=&quot;440&quot; 440g.mid.mp3"/>
    <s v="https://www.dropbox.com/sh/cx7tus4mgkt9o4n/AABz1yF5DIOBcrh204Uk4qIza/440g.mid.mp3?raw=1"/>
  </r>
  <r>
    <x v="256"/>
    <s v="Stephanos"/>
    <s v="8.5.8.3."/>
    <n v="53"/>
    <m/>
    <s v="LFTB"/>
    <s v="Green Book"/>
    <x v="354"/>
    <s v="293g.mid"/>
    <s v="293g.mid.mp3"/>
    <m/>
    <m/>
    <n v="650"/>
    <s v="Stephanos"/>
    <s v="id3tag --song=&quot;Stephanos (8.5.8.3.)&quot; --artist=&quot;Sir Henry W. Baker&quot; --comment=&quot;&quot; --album=&quot;Green Book&quot; --track=&quot;293&quot; 293g.mid.mp3"/>
    <s v="https://www.dropbox.com/sh/cx7tus4mgkt9o4n/AAAik1xHZiy-rMWogPRlAIyna/293g.mid.mp3?raw=1"/>
  </r>
  <r>
    <x v="189"/>
    <s v="Stockholm"/>
    <s v="5.5.4.5.5.4."/>
    <n v="40"/>
    <m/>
    <s v="LFTB"/>
    <s v="Green Book"/>
    <x v="28"/>
    <s v="168g.mid"/>
    <s v="168g.mid.mp3"/>
    <n v="1938"/>
    <m/>
    <n v="36"/>
    <s v="Stockholm"/>
    <s v="id3tag --song=&quot;Stockholm (5.5.4.5.5.4.)&quot; --artist=&quot;E. Carren&quot; --comment=&quot;&quot; --album=&quot;Green Book&quot; --track=&quot;168&quot; 168g.mid.mp3"/>
    <s v="https://www.dropbox.com/sh/cx7tus4mgkt9o4n/AABRbHFK8EYE3MMiYJHaUuvna/168g.mid.mp3?raw=1"/>
  </r>
  <r>
    <x v="210"/>
    <s v="Stracathro"/>
    <s v="C.M."/>
    <n v="19"/>
    <m/>
    <s v="LFTB"/>
    <s v="Green Book"/>
    <x v="355"/>
    <s v="70g.mid"/>
    <s v="70g.mid.mp3"/>
    <m/>
    <m/>
    <n v="600"/>
    <s v="Stracathro"/>
    <s v="id3tag --song=&quot;Stracathro (C.M.)&quot; --artist=&quot;C. Hutcheson&quot; --comment=&quot;&quot; --album=&quot;Green Book&quot; --track=&quot;70&quot; 70g.mid.mp3"/>
    <s v="https://www.dropbox.com/sh/cx7tus4mgkt9o4n/AABvojg-qWcp1una5NBNJXiAa/70g.mid.mp3?raw=1"/>
  </r>
  <r>
    <x v="196"/>
    <s v="Stuartholme"/>
    <s v="9.8.9.8.9.8.9.8."/>
    <n v="59"/>
    <m/>
    <s v="LFTBs"/>
    <s v="Red Book"/>
    <x v="356"/>
    <s v="238r.mid"/>
    <s v="238r.mid.mp3"/>
    <m/>
    <m/>
    <n v="293"/>
    <s v="Stuartholme"/>
    <s v="id3tag --song=&quot;Stuartholme (9.8.9.8.9.8.9.8.)&quot; --artist=&quot;C.T. McCorkell&quot; --comment=&quot;&quot; --album=&quot;Red Book&quot; --track=&quot;238&quot; 238r.mid.mp3"/>
    <s v="https://www.dropbox.com/sh/cx7tus4mgkt9o4n/AADI5nZKpORCZDVBUlDHmzOGa/238r.mid.mp3?raw=1"/>
  </r>
  <r>
    <x v="469"/>
    <s v="Studley"/>
    <s v="10.10.4.10.10.4."/>
    <n v="18"/>
    <m/>
    <s v="LFTB"/>
    <s v="Green Book"/>
    <x v="357"/>
    <s v="464g.mid"/>
    <s v="464g.mid.mp3"/>
    <n v="1951"/>
    <m/>
    <n v="37"/>
    <s v="Studley"/>
    <s v="id3tag --song=&quot;Studley (10.10.4.10.10.4.)&quot; --artist=&quot;Mrs. D. L. Johnston&quot; --comment=&quot;&quot; --album=&quot;Green Book&quot; --track=&quot;464&quot; 464g.mid.mp3"/>
    <s v="https://www.dropbox.com/sh/cx7tus4mgkt9o4n/AABqzOX2JbSY_t94xzB61UUDa/464g.mid.mp3?raw=1"/>
  </r>
  <r>
    <x v="470"/>
    <s v="Stuttgart"/>
    <s v="8.7.8.7."/>
    <n v="24"/>
    <m/>
    <s v="LFTB"/>
    <s v="Green Book"/>
    <x v="358"/>
    <s v="344g.mid"/>
    <s v="344g.mid.mp3"/>
    <n v="1715"/>
    <m/>
    <n v="659"/>
    <s v="Stuttgart"/>
    <s v="id3tag --song=&quot;Stuttgart (8.7.8.7.)&quot; --artist=&quot;German&quot; --comment=&quot;&quot; --album=&quot;Green Book&quot; --track=&quot;344&quot; 344g.mid.mp3"/>
    <s v="https://www.dropbox.com/sh/cx7tus4mgkt9o4n/AADA2mMoUe4lGEmziAPjHOKUa/344g.mid.mp3?raw=1"/>
  </r>
  <r>
    <x v="471"/>
    <s v="Subjection"/>
    <s v="6.6.6.6.6.6.6.6."/>
    <n v="90"/>
    <m/>
    <s v="LFTBs"/>
    <s v="Red Book"/>
    <x v="52"/>
    <s v="79r.mid"/>
    <s v="79r.mid.mp3"/>
    <m/>
    <m/>
    <n v="294"/>
    <s v="Subjection"/>
    <s v="id3tag --song=&quot;Subjection (6.6.6.6.6.6.6.6.)&quot; --artist=&quot;F.H. Parkes&quot; --comment=&quot;&quot; --album=&quot;Red Book&quot; --track=&quot;79&quot; 79r.mid.mp3"/>
    <s v="https://www.dropbox.com/sh/cx7tus4mgkt9o4n/AADb-rz4a5wJDyXzw4G9xmzCa/79r.mid.mp3?raw=1"/>
  </r>
  <r>
    <x v="472"/>
    <s v="Substitution"/>
    <s v="8.6.8.6.8.6."/>
    <n v="96"/>
    <m/>
    <s v="LFTB"/>
    <s v="Green Book"/>
    <x v="0"/>
    <s v="302g.mid"/>
    <s v="302g.mid.mp3"/>
    <m/>
    <m/>
    <n v="490"/>
    <s v="Substitution"/>
    <s v="id3tag --song=&quot;Substitution (8.6.8.6.8.6.)&quot; --artist=&quot;Ira D. Sankey&quot; --comment=&quot;&quot; --album=&quot;Green Book&quot; --track=&quot;302&quot; 302g.mid.mp3"/>
    <s v="https://www.dropbox.com/sh/cx7tus4mgkt9o4n/AADEbCPn2r738o2Fynt-5LN3a/302g.mid.mp3?raw=1"/>
  </r>
  <r>
    <x v="34"/>
    <s v="Summer Land"/>
    <s v="6.4.6.4.6.6.6.4."/>
    <n v="44"/>
    <m/>
    <s v="LFTB"/>
    <s v="Green Book"/>
    <x v="359"/>
    <s v="180g.mid"/>
    <s v="180g.mid.mp3"/>
    <m/>
    <m/>
    <n v="619"/>
    <s v="Summer Land"/>
    <s v="id3tag --song=&quot;Summer Land (6.4.6.4.6.6.6.4.)&quot; --artist=&quot;P. G. Fithian&quot; --comment=&quot;&quot; --album=&quot;Green Book&quot; --track=&quot;180&quot; 180g.mid.mp3"/>
    <s v="https://www.dropbox.com/sh/cx7tus4mgkt9o4n/AACb5I7RIzUcFSntPw0hMiw4a/180g.mid.mp3?raw=1"/>
  </r>
  <r>
    <x v="347"/>
    <s v="Summerfield"/>
    <s v="S.M."/>
    <n v="22"/>
    <m/>
    <s v="LFTB"/>
    <s v="Green Book"/>
    <x v="9"/>
    <s v="153g.mid"/>
    <s v="153g.mid.mp3"/>
    <m/>
    <m/>
    <n v="445"/>
    <s v="Summerfield"/>
    <s v="id3tag --song=&quot;Summerfield (S.M.)&quot; --artist=&quot;Unknown&quot; --comment=&quot;&quot; --album=&quot;Green Book&quot; --track=&quot;153&quot; 153g.mid.mp3"/>
    <s v="https://www.dropbox.com/sh/cx7tus4mgkt9o4n/AACXtQ_dbH2D7sXI0_v5wguma/153g.mid.mp3?raw=1"/>
  </r>
  <r>
    <x v="455"/>
    <s v="Summit"/>
    <s v="4.8.4.8.8."/>
    <n v="28"/>
    <m/>
    <s v="LFTBs"/>
    <s v="Red Book"/>
    <x v="34"/>
    <s v="58r.mid"/>
    <s v="58r.mid.mp3"/>
    <m/>
    <m/>
    <n v="295"/>
    <s v="Summit"/>
    <s v="id3tag --song=&quot;Summit (4.8.4.8.8.)&quot; --artist=&quot;Gordon Millar&quot; --comment=&quot;&quot; --album=&quot;Red Book&quot; --track=&quot;58&quot; 58r.mid.mp3"/>
    <s v="https://www.dropbox.com/sh/cx7tus4mgkt9o4n/AAA-HRJAWpDc2kR-CN5zSUjua/58r.mid.mp3?raw=1"/>
  </r>
  <r>
    <x v="473"/>
    <s v="Supremacy"/>
    <s v="8.6.8.6.8.8."/>
    <n v="55"/>
    <m/>
    <s v="LFTB"/>
    <s v="Green Book"/>
    <x v="360"/>
    <s v="308g.mid"/>
    <s v="308g.mid.mp3"/>
    <n v="1933"/>
    <m/>
    <n v="492"/>
    <s v="Supremacy"/>
    <s v="id3tag --song=&quot;Supremacy (8.6.8.6.8.8.)&quot; --artist=&quot;N. Tomblin&quot; --comment=&quot;&quot; --album=&quot;Green Book&quot; --track=&quot;308&quot; 308g.mid.mp3"/>
    <s v="https://www.dropbox.com/sh/cx7tus4mgkt9o4n/AADIn_27YSlBhBa6QquiIKSga/308g.mid.mp3?raw=1"/>
  </r>
  <r>
    <x v="212"/>
    <s v="Supreme"/>
    <s v="C.M."/>
    <n v="19"/>
    <m/>
    <s v="LFTBs"/>
    <s v="Red Book"/>
    <x v="282"/>
    <s v="20r.mid"/>
    <s v="20r.mid.mp3"/>
    <m/>
    <m/>
    <n v="296"/>
    <s v="Supreme"/>
    <s v="id3tag --song=&quot;Supreme (C.M.)&quot; --artist=&quot;Miss F.R. Jones&quot; --comment=&quot;&quot; --album=&quot;Red Book&quot; --track=&quot;20&quot; 20r.mid.mp3"/>
    <s v="https://www.dropbox.com/sh/cx7tus4mgkt9o4n/AAADk8GmvBdkabNpfCeGpxpma/20r.mid.mp3?raw=1"/>
  </r>
  <r>
    <x v="369"/>
    <s v="Swabia"/>
    <s v="S.M."/>
    <n v="22"/>
    <m/>
    <s v="LFTB"/>
    <s v="Green Book"/>
    <x v="361"/>
    <s v="154g.mid"/>
    <s v="154g.mid.mp3"/>
    <n v="1745"/>
    <m/>
    <n v="356"/>
    <s v="Swabia"/>
    <s v="id3tag --song=&quot;Swabia (S.M.)&quot; --artist=&quot;From 'Spiess's Gesangbuch'&quot; --comment=&quot;&quot; --album=&quot;Green Book&quot; --track=&quot;154&quot; 154g.mid.mp3"/>
    <s v="https://www.dropbox.com/sh/cx7tus4mgkt9o4n/AADqGtQCQZdORzn2xCVMkZiua/154g.mid.mp3?raw=1"/>
  </r>
  <r>
    <x v="333"/>
    <s v="Swansea"/>
    <s v="7.6.7.6.7.6.7.6."/>
    <n v="34"/>
    <m/>
    <s v="LFTB"/>
    <s v="Green Book"/>
    <x v="362"/>
    <s v="259g.mid"/>
    <s v="259g.mid.mp3"/>
    <m/>
    <m/>
    <n v="640"/>
    <s v="Swansea"/>
    <s v="id3tag --song=&quot;Swansea (7.6.7.6.7.6.7.6.)&quot; --artist=&quot;Henri F. Hemy&quot; --comment=&quot;&quot; --album=&quot;Green Book&quot; --track=&quot;259&quot; 259g.mid.mp3"/>
    <s v="https://www.dropbox.com/sh/cx7tus4mgkt9o4n/AAD3nD3MvAeWtKpY7lNyX9dPa/259g.mid.mp3?raw=1"/>
  </r>
  <r>
    <x v="474"/>
    <s v="Swiss Tune"/>
    <s v="8.8.4.8.8.4."/>
    <n v="65"/>
    <m/>
    <s v="LFTB"/>
    <s v="Green Book"/>
    <x v="9"/>
    <s v="401g.mid"/>
    <s v="401g.mid.mp3"/>
    <m/>
    <m/>
    <n v="38"/>
    <s v="Swiss Tune"/>
    <s v="id3tag --song=&quot;Swiss Tune (8.8.4.8.8.4.)&quot; --artist=&quot;Unknown&quot; --comment=&quot;&quot; --album=&quot;Green Book&quot; --track=&quot;401&quot; 401g.mid.mp3"/>
    <s v="https://www.dropbox.com/sh/cx7tus4mgkt9o4n/AADNwZJVnz3Dnm1qiRyOQI8Ya/401g.mid.mp3?raw=1"/>
  </r>
  <r>
    <x v="233"/>
    <s v="Sydney"/>
    <s v="9.9.9.9."/>
    <n v="60"/>
    <m/>
    <s v="LFTBs"/>
    <s v="Red Book"/>
    <x v="138"/>
    <s v="242r.mid"/>
    <s v="242r.mid.mp3"/>
    <m/>
    <m/>
    <n v="297"/>
    <s v="Sydney"/>
    <s v="id3tag --song=&quot;Sydney (9.9.9.9.)&quot; --artist=&quot;E.J. Judd&quot; --comment=&quot;&quot; --album=&quot;Red Book&quot; --track=&quot;242&quot; 242r.mid.mp3"/>
    <s v="https://www.dropbox.com/sh/cx7tus4mgkt9o4n/AAD_Uh2wVfbZwV4Zb6OGRBw5a/242r.mid.mp3?raw=1"/>
  </r>
  <r>
    <x v="322"/>
    <s v="Taanach"/>
    <s v="8.7.8.7. Dactylic Chorus 5.7.8.7."/>
    <n v="54"/>
    <m/>
    <s v="LFTBs"/>
    <s v="Red Book"/>
    <x v="4"/>
    <s v="166r.mid"/>
    <s v="166r.mid.mp3"/>
    <m/>
    <m/>
    <n v="298"/>
    <s v="Taanach"/>
    <s v="id3tag --song=&quot;Taanach (8.7.8.7. Dactylic Chorus 5.7.8.7.)&quot; --artist=&quot;Miss E.C. Shanks&quot; --comment=&quot;&quot; --album=&quot;Red Book&quot; --track=&quot;166&quot; 166r.mid.mp3"/>
    <s v="https://www.dropbox.com/sh/cx7tus4mgkt9o4n/AAAS0w4tipCQuc2kSDAmSaZ6a/166r.mid.mp3?raw=1"/>
  </r>
  <r>
    <x v="424"/>
    <s v="Tallis's Canon"/>
    <s v="L.M."/>
    <n v="16"/>
    <m/>
    <s v="LFTB"/>
    <s v="Green Book"/>
    <x v="363"/>
    <s v="119g.mid"/>
    <s v="119g.mid.mp3"/>
    <m/>
    <m/>
    <n v="604"/>
    <s v="Tallis's Canon"/>
    <s v="id3tag --song=&quot;Tallis's Canon (L.M.)&quot; --artist=&quot;T. Tallis&quot; --comment=&quot;&quot; --album=&quot;Green Book&quot; --track=&quot;119&quot; 119g.mid.mp3"/>
    <s v="https://www.dropbox.com/sh/cx7tus4mgkt9o4n/AABkYj2k_LsMAVITS76b_YdIa/119g.mid.mp3?raw=1"/>
  </r>
  <r>
    <x v="52"/>
    <s v="TBC"/>
    <s v="TBC"/>
    <s v="NONE"/>
    <m/>
    <m/>
    <s v="Green Book"/>
    <x v="364"/>
    <s v="80g.mid"/>
    <s v="80g.mid.mp3"/>
    <m/>
    <m/>
    <n v="758"/>
    <s v="TBC"/>
    <s v="id3tag --song=&quot;TBC (TBC)&quot; --artist=&quot;TBC&quot; --comment=&quot;&quot; --album=&quot;Green Book&quot; --track=&quot;80&quot; 80g.mid.mp3"/>
    <s v="https://www.dropbox.com/sh/cx7tus4mgkt9o4n/AABMG8zj4CePZxxjIEdE2-gma/80g.mid.mp3?raw=1"/>
  </r>
  <r>
    <x v="475"/>
    <s v="TBC"/>
    <s v="TBC"/>
    <s v="NONE"/>
    <m/>
    <m/>
    <s v="Green Book"/>
    <x v="364"/>
    <s v="425g.mid"/>
    <s v="425g.mid.mp3"/>
    <m/>
    <m/>
    <n v="759"/>
    <s v="TBC"/>
    <s v="id3tag --song=&quot;TBC (TBC)&quot; --artist=&quot;TBC&quot; --comment=&quot;&quot; --album=&quot;Green Book&quot; --track=&quot;425&quot; 425g.mid.mp3"/>
    <s v="https://www.dropbox.com/sh/cx7tus4mgkt9o4n/AADfxuT9NsFaQvgoiGNZIsqda/425g.mid.mp3?raw=1"/>
  </r>
  <r>
    <x v="476"/>
    <s v="TBC"/>
    <s v="TBC"/>
    <s v="NONE"/>
    <m/>
    <m/>
    <s v="Green Book"/>
    <x v="364"/>
    <s v="407g.mid"/>
    <s v="407g.mid.mp3"/>
    <m/>
    <m/>
    <n v="760"/>
    <s v="TBC"/>
    <s v="id3tag --song=&quot;TBC (TBC)&quot; --artist=&quot;TBC&quot; --comment=&quot;&quot; --album=&quot;Green Book&quot; --track=&quot;407&quot; 407g.mid.mp3"/>
    <s v="https://www.dropbox.com/sh/cx7tus4mgkt9o4n/AABMaAyfMe1NJ0YFi43b-fkfa/407g.mid.mp3?raw=1"/>
  </r>
  <r>
    <x v="477"/>
    <s v="TBC"/>
    <s v="TBC"/>
    <s v="NONE"/>
    <m/>
    <m/>
    <s v="Green Book"/>
    <x v="364"/>
    <s v="406g.mid"/>
    <s v="406g.mid.mp3"/>
    <m/>
    <m/>
    <n v="761"/>
    <s v="TBC"/>
    <s v="id3tag --song=&quot;TBC (TBC)&quot; --artist=&quot;TBC&quot; --comment=&quot;&quot; --album=&quot;Green Book&quot; --track=&quot;406&quot; 406g.mid.mp3"/>
    <s v="https://www.dropbox.com/sh/cx7tus4mgkt9o4n/AABx2inrkyZK8SCwzCw9U--Qa/406g.mid.mp3?raw=1"/>
  </r>
  <r>
    <x v="478"/>
    <s v="TBC"/>
    <s v="TBC"/>
    <s v="NONE"/>
    <m/>
    <m/>
    <s v="Green Book"/>
    <x v="364"/>
    <s v="303g.mid"/>
    <s v="303g.mid.mp3"/>
    <m/>
    <m/>
    <n v="762"/>
    <s v="TBC"/>
    <s v="id3tag --song=&quot;TBC (TBC)&quot; --artist=&quot;TBC&quot; --comment=&quot;&quot; --album=&quot;Green Book&quot; --track=&quot;303&quot; 303g.mid.mp3"/>
    <s v="https://www.dropbox.com/sh/cx7tus4mgkt9o4n/AAD1eISfV_02yq8rufeWpytMa/303g.mid.mp3?raw=1"/>
  </r>
  <r>
    <x v="343"/>
    <s v="TBC"/>
    <s v="TBC"/>
    <s v="NONE"/>
    <m/>
    <m/>
    <s v="Green Book"/>
    <x v="364"/>
    <s v="253g.mid"/>
    <s v="253g.mid.mp3"/>
    <m/>
    <m/>
    <n v="763"/>
    <s v="TBC"/>
    <s v="id3tag --song=&quot;TBC (TBC)&quot; --artist=&quot;TBC&quot; --comment=&quot;&quot; --album=&quot;Green Book&quot; --track=&quot;253&quot; 253g.mid.mp3"/>
    <s v="https://www.dropbox.com/sh/cx7tus4mgkt9o4n/AACP-TIF8FS-1jV58USWaJ1Ga/253g.mid.mp3?raw=1"/>
  </r>
  <r>
    <x v="320"/>
    <s v="TBC"/>
    <s v="TBC"/>
    <s v="NONE"/>
    <m/>
    <m/>
    <s v="Green Book"/>
    <x v="364"/>
    <s v="209g.mid"/>
    <s v="209g.mid.mp3"/>
    <m/>
    <m/>
    <n v="764"/>
    <s v="TBC"/>
    <s v="id3tag --song=&quot;TBC (TBC)&quot; --artist=&quot;TBC&quot; --comment=&quot;&quot; --album=&quot;Green Book&quot; --track=&quot;209&quot; 209g.mid.mp3"/>
    <s v="https://www.dropbox.com/sh/cx7tus4mgkt9o4n/AADzhJkOol_pHDufi1PsB1j3a/209g.mid.mp3?raw=1"/>
  </r>
  <r>
    <x v="167"/>
    <s v="Teignmouth"/>
    <s v="7.6.7.6."/>
    <n v="41"/>
    <m/>
    <s v="LFTB"/>
    <s v="Green Book"/>
    <x v="20"/>
    <s v="223g.mid"/>
    <s v="223g.mid.mp3"/>
    <n v="1925"/>
    <m/>
    <n v="461"/>
    <s v="Teignmouth"/>
    <s v="id3tag --song=&quot;Teignmouth (7.6.7.6.)&quot; --artist=&quot;C. T. Lambert&quot; --comment=&quot;&quot; --album=&quot;Green Book&quot; --track=&quot;223&quot; 223g.mid.mp3"/>
    <s v="https://www.dropbox.com/sh/cx7tus4mgkt9o4n/AAD0RluSw_thkol_yuQ5SHnYa/223g.mid.mp3?raw=1"/>
  </r>
  <r>
    <x v="479"/>
    <s v="Tell Me the Story"/>
    <s v="8.7.8.7.8.7.8.7."/>
    <n v="25"/>
    <m/>
    <s v="LFTB"/>
    <s v="Green Book"/>
    <x v="0"/>
    <s v="394g.mid"/>
    <s v="394g.mid.mp3"/>
    <m/>
    <m/>
    <n v="678"/>
    <s v="No matching tune"/>
    <s v="id3tag --song=&quot;Tell Me the Story (8.7.8.7.8.7.8.7.)&quot; --artist=&quot;Ira D. Sankey&quot; --comment=&quot;&quot; --album=&quot;Green Book&quot; --track=&quot;394&quot; 394g.mid.mp3"/>
    <e v="#N/A"/>
  </r>
  <r>
    <x v="432"/>
    <s v="Tempestas"/>
    <s v="6.4.6.4.6.4.6.4."/>
    <n v="32"/>
    <m/>
    <s v="LFTBs"/>
    <s v="Red Book"/>
    <x v="365"/>
    <s v="66r.mid"/>
    <s v="66r.mid.mp3"/>
    <m/>
    <m/>
    <n v="299"/>
    <s v="Tempestas"/>
    <s v="id3tag --song=&quot;Tempestas (6.4.6.4.6.4.6.4.)&quot; --artist=&quot;Thomas Langton&quot; --comment=&quot;&quot; --album=&quot;Red Book&quot; --track=&quot;66&quot; 66r.mid.mp3"/>
    <s v="https://www.dropbox.com/sh/cx7tus4mgkt9o4n/AAA3oez4fAUD0gaNGzJ_cwAga/66r.mid.mp3?raw=1"/>
  </r>
  <r>
    <x v="107"/>
    <s v="Tence"/>
    <s v="12.13.12.10."/>
    <n v="48"/>
    <m/>
    <s v="LFTBs"/>
    <s v="Red Book"/>
    <x v="90"/>
    <s v="290r.mid"/>
    <s v="290r.mid.mp3"/>
    <m/>
    <m/>
    <n v="300"/>
    <s v="Tence"/>
    <s v="id3tag --song=&quot;Tence (12.13.12.10.)&quot; --artist=&quot;John F. Harvey&quot; --comment=&quot;&quot; --album=&quot;Red Book&quot; --track=&quot;290&quot; 290r.mid.mp3"/>
    <s v="https://www.dropbox.com/sh/cx7tus4mgkt9o4n/AABY6wuXyN29VX3zasFSN3rNa/290r.mid.mp3?raw=1"/>
  </r>
  <r>
    <x v="149"/>
    <s v="The Blessed Home"/>
    <s v="6.6.6.6.6.6.6.6."/>
    <n v="90"/>
    <m/>
    <s v="LFTB"/>
    <s v="Green Book"/>
    <x v="21"/>
    <s v="193g.mid"/>
    <s v="193g.mid.mp3"/>
    <m/>
    <m/>
    <n v="620"/>
    <s v="The Blessed Home"/>
    <s v="id3tag --song=&quot;The Blessed Home (6.6.6.6.6.6.6.6.)&quot; --artist=&quot;Sir John Stainer&quot; --comment=&quot;&quot; --album=&quot;Green Book&quot; --track=&quot;193&quot; 193g.mid.mp3"/>
    <s v="https://www.dropbox.com/sh/cx7tus4mgkt9o4n/AABUwuQ9BkIHY2owQMA22Q0Pa/193g.mid.mp3?raw=1"/>
  </r>
  <r>
    <x v="480"/>
    <s v="The Blessed Rest"/>
    <s v="10.10.10.2."/>
    <n v="87"/>
    <m/>
    <s v="LFTB"/>
    <s v="Green Book"/>
    <x v="30"/>
    <s v="466g.mid"/>
    <s v="466g.mid.mp3"/>
    <m/>
    <m/>
    <n v="39"/>
    <s v="The Blessed Rest"/>
    <s v="id3tag --song=&quot;The Blessed Rest (10.10.10.2.)&quot; --artist=&quot;Sir Joseph Barnby&quot; --comment=&quot;&quot; --album=&quot;Green Book&quot; --track=&quot;466&quot; 466g.mid.mp3"/>
    <s v="https://www.dropbox.com/sh/cx7tus4mgkt9o4n/AADeHwKLFNwKiE8ki3PSgWZka/466g.mid.mp3?raw=1"/>
  </r>
  <r>
    <x v="481"/>
    <s v="The Bride"/>
    <s v="8.5.8.5.8.5.8.5."/>
    <n v="37"/>
    <m/>
    <s v="LFTB"/>
    <s v="Green Book"/>
    <x v="366"/>
    <s v="300g.mid"/>
    <s v="300g.mid.mp3"/>
    <m/>
    <m/>
    <n v="488"/>
    <s v="The Bride"/>
    <s v="id3tag --song=&quot;The Bride (8.5.8.5.8.5.8.5.)&quot; --artist=&quot;J. Revell&quot; --comment=&quot;&quot; --album=&quot;Green Book&quot; --track=&quot;300&quot; 300g.mid.mp3"/>
    <s v="https://www.dropbox.com/sh/cx7tus4mgkt9o4n/AAD_7P6BBxmeD45Zp_M2S83Ba/300g.mid.mp3?raw=1"/>
  </r>
  <r>
    <x v="482"/>
    <s v="The Coming King"/>
    <s v="11.11.11.11. Trochaic"/>
    <n v="64"/>
    <m/>
    <s v="LFTB"/>
    <s v="Green Book"/>
    <x v="20"/>
    <s v="543g.mid"/>
    <s v="543g.mid.mp3"/>
    <n v="1916"/>
    <m/>
    <n v="752"/>
    <s v="The Coming King"/>
    <s v="id3tag --song=&quot;The Coming King (11.11.11.11. Trochaic)&quot; --artist=&quot;C. T. Lambert&quot; --comment=&quot;&quot; --album=&quot;Green Book&quot; --track=&quot;543&quot; 543g.mid.mp3"/>
    <s v="https://www.dropbox.com/sh/cx7tus4mgkt9o4n/AACRPamWNV9ZKHnFNSo0qa7za/543g.mid.mp3?raw=1"/>
  </r>
  <r>
    <x v="267"/>
    <s v="The Cross"/>
    <s v="C.M."/>
    <n v="19"/>
    <m/>
    <s v="LFTB"/>
    <s v="Green Book"/>
    <x v="62"/>
    <s v="72g.mid"/>
    <s v="72g.mid.mp3"/>
    <m/>
    <m/>
    <n v="337"/>
    <s v="The Cross"/>
    <s v="id3tag --song=&quot;The Cross (C.M.)&quot; --artist=&quot;From Mendelssohn&quot; --comment=&quot;&quot; --album=&quot;Green Book&quot; --track=&quot;72&quot; 72g.mid.mp3"/>
    <s v="https://www.dropbox.com/sh/cx7tus4mgkt9o4n/AACE4Mbj26qfnRXeqKjkDUEVa/72g.mid.mp3?raw=1"/>
  </r>
  <r>
    <x v="443"/>
    <s v="The Cross of Jesus"/>
    <s v="7.6.7.6.7.6.7.6."/>
    <n v="34"/>
    <m/>
    <s v="LFTB"/>
    <s v="Green Book"/>
    <x v="0"/>
    <s v="260g.mid"/>
    <s v="260g.mid.mp3"/>
    <m/>
    <m/>
    <n v="474"/>
    <s v="The Cross of Jesus"/>
    <s v="id3tag --song=&quot;The Cross of Jesus (7.6.7.6.7.6.7.6.)&quot; --artist=&quot;Ira D. Sankey&quot; --comment=&quot;&quot; --album=&quot;Green Book&quot; --track=&quot;260&quot; 260g.mid.mp3"/>
    <s v="https://www.dropbox.com/sh/cx7tus4mgkt9o4n/AADc0T9QgDNWOQa6Iy5xhVj0a/260g.mid.mp3?raw=1"/>
  </r>
  <r>
    <x v="31"/>
    <s v="The Glory Shines"/>
    <s v="7.6.7.6.7.6.7.6."/>
    <n v="34"/>
    <m/>
    <s v="LFTB"/>
    <s v="Green Book"/>
    <x v="367"/>
    <s v="261g.mid"/>
    <s v="261g.mid.mp3"/>
    <m/>
    <m/>
    <n v="475"/>
    <s v="The Glory Shines"/>
    <s v="id3tag --song=&quot;The Glory Shines (7.6.7.6.7.6.7.6.)&quot; --artist=&quot;Miss. S.M. Walker&quot; --comment=&quot;&quot; --album=&quot;Green Book&quot; --track=&quot;261&quot; 261g.mid.mp3"/>
    <s v="https://www.dropbox.com/sh/cx7tus4mgkt9o4n/AACKQX4f8xS560XPi6E07MGKa/261g.mid.mp3?raw=1"/>
  </r>
  <r>
    <x v="103"/>
    <s v="The Gospel of Thy Grace"/>
    <s v="6.6.6.6.8.8."/>
    <n v="51"/>
    <m/>
    <s v="LFTB"/>
    <s v="Green Book"/>
    <x v="263"/>
    <s v="204g.mid"/>
    <s v="204g.mid.mp3"/>
    <m/>
    <m/>
    <n v="458"/>
    <s v="The Gospel of Thy Grace"/>
    <s v="id3tag --song=&quot;The Gospel of Thy Grace (6.6.6.6.8.8.)&quot; --artist=&quot;J. McGranahan&quot; --comment=&quot;&quot; --album=&quot;Green Book&quot; --track=&quot;204&quot; 204g.mid.mp3"/>
    <s v="https://www.dropbox.com/sh/cx7tus4mgkt9o4n/AACEYwbI1fu3aVghNoEkflbwa/204g.mid.mp3?raw=1"/>
  </r>
  <r>
    <x v="289"/>
    <s v="The Hebrew Bondman"/>
    <s v="8.7.8.7.8.7.8.7. Iambic"/>
    <n v="66"/>
    <m/>
    <s v="LFTBs"/>
    <s v="Red Book"/>
    <x v="235"/>
    <s v="191r.mid"/>
    <s v="191r.mid.mp3"/>
    <m/>
    <m/>
    <n v="301"/>
    <s v="The Hebrew Bondman"/>
    <s v="id3tag --song=&quot;The Hebrew Bondman (8.7.8.7.8.7.8.7. Iambic)&quot; --artist=&quot;P.P. Bliss&quot; --comment=&quot;&quot; --album=&quot;Red Book&quot; --track=&quot;191&quot; 191r.mid.mp3"/>
    <s v="https://www.dropbox.com/sh/cx7tus4mgkt9o4n/AAAqHaQC8EAaFcXr3fIt3S3Pa/191r.mid.mp3?raw=1"/>
  </r>
  <r>
    <x v="348"/>
    <s v="The Home"/>
    <s v="C.M.D."/>
    <n v="61"/>
    <m/>
    <s v="LFTB"/>
    <s v="Green Book"/>
    <x v="368"/>
    <s v="85g.mid"/>
    <s v="85g.mid.mp3"/>
    <m/>
    <m/>
    <n v="539"/>
    <s v="The Home"/>
    <s v="id3tag --song=&quot;The Home (C.M.D.)&quot; --artist=&quot;Miss S.N. Walker&quot; --comment=&quot;&quot; --album=&quot;Green Book&quot; --track=&quot;85&quot; 85g.mid.mp3"/>
    <s v="https://www.dropbox.com/sh/cx7tus4mgkt9o4n/AACzpKb0GcaJLz0elit4AXKBa/85g.mid.mp3?raw=1"/>
  </r>
  <r>
    <x v="483"/>
    <s v="The Master's Return"/>
    <s v="10.10.10.10.10.10."/>
    <s v="NONE"/>
    <m/>
    <s v="LFTB"/>
    <s v="Green Book"/>
    <x v="107"/>
    <s v="508g.mid"/>
    <s v="508g.mid.mp3"/>
    <m/>
    <m/>
    <n v="737"/>
    <s v="The Master's Return"/>
    <s v="id3tag --song=&quot;The Master's Return (10.10.10.10.10.10.)&quot; --artist=&quot;T. Willey&quot; --comment=&quot;&quot; --album=&quot;Green Book&quot; --track=&quot;508&quot; 508g.mid.mp3"/>
    <s v="https://www.dropbox.com/sh/cx7tus4mgkt9o4n/AACMjiPt3QVjzC5Tr1Qlaa23a/508g.mid.mp3?raw=1"/>
  </r>
  <r>
    <x v="14"/>
    <s v="The Path Divine (Camacha)"/>
    <s v="6.4.6.4.6.6.6.4."/>
    <n v="44"/>
    <m/>
    <s v="LFTB"/>
    <s v="Green Book"/>
    <x v="369"/>
    <s v="181g.mid"/>
    <s v="181g.mid.mp3"/>
    <m/>
    <m/>
    <n v="40"/>
    <s v="The Path Divine (Camacha)"/>
    <s v="id3tag --song=&quot;The Path Divine (Camacha) (6.4.6.4.6.6.6.4.)&quot; --artist=&quot;B. Mansell Ramsey&quot; --comment=&quot;&quot; --album=&quot;Green Book&quot; --track=&quot;181&quot; 181g.mid.mp3"/>
    <s v="https://www.dropbox.com/sh/cx7tus4mgkt9o4n/AAA4AcxpblMbmrofkPn3G4DGa/181g.mid.mp3?raw=1"/>
  </r>
  <r>
    <x v="113"/>
    <s v="The Pleading Voice"/>
    <s v="8.5.8.5.8.5.8.5."/>
    <n v="37"/>
    <m/>
    <s v="LFTBs"/>
    <s v="Red Book"/>
    <x v="370"/>
    <s v="132r.mid"/>
    <s v="132r.mid.mp3"/>
    <m/>
    <m/>
    <n v="302"/>
    <s v="The Pleading Voice"/>
    <s v="id3tag --song=&quot;The Pleading Voice (8.5.8.5.8.5.8.5.)&quot; --artist=&quot;Mrs. Clara H. Scott&quot; --comment=&quot;&quot; --album=&quot;Red Book&quot; --track=&quot;132&quot; 132r.mid.mp3"/>
    <s v="https://www.dropbox.com/sh/cx7tus4mgkt9o4n/AADg2H6DBsBJztG-xOGwEc06a/132r.mid.mp3?raw=1"/>
  </r>
  <r>
    <x v="462"/>
    <s v="The Saviour's Praise"/>
    <s v="8.7.8.5."/>
    <n v="95"/>
    <m/>
    <s v="LFTBs"/>
    <s v="Red Book"/>
    <x v="371"/>
    <s v="150r.mid"/>
    <s v="150r.mid.mp3"/>
    <m/>
    <m/>
    <n v="303"/>
    <s v="The Saviour's Praise"/>
    <s v="id3tag --song=&quot;The Saviour's Praise (8.7.8.5.)&quot; --artist=&quot;J.R.&quot; --comment=&quot;&quot; --album=&quot;Red Book&quot; --track=&quot;150&quot; 150r.mid.mp3"/>
    <s v="https://www.dropbox.com/sh/cx7tus4mgkt9o4n/AABvm_5s4QD2PAtXtSXaIksJa/150r.mid.mp3?raw=1"/>
  </r>
  <r>
    <x v="484"/>
    <s v="The Shadow of His Wings"/>
    <s v="10.10.10.10."/>
    <n v="21"/>
    <m/>
    <s v="LFTB"/>
    <s v="Green Book"/>
    <x v="16"/>
    <s v="501g.mid"/>
    <s v="501g.mid.mp3"/>
    <m/>
    <m/>
    <n v="558"/>
    <s v="The Shadow of His Wings"/>
    <s v="id3tag --song=&quot;The Shadow of His Wings (10.10.10.10.)&quot; --artist=&quot;C. Leflaive&quot; --comment=&quot;&quot; --album=&quot;Green Book&quot; --track=&quot;501&quot; 501g.mid.mp3"/>
    <s v="https://www.dropbox.com/sh/cx7tus4mgkt9o4n/AADTp0KftnYt01btULWmwPCga/501g.mid.mp3?raw=1"/>
  </r>
  <r>
    <x v="485"/>
    <s v="The Way of Peace"/>
    <s v="11.8.11.9."/>
    <n v="71"/>
    <m/>
    <s v="LFTB"/>
    <s v="Green Book"/>
    <x v="372"/>
    <s v="514g.mid"/>
    <s v="514g.mid.mp3"/>
    <n v="1916"/>
    <m/>
    <n v="41"/>
    <s v="The Way of Peace"/>
    <s v="id3tag --song=&quot;The Way of Peace (11.8.11.9.)&quot; --artist=&quot;P. Aven&quot; --comment=&quot;&quot; --album=&quot;Green Book&quot; --track=&quot;514&quot; 514g.mid.mp3"/>
    <s v="https://www.dropbox.com/sh/cx7tus4mgkt9o4n/AACf6Zkv3K-0kRGWrPgBbatsa/514g.mid.mp3?raw=1"/>
  </r>
  <r>
    <x v="421"/>
    <s v="Then Shall My Heart Keep Singing"/>
    <s v="8.6.8.6.8.8."/>
    <n v="55"/>
    <m/>
    <s v="LFTBs"/>
    <s v="Red Book"/>
    <x v="373"/>
    <s v="147r.mid"/>
    <s v="147r.mid.mp3"/>
    <m/>
    <m/>
    <n v="304"/>
    <s v="Then Shall My Heart Keep Singing"/>
    <s v="id3tag --song=&quot;Then Shall My Heart Keep Singing (8.6.8.6.8.8.)&quot; --artist=&quot;W.A. Ogden&quot; --comment=&quot;&quot; --album=&quot;Red Book&quot; --track=&quot;147&quot; 147r.mid.mp3"/>
    <s v="https://www.dropbox.com/sh/cx7tus4mgkt9o4n/AACuNfNK64U82Xcns5tgVotja/147r.mid.mp3?raw=1"/>
  </r>
  <r>
    <x v="142"/>
    <s v="Theodora (Legge)"/>
    <s v="5.4.5.4.5.4.5.4."/>
    <n v="86"/>
    <m/>
    <s v="LFTB"/>
    <s v="Green Book"/>
    <x v="374"/>
    <s v="167g.mid"/>
    <s v="167g.mid.mp3"/>
    <m/>
    <m/>
    <n v="42"/>
    <s v="Theodora (Legge)"/>
    <s v="id3tag --song=&quot;Theodora (Legge) (5.4.5.4.5.4.5.4.)&quot; --artist=&quot;A. Legge&quot; --comment=&quot;&quot; --album=&quot;Green Book&quot; --track=&quot;167&quot; 167g.mid.mp3"/>
    <s v="https://www.dropbox.com/sh/cx7tus4mgkt9o4n/AACQtWHibOCvl3Ho4QteU1Gya/167g.mid.mp3?raw=1"/>
  </r>
  <r>
    <x v="486"/>
    <s v="Theodora (Handel)"/>
    <s v="7.7.7.7."/>
    <n v="29"/>
    <m/>
    <s v="LFTB"/>
    <s v="Green Book"/>
    <x v="115"/>
    <s v="273g.mid"/>
    <s v="273g.mid.mp3"/>
    <m/>
    <m/>
    <n v="375"/>
    <s v="Theodora (Handel)"/>
    <s v="id3tag --song=&quot;Theodora (Handel) (7.7.7.7.)&quot; --artist=&quot;From Handel&quot; --comment=&quot;&quot; --album=&quot;Green Book&quot; --track=&quot;273&quot; 273g.mid.mp3"/>
    <s v="https://www.dropbox.com/sh/cx7tus4mgkt9o4n/AADaHtFo0AMDJbpACrNndcU3a/273g.mid.mp3?raw=1"/>
  </r>
  <r>
    <x v="487"/>
    <s v="There is Rest"/>
    <s v="8.8.11.8."/>
    <n v="46"/>
    <m/>
    <s v="LFTB"/>
    <s v="Green Book"/>
    <x v="20"/>
    <s v="443g.mid"/>
    <s v="443g.mid.mp3"/>
    <n v="1925"/>
    <m/>
    <n v="703"/>
    <s v="There is Rest"/>
    <s v="id3tag --song=&quot;There is Rest (8.8.11.8.)&quot; --artist=&quot;C. T. Lambert&quot; --comment=&quot;&quot; --album=&quot;Green Book&quot; --track=&quot;443&quot; 443g.mid.mp3"/>
    <s v="https://www.dropbox.com/sh/cx7tus4mgkt9o4n/AABz1tYn5jQrpaTqCxURJcnVa/443g.mid.mp3?raw=1"/>
  </r>
  <r>
    <x v="223"/>
    <s v="Thomas"/>
    <s v="9.9.6.6.6.4."/>
    <n v="69"/>
    <m/>
    <s v="LFTBs"/>
    <s v="Red Book"/>
    <x v="28"/>
    <s v="241r.mid"/>
    <s v="241r.mid.mp3"/>
    <m/>
    <m/>
    <n v="305"/>
    <s v="Thomas"/>
    <s v="id3tag --song=&quot;Thomas (9.9.6.6.6.4.)&quot; --artist=&quot;E. Carren&quot; --comment=&quot;&quot; --album=&quot;Red Book&quot; --track=&quot;241&quot; 241r.mid.mp3"/>
    <s v="https://www.dropbox.com/sh/cx7tus4mgkt9o4n/AAC3TaKb1lBhEW_9L8x1ws5oa/241r.mid.mp3?raw=1"/>
  </r>
  <r>
    <x v="488"/>
    <s v="Thou Art Worthy"/>
    <s v="8.7.8.7."/>
    <n v="24"/>
    <m/>
    <s v="LFTB"/>
    <s v="Green Book"/>
    <x v="375"/>
    <s v="346g.mid"/>
    <s v="346g.mid.mp3"/>
    <n v="1893"/>
    <m/>
    <n v="661"/>
    <s v="Thou Art Worthy"/>
    <s v="id3tag --song=&quot;Thou Art Worthy (8.7.8.7.)&quot; --artist=&quot;W. Pinsen&quot; --comment=&quot;&quot; --album=&quot;Green Book&quot; --track=&quot;346&quot; 346g.mid.mp3"/>
    <s v="https://www.dropbox.com/sh/cx7tus4mgkt9o4n/AAACOBmByxh6HjqIk6bOEvqTa/346g.mid.mp3?raw=1"/>
  </r>
  <r>
    <x v="15"/>
    <s v="Thou Remainest"/>
    <s v="L.M."/>
    <n v="16"/>
    <m/>
    <s v="LFTB"/>
    <s v="Green Book"/>
    <x v="375"/>
    <s v="120g.mid"/>
    <s v="120g.mid.mp3"/>
    <m/>
    <m/>
    <n v="605"/>
    <s v="Thou Remainest"/>
    <s v="id3tag --song=&quot;Thou Remainest (L.M.)&quot; --artist=&quot;W. Pinsen&quot; --comment=&quot;&quot; --album=&quot;Green Book&quot; --track=&quot;120&quot; 120g.mid.mp3"/>
    <s v="https://www.dropbox.com/sh/cx7tus4mgkt9o4n/AAAYSa_d5OEtVSUudRC5GS3Fa/120g.mid.mp3?raw=1"/>
  </r>
  <r>
    <x v="429"/>
    <s v="Timberscombe"/>
    <s v="7.7.7.8."/>
    <n v="88"/>
    <m/>
    <s v="LFTB"/>
    <s v="Green Book"/>
    <x v="376"/>
    <s v="282g.mid"/>
    <s v="282g.mid.mp3"/>
    <n v="1953"/>
    <m/>
    <n v="43"/>
    <s v="Timberscombe"/>
    <s v="id3tag --song=&quot;Timberscombe (7.7.7.8.)&quot; --artist=&quot;F. C. P. Hart&quot; --comment=&quot;&quot; --album=&quot;Green Book&quot; --track=&quot;282&quot; 282g.mid.mp3"/>
    <s v="https://www.dropbox.com/sh/cx7tus4mgkt9o4n/AADRL30-kbWzo7RzhExdabNPa/282g.mid.mp3?raw=1"/>
  </r>
  <r>
    <x v="157"/>
    <s v="Tiphsah"/>
    <s v="8.7.8.7.8.7.8.7.7.7."/>
    <n v="68"/>
    <m/>
    <s v="LFTBs"/>
    <s v="Red Book"/>
    <x v="4"/>
    <s v="195r.mid"/>
    <s v="195r.mid.mp3"/>
    <m/>
    <m/>
    <n v="306"/>
    <s v="Tiphsah"/>
    <s v="id3tag --song=&quot;Tiphsah (8.7.8.7.8.7.8.7.7.7.)&quot; --artist=&quot;Miss E.C. Shanks&quot; --comment=&quot;&quot; --album=&quot;Red Book&quot; --track=&quot;195&quot; 195r.mid.mp3"/>
    <s v="https://www.dropbox.com/sh/cx7tus4mgkt9o4n/AADDRbUhjeIsz3_moEQt0riDa/195r.mid.mp3?raw=1"/>
  </r>
  <r>
    <x v="489"/>
    <s v="Tiverton"/>
    <s v="C.M."/>
    <n v="19"/>
    <m/>
    <s v="LFTB"/>
    <s v="Green Book"/>
    <x v="377"/>
    <s v="73g.mid"/>
    <s v="73g.mid.mp3"/>
    <m/>
    <m/>
    <n v="338"/>
    <s v="Tiverton"/>
    <s v="id3tag --song=&quot;Tiverton (C.M.)&quot; --artist=&quot;J. Grigg&quot; --comment=&quot;&quot; --album=&quot;Green Book&quot; --track=&quot;73&quot; 73g.mid.mp3"/>
    <s v="https://www.dropbox.com/sh/cx7tus4mgkt9o4n/AACp-uGZI3kRrLupE3bgPPhfa/73g.mid.mp3?raw=1"/>
  </r>
  <r>
    <x v="490"/>
    <s v="To God Be the Glory"/>
    <s v="11.11.11.11."/>
    <n v="31"/>
    <m/>
    <s v="LFTB"/>
    <s v="Green Book"/>
    <x v="302"/>
    <s v="537g.mid"/>
    <s v="537g.mid.mp3"/>
    <m/>
    <m/>
    <n v="563"/>
    <s v="To God Be the Glory"/>
    <s v="id3tag --song=&quot;To God Be the Glory (11.11.11.11.)&quot; --artist=&quot;W.H. Doane&quot; --comment=&quot;&quot; --album=&quot;Green Book&quot; --track=&quot;537&quot; 537g.mid.mp3"/>
    <s v="https://www.dropbox.com/sh/cx7tus4mgkt9o4n/AADH7nWyGU9BxSMHBIWVpABMa/537g.mid.mp3?raw=1"/>
  </r>
  <r>
    <x v="148"/>
    <s v="Tola"/>
    <s v="9.8.9.8."/>
    <n v="35"/>
    <m/>
    <s v="LFTBs"/>
    <s v="Red Book"/>
    <x v="4"/>
    <s v="233r.mid"/>
    <s v="233r.mid.mp3"/>
    <m/>
    <m/>
    <n v="307"/>
    <s v="Tola"/>
    <s v="id3tag --song=&quot;Tola (9.8.9.8.)&quot; --artist=&quot;Miss E.C. Shanks&quot; --comment=&quot;&quot; --album=&quot;Red Book&quot; --track=&quot;233&quot; 233r.mid.mp3"/>
    <s v="https://www.dropbox.com/sh/cx7tus4mgkt9o4n/AADb65UYNNtk55CTGLnwHB0Ha/233r.mid.mp3?raw=1"/>
  </r>
  <r>
    <x v="2"/>
    <s v="Torquay"/>
    <s v="6.6.6.6.8.8."/>
    <n v="51"/>
    <m/>
    <s v="LFTBs"/>
    <s v="Red Book"/>
    <x v="104"/>
    <s v="87r.mid"/>
    <s v="87r.mid.mp3"/>
    <n v="1928"/>
    <m/>
    <n v="308"/>
    <s v="Torquay"/>
    <s v="id3tag --song=&quot;Torquay (6.6.6.6.8.8.)&quot; --artist=&quot;A.B. Skeffington&quot; --comment=&quot;&quot; --album=&quot;Red Book&quot; --track=&quot;87&quot; 87r.mid.mp3"/>
    <s v="https://www.dropbox.com/sh/cx7tus4mgkt9o4n/AACV3krvLLBzySgUTKZP-GiNa/87r.mid.mp3?raw=1"/>
  </r>
  <r>
    <x v="437"/>
    <s v="Tottenham"/>
    <s v="C.M."/>
    <n v="19"/>
    <m/>
    <s v="LFTB"/>
    <s v="Green Book"/>
    <x v="378"/>
    <s v="74g.mid"/>
    <s v="74g.mid.mp3"/>
    <m/>
    <m/>
    <n v="339"/>
    <s v="Tottenham"/>
    <s v="id3tag --song=&quot;Tottenham (C.M.)&quot; --artist=&quot;T. Greatorex&quot; --comment=&quot;&quot; --album=&quot;Green Book&quot; --track=&quot;74&quot; 74g.mid.mp3"/>
    <s v="https://www.dropbox.com/sh/cx7tus4mgkt9o4n/AAAAolpBtbcdRVO30Qc4iUsMa/74g.mid.mp3?raw=1"/>
  </r>
  <r>
    <x v="110"/>
    <s v="Totteridge"/>
    <s v="12.13.12.10."/>
    <n v="48"/>
    <m/>
    <s v="LFTBs"/>
    <s v="Red Book"/>
    <x v="95"/>
    <s v="291r.mid"/>
    <s v="291r.mid.mp3"/>
    <m/>
    <m/>
    <n v="309"/>
    <s v="Totteridge"/>
    <s v="id3tag --song=&quot;Totteridge (12.13.12.10.)&quot; --artist=&quot;R.A. Evershead&quot; --comment=&quot;&quot; --album=&quot;Red Book&quot; --track=&quot;291&quot; 291r.mid.mp3"/>
    <s v="https://www.dropbox.com/sh/cx7tus4mgkt9o4n/AACODSSciFJVYmFdvPw0S0KIa/291r.mid.mp3?raw=1"/>
  </r>
  <r>
    <x v="491"/>
    <s v="Trentham"/>
    <s v="S.M."/>
    <n v="22"/>
    <m/>
    <s v="LFTB"/>
    <s v="Green Book"/>
    <x v="379"/>
    <s v="155g.mid"/>
    <s v="155g.mid.mp3"/>
    <m/>
    <m/>
    <n v="357"/>
    <s v="Trentham"/>
    <s v="id3tag --song=&quot;Trentham (S.M.)&quot; --artist=&quot;R. Jackson&quot; --comment=&quot;&quot; --album=&quot;Green Book&quot; --track=&quot;155&quot; 155g.mid.mp3"/>
    <s v="https://www.dropbox.com/sh/cx7tus4mgkt9o4n/AABGYFXrtBLzce3p5p4YZFRPa/155g.mid.mp3?raw=1"/>
  </r>
  <r>
    <x v="361"/>
    <s v="Trenwood"/>
    <s v="L.M."/>
    <n v="16"/>
    <m/>
    <s v="LFTBs"/>
    <s v="Red Book"/>
    <x v="380"/>
    <s v="40r.mid"/>
    <s v="40r.mid.mp3"/>
    <m/>
    <m/>
    <n v="310"/>
    <s v="Trenwood"/>
    <s v="id3tag --song=&quot;Trenwood (L.M.)&quot; --artist=&quot;D.J. Sims&quot; --comment=&quot;&quot; --album=&quot;Red Book&quot; --track=&quot;40&quot; 40r.mid.mp3"/>
    <s v="https://www.dropbox.com/sh/cx7tus4mgkt9o4n/AADWPnEPy8WOn1FRl60ld2tQa/40r.mid.mp3?raw=1"/>
  </r>
  <r>
    <x v="492"/>
    <s v="Trimley"/>
    <s v="10.10.10.10."/>
    <n v="21"/>
    <m/>
    <s v="LFTB"/>
    <s v="Green Book"/>
    <x v="381"/>
    <s v="503g.mid"/>
    <s v="503g.mid.mp3"/>
    <m/>
    <m/>
    <n v="736"/>
    <s v="Trimley"/>
    <s v="id3tag --song=&quot;Trimley (10.10.10.10.)&quot; --artist=&quot;From 'Geisliche Lied'&quot; --comment=&quot;&quot; --album=&quot;Green Book&quot; --track=&quot;503&quot; 503g.mid.mp3"/>
    <s v="https://www.dropbox.com/sh/cx7tus4mgkt9o4n/AABaE7usV_qfhgWM6lURhM0Ga/503g.mid.mp3?raw=1"/>
  </r>
  <r>
    <x v="493"/>
    <s v="Trinity"/>
    <s v="12.13.12.10."/>
    <n v="48"/>
    <m/>
    <s v="LFTB"/>
    <s v="Green Book"/>
    <x v="382"/>
    <s v="548g.mid"/>
    <s v="548g.mid.mp3"/>
    <m/>
    <m/>
    <n v="755"/>
    <s v="Trinity"/>
    <s v="id3tag --song=&quot;Trinity (12.13.12.10.)&quot; --artist=&quot;A. Stone&quot; --comment=&quot;&quot; --album=&quot;Green Book&quot; --track=&quot;548&quot; 548g.mid.mp3"/>
    <s v="https://www.dropbox.com/sh/cx7tus4mgkt9o4n/AACAFliUMTWuyoD9Im1cbGPMa/548g.mid.mp3?raw=1"/>
  </r>
  <r>
    <x v="494"/>
    <s v="Triumph"/>
    <s v="8.7.8.7.4.7."/>
    <n v="50"/>
    <m/>
    <s v="LFTB"/>
    <s v="Green Book"/>
    <x v="184"/>
    <s v="364g.mid"/>
    <s v="364g.mid.mp3"/>
    <m/>
    <m/>
    <n v="509"/>
    <s v="Triumph"/>
    <s v="id3tag --song=&quot;Triumph (8.7.8.7.4.7.)&quot; --artist=&quot;Dr. H.J. Gauntlett&quot; --comment=&quot;&quot; --album=&quot;Green Book&quot; --track=&quot;364&quot; 364g.mid.mp3"/>
    <s v="https://www.dropbox.com/sh/cx7tus4mgkt9o4n/AADU72xiepBL_yEqDnW5_wIpa/364g.mid.mp3?raw=1"/>
  </r>
  <r>
    <x v="13"/>
    <s v="Triumph"/>
    <s v="6.6.6.6.8.8."/>
    <n v="51"/>
    <m/>
    <s v="LFTBs"/>
    <s v="Red Book"/>
    <x v="210"/>
    <s v="88r.mid"/>
    <s v="88r.mid.mp3"/>
    <m/>
    <m/>
    <n v="311"/>
    <s v="Triumph"/>
    <s v="id3tag --song=&quot;Triumph (6.6.6.6.8.8.)&quot; --artist=&quot;Walter R.F. Hope&quot; --comment=&quot;&quot; --album=&quot;Red Book&quot; --track=&quot;88&quot; 88r.mid.mp3"/>
    <s v="https://www.dropbox.com/sh/cx7tus4mgkt9o4n/AADBJ2AFMP2VBU4FYmfLBkOIa/88r.mid.mp3?raw=1"/>
  </r>
  <r>
    <x v="39"/>
    <s v="Trusting Jesus"/>
    <s v="7.7.7.7.7.7.7.7."/>
    <s v="NONE"/>
    <m/>
    <s v="LFTB"/>
    <s v="Green Book"/>
    <x v="0"/>
    <s v="278g.mid"/>
    <s v="278g.mid.mp3"/>
    <m/>
    <m/>
    <n v="643"/>
    <s v="Trusting Jesus"/>
    <s v="id3tag --song=&quot;Trusting Jesus (7.7.7.7.7.7.7.7.)&quot; --artist=&quot;Ira D. Sankey&quot; --comment=&quot;&quot; --album=&quot;Green Book&quot; --track=&quot;278&quot; 278g.mid.mp3"/>
    <s v="https://www.dropbox.com/sh/cx7tus4mgkt9o4n/AABmBehvYgNUlMA1boEeiTk-a/278g.mid.mp3?raw=1"/>
  </r>
  <r>
    <x v="489"/>
    <s v="Tryst"/>
    <s v="6.4.6.4.6.6.6.4."/>
    <n v="44"/>
    <m/>
    <s v="LFTBs"/>
    <s v="Red Book"/>
    <x v="302"/>
    <s v="73r.mid"/>
    <s v="73r.mid.mp3"/>
    <m/>
    <m/>
    <n v="312"/>
    <s v="Tryst"/>
    <s v="id3tag --song=&quot;Tryst (6.4.6.4.6.6.6.4.)&quot; --artist=&quot;W.H. Doane&quot; --comment=&quot;&quot; --album=&quot;Red Book&quot; --track=&quot;73&quot; 73r.mid.mp3"/>
    <s v="https://www.dropbox.com/sh/cx7tus4mgkt9o4n/AAAHrpcDlD8cWsA5PgKECw0ta/73r.mid.mp3?raw=1"/>
  </r>
  <r>
    <x v="467"/>
    <s v="Unbounded Love"/>
    <s v="8.5.8.5."/>
    <n v="56"/>
    <m/>
    <s v="LFTB"/>
    <s v="Green Book"/>
    <x v="52"/>
    <s v="297g.mid"/>
    <s v="297g.mid.mp3"/>
    <m/>
    <m/>
    <n v="487"/>
    <s v="Unbounded Love"/>
    <s v="id3tag --song=&quot;Unbounded Love (8.5.8.5.)&quot; --artist=&quot;F.H. Parkes&quot; --comment=&quot;&quot; --album=&quot;Green Book&quot; --track=&quot;297&quot; 297g.mid.mp3"/>
    <s v="https://www.dropbox.com/sh/cx7tus4mgkt9o4n/AADwim3r9lHBgCFkkBq2sQCwa/297g.mid.mp3?raw=1"/>
  </r>
  <r>
    <x v="495"/>
    <s v="Unde Et Memores"/>
    <s v="10.10.10.10.10.10."/>
    <s v="NONE"/>
    <m/>
    <s v="LFTB"/>
    <s v="Green Book"/>
    <x v="345"/>
    <s v="509g.mid"/>
    <s v="509g.mid.mp3"/>
    <m/>
    <m/>
    <n v="738"/>
    <s v="Unde Et Memores"/>
    <s v="id3tag --song=&quot;Unde Et Memores (10.10.10.10.10.10.)&quot; --artist=&quot;Dr. W.H. Monk&quot; --comment=&quot;&quot; --album=&quot;Green Book&quot; --track=&quot;509&quot; 509g.mid.mp3"/>
    <s v="https://www.dropbox.com/sh/cx7tus4mgkt9o4n/AADdeYOx7LB6n06un3NrYyvCa/509g.mid.mp3?raw=1"/>
  </r>
  <r>
    <x v="496"/>
    <s v="Unknown"/>
    <s v="10.10.10.10."/>
    <n v="21"/>
    <m/>
    <s v="LFTB"/>
    <s v="Green Book"/>
    <x v="383"/>
    <s v="502g.mid"/>
    <s v="502g.mid.mp3"/>
    <m/>
    <m/>
    <n v="735"/>
    <s v="Unknown"/>
    <s v="id3tag --song=&quot;Unknown (10.10.10.10.)&quot; --artist=&quot;C. Goudimel&quot; --comment=&quot;&quot; --album=&quot;Green Book&quot; --track=&quot;502&quot; 502g.mid.mp3"/>
    <s v="https://www.dropbox.com/sh/cx7tus4mgkt9o4n/AACh1XyqL5c0SnA6QiFZmUWxa/502g.mid.mp3?raw=1"/>
  </r>
  <r>
    <x v="497"/>
    <s v="Unser Herrscher"/>
    <s v="8.7.8.7.4.7."/>
    <n v="50"/>
    <m/>
    <s v="LFTB"/>
    <s v="Green Book"/>
    <x v="384"/>
    <s v="365g.mid"/>
    <s v="365g.mid.mp3"/>
    <m/>
    <m/>
    <n v="510"/>
    <s v="Unser Herrscher"/>
    <s v="id3tag --song=&quot;Unser Herrscher (8.7.8.7.4.7.)&quot; --artist=&quot;J. Neander&quot; --comment=&quot;&quot; --album=&quot;Green Book&quot; --track=&quot;365&quot; 365g.mid.mp3"/>
    <s v="https://www.dropbox.com/sh/cx7tus4mgkt9o4n/AACaSrCXeodiaflLOKt4TtrAa/365g.mid.mp3?raw=1"/>
  </r>
  <r>
    <x v="412"/>
    <s v="Upward"/>
    <s v="S.M."/>
    <n v="22"/>
    <m/>
    <s v="LFTBs"/>
    <s v="Red Book"/>
    <x v="385"/>
    <s v="50r.mid"/>
    <s v="50r.mid.mp3"/>
    <m/>
    <m/>
    <n v="313"/>
    <s v="Upward"/>
    <s v="id3tag --song=&quot;Upward (S.M.)&quot; --artist=&quot;Mrs. J.A. Lambert&quot; --comment=&quot;&quot; --album=&quot;Red Book&quot; --track=&quot;50&quot; 50r.mid.mp3"/>
    <s v="https://www.dropbox.com/sh/cx7tus4mgkt9o4n/AAAab5cDZESa39ibrw6zkAuca/50r.mid.mp3?raw=1"/>
  </r>
  <r>
    <x v="465"/>
    <s v="Valencia"/>
    <s v="10.10.10.10."/>
    <n v="21"/>
    <m/>
    <s v="LFTBs"/>
    <s v="Red Book"/>
    <x v="386"/>
    <s v="258r.mid"/>
    <s v="258r.mid.mp3"/>
    <m/>
    <m/>
    <n v="314"/>
    <s v="Valencia"/>
    <s v="id3tag --song=&quot;Valencia (10.10.10.10.)&quot; --artist=&quot;Mrs. R.A. Arnot&quot; --comment=&quot;&quot; --album=&quot;Red Book&quot; --track=&quot;258&quot; 258r.mid.mp3"/>
    <s v="https://www.dropbox.com/sh/cx7tus4mgkt9o4n/AAAuyie73QdJzvxsCBOge1RGa/258r.mid.mp3?raw=1"/>
  </r>
  <r>
    <x v="229"/>
    <s v="Valete"/>
    <s v="8.8.8.8.8.8."/>
    <n v="26"/>
    <m/>
    <s v="LFTBs"/>
    <s v="Red Book"/>
    <x v="68"/>
    <s v="216r.mid"/>
    <s v="216r.mid.mp3"/>
    <m/>
    <m/>
    <n v="315"/>
    <s v="Valete"/>
    <s v="id3tag --song=&quot;Valete (8.8.8.8.8.8.)&quot; --artist=&quot;Sir Arthur S. Sullivan&quot; --comment=&quot;&quot; --album=&quot;Red Book&quot; --track=&quot;216&quot; 216r.mid.mp3"/>
    <s v="https://www.dropbox.com/sh/cx7tus4mgkt9o4n/AACBviK5YTT2uGB8G41OXj9ua/216r.mid.mp3?raw=1"/>
  </r>
  <r>
    <x v="498"/>
    <s v="Vater Der Herrlichkeit"/>
    <s v="10.10.4.10.10.4."/>
    <n v="18"/>
    <m/>
    <s v="LFTBs"/>
    <s v="Red Book"/>
    <x v="9"/>
    <s v="247r.mid"/>
    <s v="247r.mid.mp3"/>
    <m/>
    <s v="German Tunes (1952) No. 197"/>
    <n v="316"/>
    <s v="Vater Der Herrlichkeit"/>
    <s v="id3tag --song=&quot;Vater Der Herrlichkeit (10.10.4.10.10.4.)&quot; --artist=&quot;Unknown&quot; --comment=&quot;German Tunes (1952) No. 197&quot; --album=&quot;Red Book&quot; --track=&quot;247&quot; 247r.mid.mp3"/>
    <s v="https://www.dropbox.com/sh/cx7tus4mgkt9o4n/AAAusf8-CFEooBRuvoHLAo4pa/247r.mid.mp3?raw=1"/>
  </r>
  <r>
    <x v="415"/>
    <s v="Venice"/>
    <s v="S.M."/>
    <n v="22"/>
    <m/>
    <s v="LFTB"/>
    <s v="Green Book"/>
    <x v="387"/>
    <s v="157g.mid"/>
    <s v="157g.mid.mp3"/>
    <m/>
    <m/>
    <n v="358"/>
    <s v="Venice"/>
    <s v="id3tag --song=&quot;Venice (S.M.)&quot; --artist=&quot;W. Amps&quot; --comment=&quot;&quot; --album=&quot;Green Book&quot; --track=&quot;157&quot; 157g.mid.mp3"/>
    <s v="https://www.dropbox.com/sh/cx7tus4mgkt9o4n/AAB-ukCwMTCWDAGMb8DJfr8ya/157g.mid.mp3?raw=1"/>
  </r>
  <r>
    <x v="30"/>
    <s v="Verbum Pacis (Lomas)"/>
    <s v="6.6.8.4."/>
    <n v="42"/>
    <m/>
    <s v="LFTBs"/>
    <s v="Red Book"/>
    <x v="388"/>
    <s v="90r.mid"/>
    <s v="90r.mid.mp3"/>
    <m/>
    <m/>
    <n v="317"/>
    <s v="Verbum Pacis (Lomas)"/>
    <s v="id3tag --song=&quot;Verbum Pacis (Lomas) (6.6.8.4.)&quot; --artist=&quot;George Lomas&quot; --comment=&quot;&quot; --album=&quot;Red Book&quot; --track=&quot;90&quot; 90r.mid.mp3"/>
    <s v="https://www.dropbox.com/sh/cx7tus4mgkt9o4n/AAA_9qZYxteHApx08rAW65wNa/90r.mid.mp3?raw=1"/>
  </r>
  <r>
    <x v="36"/>
    <s v="Verbum Pacis (Monk)"/>
    <s v="6.6.8.4."/>
    <n v="42"/>
    <m/>
    <s v="LFTBs"/>
    <s v="Red Book"/>
    <x v="345"/>
    <s v="91r.mid"/>
    <s v="91r.mid.mp3"/>
    <m/>
    <m/>
    <n v="318"/>
    <s v="Verbum Pacis (Monk)"/>
    <s v="id3tag --song=&quot;Verbum Pacis (Monk) (6.6.8.4.)&quot; --artist=&quot;Dr. W.H. Monk&quot; --comment=&quot;&quot; --album=&quot;Red Book&quot; --track=&quot;91&quot; 91r.mid.mp3"/>
    <s v="https://www.dropbox.com/sh/cx7tus4mgkt9o4n/AAAPzwgbpto1tr29tQxQDl0wa/91r.mid.mp3?raw=1"/>
  </r>
  <r>
    <x v="100"/>
    <s v="Victor"/>
    <s v="8.5.8.3."/>
    <n v="53"/>
    <m/>
    <s v="LFTB"/>
    <s v="Green Book"/>
    <x v="75"/>
    <s v="294g.mid"/>
    <s v="294g.mid.mp3"/>
    <m/>
    <m/>
    <n v="651"/>
    <s v="Victor"/>
    <s v="id3tag --song=&quot;Victor (8.5.8.3.)&quot; --artist=&quot;Miss La Thangue&quot; --comment=&quot;&quot; --album=&quot;Green Book&quot; --track=&quot;294&quot; 294g.mid.mp3"/>
    <s v="https://www.dropbox.com/sh/cx7tus4mgkt9o4n/AADo3OS1-GFhDP-ayUm_nfUYa/294g.mid.mp3?raw=1"/>
  </r>
  <r>
    <x v="422"/>
    <s v="Victory"/>
    <s v="S.M."/>
    <n v="22"/>
    <m/>
    <s v="LFTB"/>
    <s v="Green Book"/>
    <x v="16"/>
    <s v="158g.mid"/>
    <s v="158g.mid.mp3"/>
    <m/>
    <m/>
    <n v="446"/>
    <s v="Victory"/>
    <s v="id3tag --song=&quot;Victory (S.M.)&quot; --artist=&quot;C. Leflaive&quot; --comment=&quot;&quot; --album=&quot;Green Book&quot; --track=&quot;158&quot; 158g.mid.mp3"/>
    <s v="https://www.dropbox.com/sh/cx7tus4mgkt9o4n/AACE3sNExcR_lYNIWxNdPddAa/158g.mid.mp3?raw=1"/>
  </r>
  <r>
    <x v="499"/>
    <s v="Victory"/>
    <s v="14.14.4.7.8."/>
    <n v="78"/>
    <m/>
    <s v="LFTB"/>
    <s v="Green Book"/>
    <x v="384"/>
    <s v="551g.mid"/>
    <s v="551g.mid.mp3"/>
    <m/>
    <m/>
    <n v="412"/>
    <s v="Victory"/>
    <s v="id3tag --song=&quot;Victory (14.14.4.7.8.)&quot; --artist=&quot;J. Neander&quot; --comment=&quot;&quot; --album=&quot;Green Book&quot; --track=&quot;551&quot; 551g.mid.mp3"/>
    <s v="https://www.dropbox.com/sh/cx7tus4mgkt9o4n/AACy3o9Imz1kOLJ4c3pd6lk9a/551g.mid.mp3?raw=1"/>
  </r>
  <r>
    <x v="486"/>
    <s v="Vida Immortal"/>
    <s v="11.10.11.10. Dactylic"/>
    <n v="17"/>
    <m/>
    <s v="LFTBs"/>
    <s v="Red Book"/>
    <x v="389"/>
    <s v="273r.mid"/>
    <s v="273r.mid.mp3"/>
    <m/>
    <m/>
    <n v="319"/>
    <s v="Vida Immortal"/>
    <s v="id3tag --song=&quot;Vida Immortal (11.10.11.10. Dactylic)&quot; --artist=&quot;Spanish Tune&quot; --comment=&quot;&quot; --album=&quot;Red Book&quot; --track=&quot;273&quot; 273r.mid.mp3"/>
    <s v="https://www.dropbox.com/sh/cx7tus4mgkt9o4n/AADFDlFxMsmFjTn2QGQl2lQVa/273r.mid.mp3?raw=1"/>
  </r>
  <r>
    <x v="459"/>
    <s v="Vox Dilecti"/>
    <s v="C.M.D."/>
    <n v="61"/>
    <m/>
    <s v="LFTB"/>
    <s v="Green Book"/>
    <x v="333"/>
    <s v="86g.mid"/>
    <s v="86g.mid.mp3"/>
    <m/>
    <m/>
    <n v="601"/>
    <s v="Vox Dilecti"/>
    <s v="id3tag --song=&quot;Vox Dilecti (C.M.D.)&quot; --artist=&quot;Dr. J.B. Dykes&quot; --comment=&quot;&quot; --album=&quot;Green Book&quot; --track=&quot;86&quot; 86g.mid.mp3"/>
    <s v="https://www.dropbox.com/sh/cx7tus4mgkt9o4n/AABzZzfbX55XYMOfF3qmi2Xta/86g.mid.mp3?raw=1"/>
  </r>
  <r>
    <x v="500"/>
    <s v="Waiting for the Morning"/>
    <s v="8.7.8.7.8.7.8.7."/>
    <n v="25"/>
    <m/>
    <s v="LFTB"/>
    <s v="Green Book"/>
    <x v="390"/>
    <s v="395g.mid"/>
    <s v="395g.mid.mp3"/>
    <m/>
    <m/>
    <n v="679"/>
    <s v="Waiting for the Morning"/>
    <s v="id3tag --song=&quot;Waiting for the Morning (8.7.8.7.8.7.8.7.)&quot; --artist=&quot;G.F. Root&quot; --comment=&quot;&quot; --album=&quot;Green Book&quot; --track=&quot;395&quot; 395g.mid.mp3"/>
    <s v="https://www.dropbox.com/sh/cx7tus4mgkt9o4n/AABDEJIhaJatflBcB0zcpQt9a/395g.mid.mp3?raw=1"/>
  </r>
  <r>
    <x v="228"/>
    <s v="Waiting Time"/>
    <s v="6.5.11.6.5.11."/>
    <n v="27"/>
    <m/>
    <s v="LFTB"/>
    <s v="Green Book"/>
    <x v="290"/>
    <s v="184g.mid"/>
    <s v="184g.mid.mp3"/>
    <m/>
    <m/>
    <n v="44"/>
    <s v="Waiting Time"/>
    <s v="id3tag --song=&quot;Waiting Time (6.5.11.6.5.11.)&quot; --artist=&quot;C.T. Lambert&quot; --comment=&quot;&quot; --album=&quot;Green Book&quot; --track=&quot;184&quot; 184g.mid.mp3"/>
    <s v="https://www.dropbox.com/sh/cx7tus4mgkt9o4n/AABekJNfB1F5uZyHvC-4d7_9a/184g.mid.mp3?raw=1"/>
  </r>
  <r>
    <x v="501"/>
    <s v="Waltham"/>
    <s v="8.6.8.6.8.8."/>
    <n v="55"/>
    <m/>
    <s v="LFTB"/>
    <s v="Green Book"/>
    <x v="107"/>
    <s v="310g.mid"/>
    <s v="310g.mid.mp3"/>
    <m/>
    <m/>
    <n v="378"/>
    <s v="Waltham"/>
    <s v="id3tag --song=&quot;Waltham (8.6.8.6.8.8.)&quot; --artist=&quot;T. Willey&quot; --comment=&quot;&quot; --album=&quot;Green Book&quot; --track=&quot;310&quot; 310g.mid.mp3"/>
    <s v="https://www.dropbox.com/sh/cx7tus4mgkt9o4n/AABZX5HLNQLwAlBYhakh_Zz2a/310g.mid.mp3?raw=1"/>
  </r>
  <r>
    <x v="123"/>
    <s v="Walton"/>
    <s v="L.M."/>
    <n v="16"/>
    <m/>
    <s v="LFTB"/>
    <s v="Green Book"/>
    <x v="163"/>
    <s v="121g.mid"/>
    <s v="121g.mid.mp3"/>
    <m/>
    <m/>
    <n v="606"/>
    <s v="Walton"/>
    <s v="id3tag --song=&quot;Walton (L.M.)&quot; --artist=&quot;From Beethoven&quot; --comment=&quot;&quot; --album=&quot;Green Book&quot; --track=&quot;121&quot; 121g.mid.mp3"/>
    <s v="https://www.dropbox.com/sh/cx7tus4mgkt9o4n/AABg2SzUoNb4KybAgyByEsYMa/121g.mid.mp3?raw=1"/>
  </r>
  <r>
    <x v="502"/>
    <s v="Wareham"/>
    <s v="L.M."/>
    <n v="16"/>
    <m/>
    <s v="LFTB"/>
    <s v="Green Book"/>
    <x v="391"/>
    <s v="122g.mid"/>
    <s v="122g.mid.mp3"/>
    <m/>
    <m/>
    <n v="607"/>
    <s v="Wareham"/>
    <s v="id3tag --song=&quot;Wareham (L.M.)&quot; --artist=&quot;W. Knapp&quot; --comment=&quot;&quot; --album=&quot;Green Book&quot; --track=&quot;122&quot; 122g.mid.mp3"/>
    <s v="https://www.dropbox.com/sh/cx7tus4mgkt9o4n/AACvI_tMFwd4IYeM9C9XefSSa/122g.mid.mp3?raw=1"/>
  </r>
  <r>
    <x v="503"/>
    <s v="Warren Vale"/>
    <s v="8.7.8.7."/>
    <n v="24"/>
    <m/>
    <s v="LFTB"/>
    <s v="Green Book"/>
    <x v="392"/>
    <s v="347g.mid"/>
    <s v="347g.mid.mp3"/>
    <m/>
    <m/>
    <n v="662"/>
    <s v="Warren Vale"/>
    <s v="id3tag --song=&quot;Warren Vale (8.7.8.7.)&quot; --artist=&quot;Miss H.M. Faulkner&quot; --comment=&quot;&quot; --album=&quot;Green Book&quot; --track=&quot;347&quot; 347g.mid.mp3"/>
    <s v="https://www.dropbox.com/sh/cx7tus4mgkt9o4n/AADeJnXKCYi6oZ_nlaaO6qT0a/347g.mid.mp3?raw=1"/>
  </r>
  <r>
    <x v="445"/>
    <s v="Warrington"/>
    <s v="L.M."/>
    <n v="16"/>
    <m/>
    <s v="LFTB"/>
    <s v="Green Book"/>
    <x v="91"/>
    <s v="123g.mid"/>
    <s v="123g.mid.mp3"/>
    <m/>
    <m/>
    <n v="608"/>
    <s v="Warrington"/>
    <s v="id3tag --song=&quot;Warrington (L.M.)&quot; --artist=&quot;R. Harrison&quot; --comment=&quot;&quot; --album=&quot;Green Book&quot; --track=&quot;123&quot; 123g.mid.mp3"/>
    <s v="https://www.dropbox.com/sh/cx7tus4mgkt9o4n/AAB3dIsbbnU_t4JFlZT5zh2Ca/123g.mid.mp3?raw=1"/>
  </r>
  <r>
    <x v="321"/>
    <s v="Warwick"/>
    <s v="C.M."/>
    <n v="19"/>
    <m/>
    <s v="LFTB"/>
    <s v="Green Book"/>
    <x v="393"/>
    <s v="75g.mid"/>
    <s v="75g.mid.mp3"/>
    <m/>
    <m/>
    <n v="535"/>
    <s v="No matching tune"/>
    <s v="id3tag --song=&quot;Warwick (C.M.)&quot; --artist=&quot;Samuel Stanley&quot; --comment=&quot;&quot; --album=&quot;Green Book&quot; --track=&quot;75&quot; 75g.mid.mp3"/>
    <e v="#N/A"/>
  </r>
  <r>
    <x v="504"/>
    <s v="Watching and Waiting"/>
    <s v="12.11.12.11."/>
    <n v="33"/>
    <m/>
    <s v="LFTB"/>
    <s v="Green Book"/>
    <x v="155"/>
    <s v="544g.mid"/>
    <s v="544g.mid.mp3"/>
    <m/>
    <m/>
    <n v="753"/>
    <s v="Watching and Waiting"/>
    <s v="id3tag --song=&quot;Watching and Waiting (12.11.12.11.)&quot; --artist=&quot;P. Blanche&quot; --comment=&quot;&quot; --album=&quot;Green Book&quot; --track=&quot;544&quot; 544g.mid.mp3"/>
    <s v="https://www.dropbox.com/sh/cx7tus4mgkt9o4n/AACztWFfyIEZybAE8UPcZHXZa/544g.mid.mp3?raw=1"/>
  </r>
  <r>
    <x v="204"/>
    <s v="Weber"/>
    <s v="7.6.7.6."/>
    <n v="41"/>
    <m/>
    <s v="LFTB"/>
    <s v="Green Book"/>
    <x v="394"/>
    <s v="224g.mid"/>
    <s v="224g.mid.mp3"/>
    <m/>
    <m/>
    <n v="462"/>
    <s v="Weber"/>
    <s v="id3tag --song=&quot;Weber (7.6.7.6.)&quot; --artist=&quot;From Weber&quot; --comment=&quot;&quot; --album=&quot;Green Book&quot; --track=&quot;224&quot; 224g.mid.mp3"/>
    <s v="https://www.dropbox.com/sh/cx7tus4mgkt9o4n/AAAWmlXnhdTigMc7arehE_RCa/224g.mid.mp3?raw=1"/>
  </r>
  <r>
    <x v="370"/>
    <s v="Wells"/>
    <s v="7.7.7.7.8.8."/>
    <n v="92"/>
    <m/>
    <s v="LFTB"/>
    <s v="Green Book"/>
    <x v="395"/>
    <s v="280g.mid"/>
    <s v="280g.mid.mp3"/>
    <m/>
    <m/>
    <n v="376"/>
    <s v="Wells"/>
    <s v="id3tag --song=&quot;Wells (7.7.7.7.8.8.)&quot; --artist=&quot;D. Bortnianski&quot; --comment=&quot;&quot; --album=&quot;Green Book&quot; --track=&quot;280&quot; 280g.mid.mp3"/>
    <s v="https://www.dropbox.com/sh/cx7tus4mgkt9o4n/AACX9JHd0uOQhFdJae_JxwAsa/280g.mid.mp3?raw=1"/>
  </r>
  <r>
    <x v="209"/>
    <s v="West View"/>
    <s v="7.6.7.6."/>
    <n v="41"/>
    <m/>
    <s v="LFTB"/>
    <s v="Green Book"/>
    <x v="396"/>
    <s v="225g.mid"/>
    <s v="225g.mid.mp3"/>
    <m/>
    <m/>
    <n v="463"/>
    <s v="West View"/>
    <s v="id3tag --song=&quot;West View (7.6.7.6.)&quot; --artist=&quot;P.S. Pugh&quot; --comment=&quot;&quot; --album=&quot;Green Book&quot; --track=&quot;225&quot; 225g.mid.mp3"/>
    <s v="https://www.dropbox.com/sh/cx7tus4mgkt9o4n/AABubctTgvQyJHfma_zaHga_a/225g.mid.mp3?raw=1"/>
  </r>
  <r>
    <x v="349"/>
    <s v="Whetstone"/>
    <s v="7.6.7.6.7.6.7.6."/>
    <n v="34"/>
    <m/>
    <s v="LFTBs"/>
    <s v="Red Book"/>
    <x v="90"/>
    <s v="110r.mid"/>
    <s v="110r.mid.mp3"/>
    <m/>
    <m/>
    <n v="320"/>
    <s v="Whetstone"/>
    <s v="id3tag --song=&quot;Whetstone (7.6.7.6.7.6.7.6.)&quot; --artist=&quot;John F. Harvey&quot; --comment=&quot;&quot; --album=&quot;Red Book&quot; --track=&quot;110&quot; 110r.mid.mp3"/>
    <s v="https://www.dropbox.com/sh/cx7tus4mgkt9o4n/AABYL4Epk6cvlvxYSKcm1Offa/110r.mid.mp3?raw=1"/>
  </r>
  <r>
    <x v="250"/>
    <s v="Whitburn"/>
    <s v="L.M."/>
    <n v="16"/>
    <m/>
    <s v="LFTB"/>
    <s v="Green Book"/>
    <x v="397"/>
    <s v="124g.mid"/>
    <s v="124g.mid.mp3"/>
    <m/>
    <m/>
    <n v="609"/>
    <s v="Whitburn"/>
    <s v="id3tag --song=&quot;Whitburn (L.M.)&quot; --artist=&quot;H. Baker&quot; --comment=&quot;&quot; --album=&quot;Green Book&quot; --track=&quot;124&quot; 124g.mid.mp3"/>
    <s v="https://www.dropbox.com/sh/cx7tus4mgkt9o4n/AADnlmec9g52PPwuwgANmiqaa/124g.mid.mp3?raw=1"/>
  </r>
  <r>
    <x v="505"/>
    <s v="Willenhall"/>
    <s v="9.8.9.8.9.8.9.8."/>
    <n v="59"/>
    <m/>
    <s v="LFTB"/>
    <s v="Green Book"/>
    <x v="176"/>
    <s v="449g.mid"/>
    <s v="449g.mid.mp3"/>
    <m/>
    <m/>
    <n v="707"/>
    <s v="Willenhall"/>
    <s v="id3tag --song=&quot;Willenhall (9.8.9.8.9.8.9.8.)&quot; --artist=&quot;R.A. Evershed&quot; --comment=&quot;&quot; --album=&quot;Green Book&quot; --track=&quot;449&quot; 449g.mid.mp3"/>
    <s v="https://www.dropbox.com/sh/cx7tus4mgkt9o4n/AAAfcZ-Xfb_rKMTcDFfV9jMGa/449g.mid.mp3?raw=1"/>
  </r>
  <r>
    <x v="458"/>
    <s v="Willoughby"/>
    <s v="4.8.4.8.8."/>
    <n v="28"/>
    <m/>
    <s v="LFTBs"/>
    <s v="Red Book"/>
    <x v="78"/>
    <s v="59r.mid"/>
    <s v="59r.mid.mp3"/>
    <n v="1963"/>
    <m/>
    <n v="321"/>
    <s v="Willoughby"/>
    <s v="id3tag --song=&quot;Willoughby (4.8.4.8.8.)&quot; --artist=&quot;Michael Lewis&quot; --comment=&quot;&quot; --album=&quot;Red Book&quot; --track=&quot;59&quot; 59r.mid.mp3"/>
    <s v="https://www.dropbox.com/sh/cx7tus4mgkt9o4n/AADDiHhWhrM-liW8RUZ9ADYna/59r.mid.mp3?raw=1"/>
  </r>
  <r>
    <x v="384"/>
    <s v="Wiltshire"/>
    <s v="C.M."/>
    <n v="19"/>
    <m/>
    <s v="LFTB"/>
    <s v="Green Book"/>
    <x v="398"/>
    <s v="76g.mid"/>
    <s v="76g.mid.mp3"/>
    <m/>
    <m/>
    <n v="537"/>
    <s v="Wiltshire"/>
    <s v="id3tag --song=&quot;Wiltshire (C.M.)&quot; --artist=&quot;Sir George T. Smart&quot; --comment=&quot;&quot; --album=&quot;Green Book&quot; --track=&quot;76&quot; 76g.mid.mp3"/>
    <s v="https://www.dropbox.com/sh/cx7tus4mgkt9o4n/AADUrz6O-N622vrZjiRJxW2Ea/76g.mid.mp3?raw=1"/>
  </r>
  <r>
    <x v="117"/>
    <s v="Winchester"/>
    <s v="8.5.8.5.8.5.8.5."/>
    <n v="37"/>
    <m/>
    <s v="LFTBs"/>
    <s v="Red Book"/>
    <x v="4"/>
    <s v="133r.mid"/>
    <s v="133r.mid.mp3"/>
    <m/>
    <m/>
    <n v="322"/>
    <s v="Winchester"/>
    <s v="id3tag --song=&quot;Winchester (8.5.8.5.8.5.8.5.)&quot; --artist=&quot;Miss E.C. Shanks&quot; --comment=&quot;&quot; --album=&quot;Red Book&quot; --track=&quot;133&quot; 133r.mid.mp3"/>
    <s v="https://www.dropbox.com/sh/cx7tus4mgkt9o4n/AACgCkBBs1chvVYUPSSxlBOLa/133r.mid.mp3?raw=1"/>
  </r>
  <r>
    <x v="44"/>
    <s v="Winchester New"/>
    <s v="L.M."/>
    <n v="16"/>
    <m/>
    <s v="LFTB"/>
    <s v="Green Book"/>
    <x v="399"/>
    <s v="125g.mid"/>
    <s v="125g.mid.mp3"/>
    <m/>
    <m/>
    <n v="610"/>
    <s v="Winchester New"/>
    <s v="id3tag --song=&quot;Winchester New (L.M.)&quot; --artist=&quot;Crasselius&quot; --comment=&quot;&quot; --album=&quot;Green Book&quot; --track=&quot;125&quot; 125g.mid.mp3"/>
    <s v="https://www.dropbox.com/sh/cx7tus4mgkt9o4n/AAApFLaHW3IB8vetNJFOqy-Ma/125g.mid.mp3?raw=1"/>
  </r>
  <r>
    <x v="329"/>
    <s v="Winifred"/>
    <s v="8.7.8.7."/>
    <n v="24"/>
    <m/>
    <s v="LFTBs"/>
    <s v="Red Book"/>
    <x v="9"/>
    <s v="162r.mid"/>
    <s v="162r.mid.mp3"/>
    <m/>
    <m/>
    <n v="323"/>
    <s v="Winifred"/>
    <s v="id3tag --song=&quot;Winifred (8.7.8.7.)&quot; --artist=&quot;Unknown&quot; --comment=&quot;&quot; --album=&quot;Red Book&quot; --track=&quot;162&quot; 162r.mid.mp3"/>
    <s v="https://www.dropbox.com/sh/cx7tus4mgkt9o4n/AAD4K8hEpCOjHX7lj9B7eeD5a/162r.mid.mp3?raw=1"/>
  </r>
  <r>
    <x v="506"/>
    <s v="Winter Solstice"/>
    <s v="6.6.8.4."/>
    <n v="42"/>
    <m/>
    <s v="LFTBs"/>
    <s v="Red Book"/>
    <x v="400"/>
    <s v="92r.mid"/>
    <s v="92r.mid.mp3"/>
    <m/>
    <m/>
    <n v="324"/>
    <s v="Winter Solstice"/>
    <s v="id3tag --song=&quot;Winter Solstice (6.6.8.4.)&quot; --artist=&quot;Charles Vincent&quot; --comment=&quot;&quot; --album=&quot;Red Book&quot; --track=&quot;92&quot; 92r.mid.mp3"/>
    <s v="https://www.dropbox.com/sh/cx7tus4mgkt9o4n/AAD8n138fUhtZ9gfRccvO1_ya/92r.mid.mp3?raw=1"/>
  </r>
  <r>
    <x v="427"/>
    <s v="Woldingham"/>
    <s v="S.M.D."/>
    <n v="70"/>
    <m/>
    <s v="LFTBs"/>
    <s v="Red Book"/>
    <x v="78"/>
    <s v="53r.mid"/>
    <s v="53r.mid.mp3"/>
    <n v="1963"/>
    <m/>
    <n v="325"/>
    <s v="Woldingham"/>
    <s v="id3tag --song=&quot;Woldingham (S.M.D.)&quot; --artist=&quot;Michael Lewis&quot; --comment=&quot;&quot; --album=&quot;Red Book&quot; --track=&quot;53&quot; 53r.mid.mp3"/>
    <s v="https://www.dropbox.com/sh/cx7tus4mgkt9o4n/AAD2s3mo1w631_djnMDrfyDBa/53r.mid.mp3?raw=1"/>
  </r>
  <r>
    <x v="220"/>
    <s v="Wonderous Story"/>
    <s v="8.7.8.7.8.7.8.7.7.7."/>
    <n v="68"/>
    <m/>
    <s v="LFTBs"/>
    <s v="Red Book"/>
    <x v="34"/>
    <s v="196r.mid"/>
    <s v="196r.mid.mp3"/>
    <m/>
    <m/>
    <n v="326"/>
    <s v="Wonderous Story"/>
    <s v="id3tag --song=&quot;Wonderous Story (8.7.8.7.8.7.8.7.7.7.)&quot; --artist=&quot;Gordon Millar&quot; --comment=&quot;&quot; --album=&quot;Red Book&quot; --track=&quot;196&quot; 196r.mid.mp3"/>
    <s v="https://www.dropbox.com/sh/cx7tus4mgkt9o4n/AADg64pDavCX1IXCjpq6XShRa/196r.mid.mp3?raw=1"/>
  </r>
  <r>
    <x v="319"/>
    <s v="Woodbank"/>
    <s v="8.6.8.6.8.6."/>
    <n v="96"/>
    <m/>
    <s v="LFTBs"/>
    <s v="Red Book"/>
    <x v="34"/>
    <s v="139r.mid"/>
    <s v="139r.mid.mp3"/>
    <m/>
    <m/>
    <n v="327"/>
    <s v="Woodbank"/>
    <s v="id3tag --song=&quot;Woodbank (8.6.8.6.8.6.)&quot; --artist=&quot;Gordon Millar&quot; --comment=&quot;&quot; --album=&quot;Red Book&quot; --track=&quot;139&quot; 139r.mid.mp3"/>
    <s v="https://www.dropbox.com/sh/cx7tus4mgkt9o4n/AADcWJqH_PlTRbQqzjOPZlDGa/139r.mid.mp3?raw=1"/>
  </r>
  <r>
    <x v="388"/>
    <s v="Worship"/>
    <s v="C.M."/>
    <n v="19"/>
    <m/>
    <s v="LFTB"/>
    <s v="Green Book"/>
    <x v="401"/>
    <s v="77g.mid"/>
    <s v="77g.mid.mp3"/>
    <m/>
    <m/>
    <n v="536"/>
    <s v="Worship"/>
    <s v="id3tag --song=&quot;Worship (C.M.)&quot; --artist=&quot;Mrs. M.S. Cooper&quot; --comment=&quot;&quot; --album=&quot;Green Book&quot; --track=&quot;77&quot; 77g.mid.mp3"/>
    <s v="https://www.dropbox.com/sh/cx7tus4mgkt9o4n/AABRitVdN0vEb32AtW7eMxGRa/77g.mid.mp3?raw=1"/>
  </r>
  <r>
    <x v="73"/>
    <s v="Worship"/>
    <s v="L.M."/>
    <n v="16"/>
    <m/>
    <s v="LFTB"/>
    <s v="Green Book"/>
    <x v="402"/>
    <s v="126g.mid"/>
    <s v="126g.mid.mp3"/>
    <m/>
    <m/>
    <n v="430"/>
    <s v="Worship"/>
    <s v="id3tag --song=&quot;Worship (L.M.)&quot; --artist=&quot;Mrs. H.V. Ground&quot; --comment=&quot;&quot; --album=&quot;Green Book&quot; --track=&quot;126&quot; 126g.mid.mp3"/>
    <s v="https://www.dropbox.com/sh/cx7tus4mgkt9o4n/AAAMpIyBP70ATcqShSoZpjpra/126g.mid.mp3?raw=1"/>
  </r>
  <r>
    <x v="277"/>
    <s v="Wreford"/>
    <s v="8.6.8.4."/>
    <n v="72"/>
    <m/>
    <s v="LFTBs"/>
    <s v="Red Book"/>
    <x v="403"/>
    <s v="138r.mid"/>
    <s v="138r.mid.mp3"/>
    <m/>
    <m/>
    <n v="328"/>
    <s v="Wreford"/>
    <s v="id3tag --song=&quot;Wreford (8.6.8.4.)&quot; --artist=&quot;Rev. E.S. Carter&quot; --comment=&quot;&quot; --album=&quot;Red Book&quot; --track=&quot;138&quot; 138r.mid.mp3"/>
    <s v="https://www.dropbox.com/sh/cx7tus4mgkt9o4n/AAC_3WUaQP2BLhdlfscbeATqa/138r.mid.mp3?raw=1"/>
  </r>
  <r>
    <x v="87"/>
    <s v="Wyken"/>
    <s v="8.5.8.3."/>
    <n v="53"/>
    <m/>
    <s v="LFTBs"/>
    <s v="Red Book"/>
    <x v="34"/>
    <s v="129r.mid"/>
    <s v="129r.mid.mp3"/>
    <m/>
    <m/>
    <n v="329"/>
    <s v="Wyken"/>
    <s v="id3tag --song=&quot;Wyken (8.5.8.3.)&quot; --artist=&quot;Gordon Millar&quot; --comment=&quot;&quot; --album=&quot;Red Book&quot; --track=&quot;129&quot; 129r.mid.mp3"/>
    <s v="https://www.dropbox.com/sh/cx7tus4mgkt9o4n/AAAnT0sWtJb61YHi7PgnI-vda/129r.mid.mp3?raw=1"/>
  </r>
  <r>
    <x v="507"/>
    <s v="Yorkshire"/>
    <s v="10.10.10.10.10.10."/>
    <s v="NONE"/>
    <m/>
    <s v="LFTB"/>
    <s v="Green Book"/>
    <x v="9"/>
    <s v="510g.mid"/>
    <s v="510g.mid.mp3"/>
    <m/>
    <m/>
    <n v="739"/>
    <s v="Yorkshire"/>
    <s v="id3tag --song=&quot;Yorkshire (10.10.10.10.10.10.)&quot; --artist=&quot;Unknown&quot; --comment=&quot;&quot; --album=&quot;Green Book&quot; --track=&quot;510&quot; 510g.mid.mp3"/>
    <s v="https://www.dropbox.com/sh/cx7tus4mgkt9o4n/AABmxs4xDptGOxNBIMBp0OJja/510g.mid.mp3?raw=1"/>
  </r>
  <r>
    <x v="508"/>
    <s v="Zacher"/>
    <s v="11.10.11.10. Dactylic"/>
    <n v="17"/>
    <m/>
    <s v="LFTBs"/>
    <s v="Red Book"/>
    <x v="215"/>
    <s v="274r.mid"/>
    <s v="274r.mid.mp3"/>
    <m/>
    <m/>
    <n v="330"/>
    <s v="Zacher"/>
    <s v="id3tag --song=&quot;Zacher (11.10.11.10. Dactylic)&quot; --artist=&quot;Miss A.H. Lee&quot; --comment=&quot;&quot; --album=&quot;Red Book&quot; --track=&quot;274&quot; 274r.mid.mp3"/>
    <s v="https://www.dropbox.com/sh/cx7tus4mgkt9o4n/AACkimhyu7mUNzOObLZM55_aa/274r.mid.mp3?raw=1"/>
  </r>
  <r>
    <x v="423"/>
    <s v="Zurich"/>
    <s v="S.M."/>
    <n v="22"/>
    <m/>
    <s v="LFTB"/>
    <s v="Green Book"/>
    <x v="404"/>
    <s v="159g.mid"/>
    <s v="159g.mid.mp3"/>
    <m/>
    <m/>
    <n v="447"/>
    <s v="Zurich"/>
    <s v="id3tag --song=&quot;Zurich (S.M.)&quot; --artist=&quot;J.G. Nageli&quot; --comment=&quot;&quot; --album=&quot;Green Book&quot; --track=&quot;159&quot; 159g.mid.mp3"/>
    <s v="https://www.dropbox.com/sh/cx7tus4mgkt9o4n/AACECsVazOwSxwKoMScqDm8Da/159g.mid.mp3?raw=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B32F0-8CB4-3C40-9B3E-77AB7741318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09" firstHeaderRow="1" firstDataRow="1" firstDataCol="1"/>
  <pivotFields count="16">
    <pivotField dataField="1" showAll="0">
      <items count="510">
        <item x="7"/>
        <item x="8"/>
        <item x="41"/>
        <item x="42"/>
        <item x="69"/>
        <item x="57"/>
        <item x="61"/>
        <item x="64"/>
        <item x="66"/>
        <item x="71"/>
        <item x="202"/>
        <item x="160"/>
        <item x="179"/>
        <item x="181"/>
        <item x="183"/>
        <item x="185"/>
        <item x="212"/>
        <item x="89"/>
        <item x="99"/>
        <item x="115"/>
        <item x="227"/>
        <item x="246"/>
        <item x="40"/>
        <item x="59"/>
        <item x="76"/>
        <item x="121"/>
        <item x="184"/>
        <item x="187"/>
        <item x="238"/>
        <item x="239"/>
        <item x="318"/>
        <item x="315"/>
        <item x="326"/>
        <item x="344"/>
        <item x="354"/>
        <item x="355"/>
        <item x="361"/>
        <item x="304"/>
        <item x="366"/>
        <item x="126"/>
        <item x="260"/>
        <item x="293"/>
        <item x="324"/>
        <item x="376"/>
        <item x="381"/>
        <item x="435"/>
        <item x="412"/>
        <item x="154"/>
        <item x="418"/>
        <item x="427"/>
        <item x="192"/>
        <item x="379"/>
        <item x="402"/>
        <item x="449"/>
        <item x="455"/>
        <item x="458"/>
        <item x="288"/>
        <item x="23"/>
        <item x="133"/>
        <item x="150"/>
        <item x="323"/>
        <item x="375"/>
        <item x="432"/>
        <item x="3"/>
        <item x="106"/>
        <item x="145"/>
        <item x="210"/>
        <item x="232"/>
        <item x="267"/>
        <item x="489"/>
        <item x="437"/>
        <item x="321"/>
        <item x="384"/>
        <item x="388"/>
        <item x="4"/>
        <item x="471"/>
        <item x="52"/>
        <item x="63"/>
        <item x="130"/>
        <item x="251"/>
        <item x="303"/>
        <item x="348"/>
        <item x="459"/>
        <item x="2"/>
        <item x="13"/>
        <item x="21"/>
        <item x="30"/>
        <item x="36"/>
        <item x="506"/>
        <item x="101"/>
        <item x="116"/>
        <item x="163"/>
        <item x="9"/>
        <item x="35"/>
        <item x="86"/>
        <item x="122"/>
        <item x="132"/>
        <item x="236"/>
        <item x="240"/>
        <item x="241"/>
        <item x="242"/>
        <item x="292"/>
        <item x="308"/>
        <item x="339"/>
        <item x="346"/>
        <item x="349"/>
        <item x="351"/>
        <item x="249"/>
        <item x="300"/>
        <item x="309"/>
        <item x="395"/>
        <item x="243"/>
        <item x="454"/>
        <item x="363"/>
        <item x="424"/>
        <item x="15"/>
        <item x="123"/>
        <item x="502"/>
        <item x="445"/>
        <item x="250"/>
        <item x="44"/>
        <item x="73"/>
        <item x="128"/>
        <item x="168"/>
        <item x="87"/>
        <item x="50"/>
        <item x="80"/>
        <item x="113"/>
        <item x="117"/>
        <item x="118"/>
        <item x="162"/>
        <item x="275"/>
        <item x="253"/>
        <item x="277"/>
        <item x="319"/>
        <item x="18"/>
        <item x="60"/>
        <item x="119"/>
        <item x="364"/>
        <item x="221"/>
        <item x="225"/>
        <item x="360"/>
        <item x="421"/>
        <item x="129"/>
        <item x="374"/>
        <item x="462"/>
        <item x="84"/>
        <item x="201"/>
        <item x="347"/>
        <item x="369"/>
        <item x="491"/>
        <item x="408"/>
        <item x="415"/>
        <item x="422"/>
        <item x="423"/>
        <item x="170"/>
        <item x="453"/>
        <item x="329"/>
        <item x="353"/>
        <item x="152"/>
        <item x="417"/>
        <item x="322"/>
        <item x="142"/>
        <item x="189"/>
        <item x="88"/>
        <item x="112"/>
        <item x="10"/>
        <item x="109"/>
        <item x="136"/>
        <item x="317"/>
        <item x="358"/>
        <item x="77"/>
        <item x="226"/>
        <item x="305"/>
        <item x="312"/>
        <item x="34"/>
        <item x="14"/>
        <item x="33"/>
        <item x="47"/>
        <item x="228"/>
        <item x="259"/>
        <item x="284"/>
        <item x="1"/>
        <item x="70"/>
        <item x="127"/>
        <item x="294"/>
        <item x="289"/>
        <item x="105"/>
        <item x="149"/>
        <item x="124"/>
        <item x="157"/>
        <item x="220"/>
        <item x="46"/>
        <item x="394"/>
        <item x="245"/>
        <item x="254"/>
        <item x="285"/>
        <item x="356"/>
        <item x="428"/>
        <item x="103"/>
        <item x="301"/>
        <item x="43"/>
        <item x="173"/>
        <item x="224"/>
        <item x="320"/>
        <item x="403"/>
        <item x="45"/>
        <item x="178"/>
        <item x="200"/>
        <item x="258"/>
        <item x="194"/>
        <item x="229"/>
        <item x="135"/>
        <item x="188"/>
        <item x="29"/>
        <item x="37"/>
        <item x="67"/>
        <item x="114"/>
        <item x="167"/>
        <item x="204"/>
        <item x="209"/>
        <item x="313"/>
        <item x="378"/>
        <item x="16"/>
        <item x="20"/>
        <item x="413"/>
        <item x="49"/>
        <item x="138"/>
        <item x="148"/>
        <item x="161"/>
        <item x="176"/>
        <item x="180"/>
        <item x="186"/>
        <item x="196"/>
        <item x="182"/>
        <item x="218"/>
        <item x="223"/>
        <item x="233"/>
        <item x="62"/>
        <item x="156"/>
        <item x="255"/>
        <item x="274"/>
        <item x="498"/>
        <item x="94"/>
        <item x="140"/>
        <item x="165"/>
        <item x="190"/>
        <item x="230"/>
        <item x="343"/>
        <item x="362"/>
        <item x="387"/>
        <item x="441"/>
        <item x="446"/>
        <item x="465"/>
        <item x="333"/>
        <item x="443"/>
        <item x="31"/>
        <item x="38"/>
        <item x="139"/>
        <item x="207"/>
        <item x="95"/>
        <item x="104"/>
        <item x="380"/>
        <item x="54"/>
        <item x="193"/>
        <item x="231"/>
        <item x="280"/>
        <item x="430"/>
        <item x="486"/>
        <item x="508"/>
        <item x="177"/>
        <item x="159"/>
        <item x="272"/>
        <item x="39"/>
        <item x="102"/>
        <item x="370"/>
        <item x="340"/>
        <item x="429"/>
        <item x="357"/>
        <item x="83"/>
        <item x="12"/>
        <item x="24"/>
        <item x="248"/>
        <item x="265"/>
        <item x="96"/>
        <item x="107"/>
        <item x="110"/>
        <item x="48"/>
        <item x="256"/>
        <item x="100"/>
        <item x="153"/>
        <item x="338"/>
        <item x="467"/>
        <item x="261"/>
        <item x="365"/>
        <item x="481"/>
        <item x="456"/>
        <item x="472"/>
        <item x="478"/>
        <item x="405"/>
        <item x="56"/>
        <item x="385"/>
        <item x="473"/>
        <item x="501"/>
        <item x="147"/>
        <item x="17"/>
        <item x="22"/>
        <item x="27"/>
        <item x="65"/>
        <item x="74"/>
        <item x="97"/>
        <item x="144"/>
        <item x="146"/>
        <item x="199"/>
        <item x="222"/>
        <item x="237"/>
        <item x="252"/>
        <item x="262"/>
        <item x="263"/>
        <item x="331"/>
        <item x="342"/>
        <item x="367"/>
        <item x="383"/>
        <item x="393"/>
        <item x="410"/>
        <item x="419"/>
        <item x="425"/>
        <item x="438"/>
        <item x="440"/>
        <item x="451"/>
        <item x="470"/>
        <item x="436"/>
        <item x="488"/>
        <item x="503"/>
        <item x="325"/>
        <item x="382"/>
        <item x="299"/>
        <item x="439"/>
        <item x="98"/>
        <item x="171"/>
        <item x="345"/>
        <item x="151"/>
        <item x="311"/>
        <item x="341"/>
        <item x="377"/>
        <item x="399"/>
        <item x="411"/>
        <item x="494"/>
        <item x="497"/>
        <item x="25"/>
        <item x="215"/>
        <item x="295"/>
        <item x="330"/>
        <item x="281"/>
        <item x="334"/>
        <item x="51"/>
        <item x="72"/>
        <item x="78"/>
        <item x="85"/>
        <item x="111"/>
        <item x="141"/>
        <item x="164"/>
        <item x="174"/>
        <item x="234"/>
        <item x="279"/>
        <item x="286"/>
        <item x="298"/>
        <item x="297"/>
        <item x="310"/>
        <item x="332"/>
        <item x="336"/>
        <item x="371"/>
        <item x="426"/>
        <item x="479"/>
        <item x="500"/>
        <item x="19"/>
        <item x="433"/>
        <item x="444"/>
        <item x="397"/>
        <item x="474"/>
        <item x="155"/>
        <item x="208"/>
        <item x="278"/>
        <item x="477"/>
        <item x="476"/>
        <item x="389"/>
        <item x="396"/>
        <item x="409"/>
        <item x="416"/>
        <item x="26"/>
        <item x="214"/>
        <item x="400"/>
        <item x="282"/>
        <item x="306"/>
        <item x="307"/>
        <item x="390"/>
        <item x="120"/>
        <item x="137"/>
        <item x="158"/>
        <item x="434"/>
        <item x="302"/>
        <item x="475"/>
        <item x="244"/>
        <item x="460"/>
        <item x="11"/>
        <item x="91"/>
        <item x="143"/>
        <item x="211"/>
        <item x="235"/>
        <item x="350"/>
        <item x="404"/>
        <item x="414"/>
        <item x="461"/>
        <item x="468"/>
        <item x="191"/>
        <item x="487"/>
        <item x="398"/>
        <item x="406"/>
        <item x="463"/>
        <item x="391"/>
        <item x="505"/>
        <item x="28"/>
        <item x="131"/>
        <item x="197"/>
        <item x="6"/>
        <item x="93"/>
        <item x="314"/>
        <item x="335"/>
        <item x="431"/>
        <item x="175"/>
        <item x="276"/>
        <item x="296"/>
        <item x="205"/>
        <item x="469"/>
        <item x="257"/>
        <item x="480"/>
        <item x="125"/>
        <item x="0"/>
        <item x="5"/>
        <item x="32"/>
        <item x="53"/>
        <item x="55"/>
        <item x="58"/>
        <item x="68"/>
        <item x="79"/>
        <item x="81"/>
        <item x="82"/>
        <item x="134"/>
        <item x="166"/>
        <item x="198"/>
        <item x="206"/>
        <item x="216"/>
        <item x="247"/>
        <item x="268"/>
        <item x="269"/>
        <item x="273"/>
        <item x="283"/>
        <item x="316"/>
        <item x="352"/>
        <item x="452"/>
        <item x="447"/>
        <item x="448"/>
        <item x="484"/>
        <item x="496"/>
        <item x="492"/>
        <item x="359"/>
        <item x="291"/>
        <item x="217"/>
        <item x="483"/>
        <item x="495"/>
        <item x="507"/>
        <item x="264"/>
        <item x="266"/>
        <item x="290"/>
        <item x="485"/>
        <item x="75"/>
        <item x="213"/>
        <item x="270"/>
        <item x="372"/>
        <item x="420"/>
        <item x="92"/>
        <item x="172"/>
        <item x="203"/>
        <item x="373"/>
        <item x="401"/>
        <item x="442"/>
        <item x="450"/>
        <item x="466"/>
        <item x="392"/>
        <item x="90"/>
        <item x="108"/>
        <item x="327"/>
        <item x="457"/>
        <item x="490"/>
        <item x="195"/>
        <item x="271"/>
        <item x="328"/>
        <item x="337"/>
        <item x="482"/>
        <item x="504"/>
        <item x="169"/>
        <item x="368"/>
        <item x="407"/>
        <item x="493"/>
        <item x="386"/>
        <item x="219"/>
        <item x="499"/>
        <item x="287"/>
        <item x="46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06">
        <item x="49"/>
        <item x="152"/>
        <item x="243"/>
        <item x="169"/>
        <item x="191"/>
        <item x="295"/>
        <item x="44"/>
        <item x="17"/>
        <item x="344"/>
        <item x="374"/>
        <item x="265"/>
        <item x="149"/>
        <item x="348"/>
        <item x="287"/>
        <item x="382"/>
        <item x="104"/>
        <item x="73"/>
        <item x="315"/>
        <item x="99"/>
        <item x="328"/>
        <item x="223"/>
        <item x="57"/>
        <item x="199"/>
        <item x="334"/>
        <item x="139"/>
        <item x="297"/>
        <item x="369"/>
        <item x="183"/>
        <item x="310"/>
        <item x="289"/>
        <item x="47"/>
        <item x="317"/>
        <item x="338"/>
        <item x="29"/>
        <item x="383"/>
        <item x="342"/>
        <item x="171"/>
        <item x="316"/>
        <item x="226"/>
        <item x="355"/>
        <item x="298"/>
        <item x="16"/>
        <item x="94"/>
        <item x="134"/>
        <item x="20"/>
        <item x="65"/>
        <item x="105"/>
        <item x="309"/>
        <item x="173"/>
        <item x="122"/>
        <item x="290"/>
        <item x="356"/>
        <item x="242"/>
        <item x="400"/>
        <item x="313"/>
        <item x="399"/>
        <item x="224"/>
        <item x="395"/>
        <item x="240"/>
        <item x="86"/>
        <item x="285"/>
        <item x="40"/>
        <item x="35"/>
        <item x="318"/>
        <item x="208"/>
        <item x="380"/>
        <item x="159"/>
        <item x="312"/>
        <item x="256"/>
        <item x="157"/>
        <item x="124"/>
        <item x="31"/>
        <item x="109"/>
        <item x="97"/>
        <item x="303"/>
        <item x="179"/>
        <item x="142"/>
        <item x="89"/>
        <item x="87"/>
        <item x="308"/>
        <item x="236"/>
        <item x="332"/>
        <item x="322"/>
        <item x="184"/>
        <item x="314"/>
        <item x="19"/>
        <item x="333"/>
        <item x="85"/>
        <item x="63"/>
        <item x="37"/>
        <item x="39"/>
        <item x="48"/>
        <item x="38"/>
        <item x="300"/>
        <item x="319"/>
        <item x="181"/>
        <item x="106"/>
        <item x="150"/>
        <item x="345"/>
        <item x="6"/>
        <item x="28"/>
        <item x="56"/>
        <item x="247"/>
        <item x="138"/>
        <item x="311"/>
        <item x="192"/>
        <item x="351"/>
        <item x="82"/>
        <item x="5"/>
        <item x="376"/>
        <item x="51"/>
        <item x="349"/>
        <item x="254"/>
        <item x="8"/>
        <item x="83"/>
        <item x="158"/>
        <item x="143"/>
        <item x="233"/>
        <item x="211"/>
        <item x="52"/>
        <item x="67"/>
        <item x="341"/>
        <item x="347"/>
        <item x="346"/>
        <item x="381"/>
        <item x="113"/>
        <item x="269"/>
        <item x="141"/>
        <item x="219"/>
        <item x="335"/>
        <item x="132"/>
        <item x="361"/>
        <item x="195"/>
        <item x="163"/>
        <item x="164"/>
        <item x="115"/>
        <item x="50"/>
        <item x="62"/>
        <item x="255"/>
        <item x="53"/>
        <item x="66"/>
        <item x="394"/>
        <item x="202"/>
        <item x="18"/>
        <item x="245"/>
        <item x="190"/>
        <item x="253"/>
        <item x="32"/>
        <item x="178"/>
        <item x="390"/>
        <item x="24"/>
        <item x="174"/>
        <item x="388"/>
        <item x="358"/>
        <item x="42"/>
        <item x="34"/>
        <item x="112"/>
        <item x="225"/>
        <item x="397"/>
        <item x="204"/>
        <item x="60"/>
        <item x="147"/>
        <item x="145"/>
        <item x="116"/>
        <item x="222"/>
        <item x="280"/>
        <item x="260"/>
        <item x="189"/>
        <item x="241"/>
        <item x="175"/>
        <item x="64"/>
        <item x="239"/>
        <item x="101"/>
        <item x="267"/>
        <item x="327"/>
        <item x="120"/>
        <item x="221"/>
        <item x="362"/>
        <item x="93"/>
        <item x="264"/>
        <item x="261"/>
        <item x="96"/>
        <item x="270"/>
        <item x="74"/>
        <item x="0"/>
        <item x="325"/>
        <item x="339"/>
        <item x="7"/>
        <item x="128"/>
        <item x="343"/>
        <item x="130"/>
        <item x="273"/>
        <item x="108"/>
        <item x="114"/>
        <item x="118"/>
        <item x="144"/>
        <item x="283"/>
        <item x="306"/>
        <item x="377"/>
        <item x="279"/>
        <item x="151"/>
        <item x="217"/>
        <item x="198"/>
        <item x="12"/>
        <item x="110"/>
        <item x="121"/>
        <item x="177"/>
        <item x="234"/>
        <item x="263"/>
        <item x="166"/>
        <item x="126"/>
        <item x="384"/>
        <item x="79"/>
        <item x="366"/>
        <item x="336"/>
        <item x="307"/>
        <item x="330"/>
        <item x="257"/>
        <item x="277"/>
        <item x="58"/>
        <item x="214"/>
        <item x="117"/>
        <item x="133"/>
        <item x="251"/>
        <item x="229"/>
        <item x="293"/>
        <item x="404"/>
        <item x="258"/>
        <item x="371"/>
        <item x="172"/>
        <item x="248"/>
        <item x="146"/>
        <item x="275"/>
        <item x="69"/>
        <item x="266"/>
        <item x="33"/>
        <item x="90"/>
        <item x="10"/>
        <item x="131"/>
        <item x="170"/>
        <item x="3"/>
        <item x="102"/>
        <item x="201"/>
        <item x="41"/>
        <item x="92"/>
        <item x="331"/>
        <item x="268"/>
        <item x="36"/>
        <item x="237"/>
        <item x="352"/>
        <item x="231"/>
        <item x="281"/>
        <item x="78"/>
        <item x="286"/>
        <item x="98"/>
        <item x="215"/>
        <item x="25"/>
        <item x="119"/>
        <item x="140"/>
        <item x="326"/>
        <item x="46"/>
        <item x="4"/>
        <item x="188"/>
        <item x="186"/>
        <item x="324"/>
        <item x="282"/>
        <item x="162"/>
        <item x="392"/>
        <item x="75"/>
        <item x="77"/>
        <item x="180"/>
        <item x="153"/>
        <item x="259"/>
        <item x="368"/>
        <item x="160"/>
        <item x="70"/>
        <item x="227"/>
        <item x="367"/>
        <item x="111"/>
        <item x="238"/>
        <item x="244"/>
        <item x="370"/>
        <item x="357"/>
        <item x="299"/>
        <item x="276"/>
        <item x="1"/>
        <item x="76"/>
        <item x="252"/>
        <item x="228"/>
        <item x="296"/>
        <item x="125"/>
        <item x="402"/>
        <item x="72"/>
        <item x="22"/>
        <item x="385"/>
        <item x="401"/>
        <item x="249"/>
        <item x="386"/>
        <item x="80"/>
        <item x="360"/>
        <item x="250"/>
        <item x="216"/>
        <item x="274"/>
        <item x="353"/>
        <item x="321"/>
        <item x="372"/>
        <item x="155"/>
        <item x="359"/>
        <item x="193"/>
        <item x="27"/>
        <item x="161"/>
        <item x="235"/>
        <item x="230"/>
        <item x="396"/>
        <item x="323"/>
        <item x="43"/>
        <item x="45"/>
        <item x="100"/>
        <item x="165"/>
        <item x="135"/>
        <item x="55"/>
        <item x="156"/>
        <item x="197"/>
        <item x="91"/>
        <item x="379"/>
        <item x="207"/>
        <item x="54"/>
        <item x="13"/>
        <item x="95"/>
        <item x="176"/>
        <item x="278"/>
        <item x="403"/>
        <item x="294"/>
        <item x="88"/>
        <item x="209"/>
        <item x="196"/>
        <item x="337"/>
        <item x="205"/>
        <item x="301"/>
        <item x="26"/>
        <item x="212"/>
        <item x="262"/>
        <item x="393"/>
        <item x="182"/>
        <item x="68"/>
        <item x="23"/>
        <item x="123"/>
        <item x="398"/>
        <item x="354"/>
        <item x="2"/>
        <item x="288"/>
        <item x="21"/>
        <item x="129"/>
        <item x="30"/>
        <item x="14"/>
        <item x="389"/>
        <item x="84"/>
        <item x="11"/>
        <item x="378"/>
        <item x="305"/>
        <item x="203"/>
        <item x="271"/>
        <item x="232"/>
        <item x="363"/>
        <item x="206"/>
        <item x="81"/>
        <item x="107"/>
        <item x="185"/>
        <item x="291"/>
        <item x="364"/>
        <item x="365"/>
        <item x="9"/>
        <item x="387"/>
        <item x="168"/>
        <item x="284"/>
        <item x="136"/>
        <item x="218"/>
        <item x="137"/>
        <item x="127"/>
        <item x="272"/>
        <item x="148"/>
        <item x="194"/>
        <item x="220"/>
        <item x="304"/>
        <item x="187"/>
        <item x="350"/>
        <item x="391"/>
        <item x="320"/>
        <item x="71"/>
        <item x="375"/>
        <item x="154"/>
        <item x="246"/>
        <item x="292"/>
        <item x="59"/>
        <item x="373"/>
        <item x="213"/>
        <item x="15"/>
        <item x="302"/>
        <item x="329"/>
        <item x="200"/>
        <item x="210"/>
        <item x="340"/>
        <item x="103"/>
        <item x="167"/>
        <item x="6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 t="grand">
      <x/>
    </i>
  </rowItems>
  <colItems count="1">
    <i/>
  </colItems>
  <dataFields count="1">
    <dataField name="Count of tune_n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83A0B9-CB15-E341-A20F-64A2FA960CE6}" name="Table2" displayName="Table2" ref="A1:P763" totalsRowShown="0">
  <autoFilter ref="A1:P763" xr:uid="{6D3CF6E8-9F15-0B40-8836-30E485499EDD}"/>
  <tableColumns count="16">
    <tableColumn id="1" xr3:uid="{0437BD00-5697-F44A-AEF7-61DEE82E1DF9}" name="tune_no"/>
    <tableColumn id="2" xr3:uid="{65F0F8BB-CD55-2643-9349-894AA6A85BCF}" name="tune_name"/>
    <tableColumn id="3" xr3:uid="{294F0252-5D08-1745-9182-DE864B483DFD}" name="tune_meter"/>
    <tableColumn id="15" xr3:uid="{14D435C3-6F69-CB41-B19A-3376D549FD3E}" name="MeterLookup" dataDxfId="11">
      <calculatedColumnFormula>IFERROR(VLOOKUP(Table2[[#This Row],[tune_meter]],Table1[#All],3,FALSE),"NONE")</calculatedColumnFormula>
    </tableColumn>
    <tableColumn id="4" xr3:uid="{5B35CAAB-AD0C-554F-8453-36F1D5B27021}" name="alt_meter"/>
    <tableColumn id="5" xr3:uid="{E2F2AF70-5F45-B44D-97FE-57A5F5FB7F2E}" name="tune_book"/>
    <tableColumn id="13" xr3:uid="{80B33ACB-246F-DA40-A9DA-A6A594CA8B3B}" name="Book Name" dataDxfId="10">
      <calculatedColumnFormula>IF(Table2[[#This Row],[tune_book]]="LFTBs","Red Book","Green Book")</calculatedColumnFormula>
    </tableColumn>
    <tableColumn id="6" xr3:uid="{BDA201A7-D91B-2345-90D0-419A43DAAA56}" name="tune_author"/>
    <tableColumn id="7" xr3:uid="{72C5721F-BA78-E045-A89C-D863C999C4E2}" name="file_name"/>
    <tableColumn id="12" xr3:uid="{9713E535-4438-B249-AFF6-2804271BFF72}" name="mp3_file" dataDxfId="9">
      <calculatedColumnFormula>Table2[[#This Row],[file_name]]&amp;".mp3"</calculatedColumnFormula>
    </tableColumn>
    <tableColumn id="18" xr3:uid="{39D5AAE2-F0C6-6542-86FD-04F607E512FB}" name="Year" dataDxfId="8"/>
    <tableColumn id="8" xr3:uid="{984225ED-C411-B54C-A513-920CF26D7282}" name="note"/>
    <tableColumn id="9" xr3:uid="{823960BF-A79D-174E-8944-02D76BE46ED1}" name="tune_pk"/>
    <tableColumn id="10" xr3:uid="{93E455B9-1D51-6C45-B041-0FD257ED9C82}" name="Tune Link" dataDxfId="7">
      <calculatedColumnFormula>IF(ISERROR(VLOOKUP(Table2[[#This Row],[mp3_file]],Table3[#All],2,FALSE)),"No matching tune",HYPERLINK(VLOOKUP(Table2[[#This Row],[mp3_file]],Table3[#All],3,FALSE),Table2[[#This Row],[tune_name]]))</calculatedColumnFormula>
    </tableColumn>
    <tableColumn id="11" xr3:uid="{B5613C74-B0EB-8349-9FD9-AE363D2C7E39}" name="Set Attributes" dataDxfId="6">
      <calculatedColumnFormula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calculatedColumnFormula>
    </tableColumn>
    <tableColumn id="14" xr3:uid="{ED9818D0-BFBD-3E40-8654-7157974EF9A2}" name="TuneURL" dataDxfId="5">
      <calculatedColumnFormula>VLOOKUP(Table2[[#This Row],[mp3_file]],Table3[#All],3,FALSE)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F4FC5E-A7A3-5A4E-B142-ACD4CA992D41}" name="Table4" displayName="Table4" ref="A1:H50" totalsRowShown="0">
  <autoFilter ref="A1:H50" xr:uid="{3C212DBD-2FAF-7F42-8784-2712659BD743}"/>
  <sortState xmlns:xlrd2="http://schemas.microsoft.com/office/spreadsheetml/2017/richdata2" ref="A2:H50">
    <sortCondition ref="B1:B50"/>
  </sortState>
  <tableColumns count="8">
    <tableColumn id="8" xr3:uid="{AE43A98C-1B6A-6540-97F2-57A7CE09C74C}" name="Tune No"/>
    <tableColumn id="1" xr3:uid="{C7DA61F1-F351-7349-B353-70367770140D}" name="Tune Name"/>
    <tableColumn id="4" xr3:uid="{E39EC026-6115-5845-8672-22ED1ECA0C03}" name="Meter"/>
    <tableColumn id="5" xr3:uid="{4C0762EB-8696-0148-8E26-C947F78498A9}" name="MeterId">
      <calculatedColumnFormula>IFERROR(VLOOKUP(Table4[[#This Row],[Meter]],Table1[#All],3,FALSE),"NONE")</calculatedColumnFormula>
    </tableColumn>
    <tableColumn id="12" xr3:uid="{59792057-21A4-EB4E-9F10-594159B1E6DA}" name="Alt_Meter"/>
    <tableColumn id="3" xr3:uid="{0FC82109-E777-8D45-ADAC-66EFDDCC57E5}" name="Book"/>
    <tableColumn id="6" xr3:uid="{CCAB23D1-DFD1-B042-9BCE-0F77D7111836}" name="tune_Author"/>
    <tableColumn id="7" xr3:uid="{94619DC1-D5AD-474E-AA18-06D8A5B16046}" name="Note" dataDxfId="4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992049-BA94-6043-BF7B-C074CA127588}" name="Table1" displayName="Table1" ref="A1:F115" totalsRowShown="0">
  <autoFilter ref="A1:F115" xr:uid="{161AF1CB-077D-5948-9A8C-B0C9D81C1B18}">
    <filterColumn colId="0">
      <filters>
        <filter val="6.6.6.6.8.8."/>
        <filter val="6.6.8.4."/>
        <filter val="6.6.8.4.6.6.8.4."/>
        <filter val="6.6.8.6."/>
        <filter val="6.6.8.6.6.6.8.6."/>
        <filter val="6.6.8.6.6.8."/>
      </filters>
    </filterColumn>
  </autoFilter>
  <sortState xmlns:xlrd2="http://schemas.microsoft.com/office/spreadsheetml/2017/richdata2" ref="B2:F114">
    <sortCondition ref="B2:B115"/>
  </sortState>
  <tableColumns count="6">
    <tableColumn id="6" xr3:uid="{C4DE10A4-6B34-0743-ADDF-71DB0F2072FC}" name="Key" dataDxfId="3" dataCellStyle="Normal 2">
      <calculatedColumnFormula>IF(Table1[[#This Row],[Rhythm]]="",Table1[Meter],Table1[[#This Row],[Meter]]&amp;" "&amp;Table1[[#This Row],[Rhythm]])&amp;IF(Table1[[#This Row],[Alt]]="",""," Chorus "&amp;Table1[[#This Row],[Alt]])</calculatedColumnFormula>
    </tableColumn>
    <tableColumn id="1" xr3:uid="{66058EF5-6008-644C-8E93-FE3700656BE7}" name="Meter"/>
    <tableColumn id="2" xr3:uid="{FD627557-4A3B-FD48-B1B2-E1AD6A9C97FF}" name="MeterId"/>
    <tableColumn id="3" xr3:uid="{AFCF32EF-0BC8-824C-BB58-A9DF31E6352D}" name="Rhythm"/>
    <tableColumn id="4" xr3:uid="{184F2473-5A6D-884F-98B5-F1BE4FE14D4A}" name="Alt"/>
    <tableColumn id="5" xr3:uid="{4037EE2C-E7B0-9B47-96DF-1E34CD125A8A}" name="Sor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69BABD-EBF8-4042-AB4F-F52D816D179C}" name="Table3" displayName="Table3" ref="A1:C787" totalsRowShown="0" headerRowDxfId="2" headerRowCellStyle="Hyperlink" dataCellStyle="Hyperlink">
  <autoFilter ref="A1:C787" xr:uid="{5EE4B1C7-8121-BD48-9C21-6661ED236E38}"/>
  <tableColumns count="3">
    <tableColumn id="1" xr3:uid="{D8B10FC8-3A92-FD45-9FA5-80DBE1AAB28A}" name="File"/>
    <tableColumn id="3" xr3:uid="{65BDD018-CF88-5343-8848-B949C6D1B125}" name="URL" dataDxfId="1" dataCellStyle="Hyperlink">
      <calculatedColumnFormula>geturl(Table3[[#This Row],[File]])</calculatedColumnFormula>
    </tableColumn>
    <tableColumn id="2" xr3:uid="{5516DF9E-7F91-1A40-A626-26CB6AF54F13}" name="Raw" dataDxfId="0" dataCellStyle="Hyperlink">
      <calculatedColumnFormula>LEFT(Table3[[#This Row],[URL]],LEN(Table3[[#This Row],[URL]])-4)&amp;"raw=1"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ropbox.com/sh/cx7tus4mgkt9o4n/AABw1c1ihifQnG1nYJf6a8dra/50g.mid.mp3?dl=0" TargetMode="External"/><Relationship Id="rId671" Type="http://schemas.openxmlformats.org/officeDocument/2006/relationships/hyperlink" Target="https://www.dropbox.com/sh/cx7tus4mgkt9o4n/AABHe4DAdwAVxXM2tzsWE0vAa/416g.mid.mp3?dl=0" TargetMode="External"/><Relationship Id="rId769" Type="http://schemas.openxmlformats.org/officeDocument/2006/relationships/hyperlink" Target="https://www.dropbox.com/sh/cx7tus4mgkt9o4n/AACSlNanZGgnT2os5c6o0rL9a/533g.mid.mp3?dl=0" TargetMode="External"/><Relationship Id="rId21" Type="http://schemas.openxmlformats.org/officeDocument/2006/relationships/hyperlink" Target="https://www.dropbox.com/sh/cx7tus4mgkt9o4n/AAAetPb2BwfMc_udiaZRlm9_a/6r.mid.mp3?dl=0" TargetMode="External"/><Relationship Id="rId324" Type="http://schemas.openxmlformats.org/officeDocument/2006/relationships/hyperlink" Target="https://www.dropbox.com/sh/cx7tus4mgkt9o4n/AADmf3OPDWMRWp6tdPX7ghrMa/163r.mid.mp3?dl=0" TargetMode="External"/><Relationship Id="rId531" Type="http://schemas.openxmlformats.org/officeDocument/2006/relationships/hyperlink" Target="https://www.dropbox.com/sh/cx7tus4mgkt9o4n/AACkimhyu7mUNzOObLZM55_aa/274r.mid.mp3?dl=0" TargetMode="External"/><Relationship Id="rId629" Type="http://schemas.openxmlformats.org/officeDocument/2006/relationships/hyperlink" Target="https://www.dropbox.com/sh/cx7tus4mgkt9o4n/AADDwi0bV8cj5VjuZ_hBXdfQa/366g.mid.mp3?dl=0" TargetMode="External"/><Relationship Id="rId170" Type="http://schemas.openxmlformats.org/officeDocument/2006/relationships/hyperlink" Target="https://www.dropbox.com/sh/cx7tus4mgkt9o4n/AADQFlmKJUknm4mKcuEmxx1_a/78r.mid.mp3?dl=0" TargetMode="External"/><Relationship Id="rId268" Type="http://schemas.openxmlformats.org/officeDocument/2006/relationships/hyperlink" Target="https://www.dropbox.com/sh/cx7tus4mgkt9o4n/AACgCkBBs1chvVYUPSSxlBOLa/133r.mid.mp3?dl=0" TargetMode="External"/><Relationship Id="rId475" Type="http://schemas.openxmlformats.org/officeDocument/2006/relationships/hyperlink" Target="https://www.dropbox.com/sh/cx7tus4mgkt9o4n/AABc2NhuQqC7X5nWE_cvjZuUa/244r.mid.mp3?dl=0" TargetMode="External"/><Relationship Id="rId682" Type="http://schemas.openxmlformats.org/officeDocument/2006/relationships/hyperlink" Target="https://www.dropbox.com/sh/cx7tus4mgkt9o4n/AAAaxwO5r6mrPu-EyRDpbqmUa/427g.mid.mp3?dl=0" TargetMode="External"/><Relationship Id="rId32" Type="http://schemas.openxmlformats.org/officeDocument/2006/relationships/hyperlink" Target="https://www.dropbox.com/sh/cx7tus4mgkt9o4n/AACK6l_JyxjNV0ScKznKe3DLa/11r.mid.mp3?dl=0" TargetMode="External"/><Relationship Id="rId128" Type="http://schemas.openxmlformats.org/officeDocument/2006/relationships/hyperlink" Target="https://www.dropbox.com/sh/cx7tus4mgkt9o4n/AACQX-lcu1iv-BDwGvWY91k7a/55r.mid.mp3?dl=0" TargetMode="External"/><Relationship Id="rId335" Type="http://schemas.openxmlformats.org/officeDocument/2006/relationships/hyperlink" Target="https://www.dropbox.com/sh/cx7tus4mgkt9o4n/AAAuW8kigoasHsyhuIZj7pMua/169g.mid.mp3?dl=0" TargetMode="External"/><Relationship Id="rId542" Type="http://schemas.openxmlformats.org/officeDocument/2006/relationships/hyperlink" Target="https://www.dropbox.com/sh/cx7tus4mgkt9o4n/AADH0Ms5yzUxLFvNXIkM2PhMa/281r.mid.mp3?dl=0" TargetMode="External"/><Relationship Id="rId181" Type="http://schemas.openxmlformats.org/officeDocument/2006/relationships/hyperlink" Target="https://www.dropbox.com/sh/cx7tus4mgkt9o4n/AAA3y2tbjIrR69qGTYJEeV3Ya/84r.mid.mp3?dl=0" TargetMode="External"/><Relationship Id="rId402" Type="http://schemas.openxmlformats.org/officeDocument/2006/relationships/hyperlink" Target="https://www.dropbox.com/sh/cx7tus4mgkt9o4n/AAByTQbf-4quQnSIzLXFywLua/204r.mid.mp3?dl=0" TargetMode="External"/><Relationship Id="rId279" Type="http://schemas.openxmlformats.org/officeDocument/2006/relationships/hyperlink" Target="https://www.dropbox.com/sh/cx7tus4mgkt9o4n/AADcWJqH_PlTRbQqzjOPZlDGa/139r.mid.mp3?dl=0" TargetMode="External"/><Relationship Id="rId486" Type="http://schemas.openxmlformats.org/officeDocument/2006/relationships/hyperlink" Target="https://www.dropbox.com/sh/cx7tus4mgkt9o4n/AAB8sUz9BjCIuCO9PRNJHA0pa/250r.mid.mp3?dl=0" TargetMode="External"/><Relationship Id="rId693" Type="http://schemas.openxmlformats.org/officeDocument/2006/relationships/hyperlink" Target="https://www.dropbox.com/sh/cx7tus4mgkt9o4n/AADUW25bq8icGtkHUbcOULABa/442g.mid.mp3?dl=0" TargetMode="External"/><Relationship Id="rId707" Type="http://schemas.openxmlformats.org/officeDocument/2006/relationships/hyperlink" Target="https://www.dropbox.com/sh/cx7tus4mgkt9o4n/AABHrMx8kQsFoaaQOl8w47l_a/458g.mid.mp3?dl=0" TargetMode="External"/><Relationship Id="rId43" Type="http://schemas.openxmlformats.org/officeDocument/2006/relationships/hyperlink" Target="https://www.dropbox.com/sh/cx7tus4mgkt9o4n/AADzrQjPG94088BWp116SoTca/17r.mid.mp3?dl=0" TargetMode="External"/><Relationship Id="rId139" Type="http://schemas.openxmlformats.org/officeDocument/2006/relationships/hyperlink" Target="https://www.dropbox.com/sh/cx7tus4mgkt9o4n/AAC9hx98ApWqGxcgtSbbK6oZa/61r.mid.mp3?dl=0" TargetMode="External"/><Relationship Id="rId346" Type="http://schemas.openxmlformats.org/officeDocument/2006/relationships/hyperlink" Target="https://www.dropbox.com/sh/cx7tus4mgkt9o4n/AADu3xMrx0Ig2FfI1bk7sl7ta/174r.mid.mp3?dl=0" TargetMode="External"/><Relationship Id="rId553" Type="http://schemas.openxmlformats.org/officeDocument/2006/relationships/hyperlink" Target="https://www.dropbox.com/sh/cx7tus4mgkt9o4n/AAAKnOKn1CWmlgnuDtUThs5Da/287g.mid.mp3?dl=0" TargetMode="External"/><Relationship Id="rId760" Type="http://schemas.openxmlformats.org/officeDocument/2006/relationships/hyperlink" Target="https://www.dropbox.com/sh/cx7tus4mgkt9o4n/AAC9-Z1bW_ZVR0FyuW-A4JPSa/523g.mid.mp3?dl=0" TargetMode="External"/><Relationship Id="rId192" Type="http://schemas.openxmlformats.org/officeDocument/2006/relationships/hyperlink" Target="https://www.dropbox.com/sh/cx7tus4mgkt9o4n/AAAQK3RyNey6XuCq4UXNwNkCa/90g.mid.mp3?dl=0" TargetMode="External"/><Relationship Id="rId206" Type="http://schemas.openxmlformats.org/officeDocument/2006/relationships/hyperlink" Target="https://www.dropbox.com/sh/cx7tus4mgkt9o4n/AABHY14f8vqz3dUfUHhVW8MAa/100g.mid.mp3?dl=0" TargetMode="External"/><Relationship Id="rId413" Type="http://schemas.openxmlformats.org/officeDocument/2006/relationships/hyperlink" Target="https://www.dropbox.com/sh/cx7tus4mgkt9o4n/AAAsyacy9v6Gaes_QU58V9EOa/211r.mid.mp3?dl=0" TargetMode="External"/><Relationship Id="rId497" Type="http://schemas.openxmlformats.org/officeDocument/2006/relationships/hyperlink" Target="https://www.dropbox.com/sh/cx7tus4mgkt9o4n/AACcDDQpPop96QsMaQ08IGlea/256g.mid.mp3?dl=0" TargetMode="External"/><Relationship Id="rId620" Type="http://schemas.openxmlformats.org/officeDocument/2006/relationships/hyperlink" Target="https://www.dropbox.com/sh/cx7tus4mgkt9o4n/AADFjRfi3OnOiGu35JQ9uToRa/356.mid.mp3?dl=0" TargetMode="External"/><Relationship Id="rId718" Type="http://schemas.openxmlformats.org/officeDocument/2006/relationships/hyperlink" Target="https://www.dropbox.com/sh/cx7tus4mgkt9o4n/AABNqIfCFfBFHcCJhw5Cdnhba/470g.mid.mp3?dl=0" TargetMode="External"/><Relationship Id="rId357" Type="http://schemas.openxmlformats.org/officeDocument/2006/relationships/hyperlink" Target="https://www.dropbox.com/sh/cx7tus4mgkt9o4n/AAA4AcxpblMbmrofkPn3G4DGa/181g.mid.mp3?dl=0" TargetMode="External"/><Relationship Id="rId54" Type="http://schemas.openxmlformats.org/officeDocument/2006/relationships/hyperlink" Target="https://www.dropbox.com/sh/cx7tus4mgkt9o4n/AAADk8GmvBdkabNpfCeGpxpma/20r.mid.mp3?dl=0" TargetMode="External"/><Relationship Id="rId217" Type="http://schemas.openxmlformats.org/officeDocument/2006/relationships/hyperlink" Target="https://www.dropbox.com/sh/cx7tus4mgkt9o4n/AAC2q0lRdtOwRWEjdEKuOVIYa/105r.mid.mp3?dl=0" TargetMode="External"/><Relationship Id="rId564" Type="http://schemas.openxmlformats.org/officeDocument/2006/relationships/hyperlink" Target="https://www.dropbox.com/sh/cx7tus4mgkt9o4n/AAC_LZgsQh_bvAsoCNXzxnaRa/292r.mid.mp3?dl=0" TargetMode="External"/><Relationship Id="rId771" Type="http://schemas.openxmlformats.org/officeDocument/2006/relationships/hyperlink" Target="https://www.dropbox.com/sh/cx7tus4mgkt9o4n/AAAdSqv0p5M5HH0-fKJ4qEhZa/536g.mid.mp3?dl=0" TargetMode="External"/><Relationship Id="rId424" Type="http://schemas.openxmlformats.org/officeDocument/2006/relationships/hyperlink" Target="https://www.dropbox.com/sh/cx7tus4mgkt9o4n/AADe7pwua95RkBHqVlHnJ6rLa/217g.mid.mp3?dl=0" TargetMode="External"/><Relationship Id="rId631" Type="http://schemas.openxmlformats.org/officeDocument/2006/relationships/hyperlink" Target="https://www.dropbox.com/sh/cx7tus4mgkt9o4n/AAC9Gvng9mtcdIuW1-Z49McOa/368g.mid.mp3?dl=0" TargetMode="External"/><Relationship Id="rId729" Type="http://schemas.openxmlformats.org/officeDocument/2006/relationships/hyperlink" Target="https://www.dropbox.com/sh/cx7tus4mgkt9o4n/AAAXMyOMEMZpq6QXRECXDmZxa/483g.mid.mp3?dl=0" TargetMode="External"/><Relationship Id="rId270" Type="http://schemas.openxmlformats.org/officeDocument/2006/relationships/hyperlink" Target="https://www.dropbox.com/sh/cx7tus4mgkt9o4n/AAAzkrg_ZDesaa4AuYdjp2FGa/134r.mid.mp3?dl=0" TargetMode="External"/><Relationship Id="rId65" Type="http://schemas.openxmlformats.org/officeDocument/2006/relationships/hyperlink" Target="https://www.dropbox.com/sh/cx7tus4mgkt9o4n/AAAgB8qyxRSJ9xQGe5E_pBHea/24g.mid.mp3?dl=0" TargetMode="External"/><Relationship Id="rId130" Type="http://schemas.openxmlformats.org/officeDocument/2006/relationships/hyperlink" Target="https://www.dropbox.com/sh/cx7tus4mgkt9o4n/AACSI1qMCCBNeAgBuWqh1xtLa/56r.mid.mp3?dl=0" TargetMode="External"/><Relationship Id="rId368" Type="http://schemas.openxmlformats.org/officeDocument/2006/relationships/hyperlink" Target="https://www.dropbox.com/sh/cx7tus4mgkt9o4n/AACoJupiFoNPmAWV7KWN2naVa/186r.mid.mp3?dl=0" TargetMode="External"/><Relationship Id="rId575" Type="http://schemas.openxmlformats.org/officeDocument/2006/relationships/hyperlink" Target="https://www.dropbox.com/sh/cx7tus4mgkt9o4n/AAAhiGWTBGxXjV8dg32PaPyha/298g.mid.mp3?dl=0" TargetMode="External"/><Relationship Id="rId782" Type="http://schemas.openxmlformats.org/officeDocument/2006/relationships/hyperlink" Target="https://www.dropbox.com/sh/cx7tus4mgkt9o4n/AACAFliUMTWuyoD9Im1cbGPMa/548g.mid.mp3?dl=0" TargetMode="External"/><Relationship Id="rId228" Type="http://schemas.openxmlformats.org/officeDocument/2006/relationships/hyperlink" Target="https://www.dropbox.com/sh/cx7tus4mgkt9o4n/AADXP-bPpL0h0t-qa91VgK6Ca/111g.mid.mp3?dl=0" TargetMode="External"/><Relationship Id="rId435" Type="http://schemas.openxmlformats.org/officeDocument/2006/relationships/hyperlink" Target="https://www.dropbox.com/sh/cx7tus4mgkt9o4n/AAD0RluSw_thkol_yuQ5SHnYa/223g.mid.mp3?dl=0" TargetMode="External"/><Relationship Id="rId642" Type="http://schemas.openxmlformats.org/officeDocument/2006/relationships/hyperlink" Target="https://www.dropbox.com/sh/cx7tus4mgkt9o4n/AAC3eky5hjJQFZsDFdyv4kaIa/379g.mid.mp3?dl=0" TargetMode="External"/><Relationship Id="rId281" Type="http://schemas.openxmlformats.org/officeDocument/2006/relationships/hyperlink" Target="https://www.dropbox.com/sh/cx7tus4mgkt9o4n/AACGh4KoC4oXn4DhJ3eTrx5Da/140r.mid.mp3?dl=0" TargetMode="External"/><Relationship Id="rId502" Type="http://schemas.openxmlformats.org/officeDocument/2006/relationships/hyperlink" Target="https://www.dropbox.com/sh/cx7tus4mgkt9o4n/AAAuyie73QdJzvxsCBOge1RGa/258r.mid.mp3?dl=0" TargetMode="External"/><Relationship Id="rId76" Type="http://schemas.openxmlformats.org/officeDocument/2006/relationships/hyperlink" Target="https://www.dropbox.com/sh/cx7tus4mgkt9o4n/AABmG-jenaFSyao2JhHTqirda/29g.mp3?dl=0" TargetMode="External"/><Relationship Id="rId141" Type="http://schemas.openxmlformats.org/officeDocument/2006/relationships/hyperlink" Target="https://www.dropbox.com/sh/cx7tus4mgkt9o4n/AABKW_7pZi_PFy344n_M9H_sa/62r.mid.mp3?dl=0" TargetMode="External"/><Relationship Id="rId379" Type="http://schemas.openxmlformats.org/officeDocument/2006/relationships/hyperlink" Target="https://www.dropbox.com/sh/cx7tus4mgkt9o4n/AADumqDY6BuncwTRzmS4NkkIa/192g.mid.mp3?dl=0" TargetMode="External"/><Relationship Id="rId586" Type="http://schemas.openxmlformats.org/officeDocument/2006/relationships/hyperlink" Target="https://www.dropbox.com/sh/cx7tus4mgkt9o4n/AAC5sjLADWfFN06z_4FAzOrba/313g.mid.mp3?dl=0" TargetMode="External"/><Relationship Id="rId7" Type="http://schemas.openxmlformats.org/officeDocument/2006/relationships/hyperlink" Target="https://www.dropbox.com/sh/cx7tus4mgkt9o4n/AACIgD545GM_7t2sYkgQ9--ja/2r.mid.mp3?dl=0" TargetMode="External"/><Relationship Id="rId239" Type="http://schemas.openxmlformats.org/officeDocument/2006/relationships/hyperlink" Target="https://www.dropbox.com/sh/cx7tus4mgkt9o4n/AADPEIcNMkOWGvMYnZgkLMp0a/117g.mid.mp3?dl=0" TargetMode="External"/><Relationship Id="rId446" Type="http://schemas.openxmlformats.org/officeDocument/2006/relationships/hyperlink" Target="https://www.dropbox.com/sh/cx7tus4mgkt9o4n/AACKKN1hKw1OzLeBNLQ7dSmRa/229g.mid.mp3?dl=0" TargetMode="External"/><Relationship Id="rId653" Type="http://schemas.openxmlformats.org/officeDocument/2006/relationships/hyperlink" Target="https://www.dropbox.com/sh/cx7tus4mgkt9o4n/AABDEJIhaJatflBcB0zcpQt9a/395g.mid.mp3?dl=0" TargetMode="External"/><Relationship Id="rId292" Type="http://schemas.openxmlformats.org/officeDocument/2006/relationships/hyperlink" Target="https://www.dropbox.com/sh/cx7tus4mgkt9o4n/AACHwqwFHppVpmUzjT6ZkSE1a/146r.mid.mp3?dl=0" TargetMode="External"/><Relationship Id="rId306" Type="http://schemas.openxmlformats.org/officeDocument/2006/relationships/hyperlink" Target="https://www.dropbox.com/sh/cx7tus4mgkt9o4n/AACf0vYlN_ZatUEH4RzAhR-la/153r.mid.mp3?dl=0" TargetMode="External"/><Relationship Id="rId87" Type="http://schemas.openxmlformats.org/officeDocument/2006/relationships/hyperlink" Target="https://www.dropbox.com/sh/cx7tus4mgkt9o4n/AACFGVOko6dulJPfXB85kHu4a/34r.mid.mp3?dl=0" TargetMode="External"/><Relationship Id="rId513" Type="http://schemas.openxmlformats.org/officeDocument/2006/relationships/hyperlink" Target="https://www.dropbox.com/sh/cx7tus4mgkt9o4n/AACFIptbld1x1lykNMdvfAEga/264r.mid.mp3?dl=0" TargetMode="External"/><Relationship Id="rId597" Type="http://schemas.openxmlformats.org/officeDocument/2006/relationships/hyperlink" Target="https://www.dropbox.com/sh/cx7tus4mgkt9o4n/AAAFxkR28dh0QzJObwmEYE80a/325g.mid.mp3?dl=0" TargetMode="External"/><Relationship Id="rId720" Type="http://schemas.openxmlformats.org/officeDocument/2006/relationships/hyperlink" Target="https://www.dropbox.com/sh/cx7tus4mgkt9o4n/AACqFc7BeCEICQKl5rvg15wva/472g.mid.mp3?dl=0" TargetMode="External"/><Relationship Id="rId152" Type="http://schemas.openxmlformats.org/officeDocument/2006/relationships/hyperlink" Target="https://www.dropbox.com/sh/cx7tus4mgkt9o4n/AACt33JWhTPHr7aDKKbWuHjDa/68g.mid.mp3?dl=0" TargetMode="External"/><Relationship Id="rId457" Type="http://schemas.openxmlformats.org/officeDocument/2006/relationships/hyperlink" Target="https://www.dropbox.com/sh/cx7tus4mgkt9o4n/AADn99pIVYJe7goCZ4rAwOO_a/235g.mid.mp3?dl=0" TargetMode="External"/><Relationship Id="rId664" Type="http://schemas.openxmlformats.org/officeDocument/2006/relationships/hyperlink" Target="https://www.dropbox.com/sh/cx7tus4mgkt9o4n/AABkZkFvhFLGFXw9OjaGsQHQa/408g.mid.mp3?dl=0" TargetMode="External"/><Relationship Id="rId14" Type="http://schemas.openxmlformats.org/officeDocument/2006/relationships/hyperlink" Target="https://www.dropbox.com/sh/cx7tus4mgkt9o4n/AACfZzJghSD-eNg2RAIZZ2fJa/4g.mid.mp3?dl=0" TargetMode="External"/><Relationship Id="rId317" Type="http://schemas.openxmlformats.org/officeDocument/2006/relationships/hyperlink" Target="https://www.dropbox.com/sh/cx7tus4mgkt9o4n/AABDdm685gI14ArD4Xd5qpU3a/159r.mid.mp3?dl=0" TargetMode="External"/><Relationship Id="rId524" Type="http://schemas.openxmlformats.org/officeDocument/2006/relationships/hyperlink" Target="https://www.dropbox.com/sh/cx7tus4mgkt9o4n/AADeDFdTdvYrxwR6CUF6uGaza/270r.mid.mp3?dl=0" TargetMode="External"/><Relationship Id="rId731" Type="http://schemas.openxmlformats.org/officeDocument/2006/relationships/hyperlink" Target="https://www.dropbox.com/sh/cx7tus4mgkt9o4n/AAAam0Ni2zRPdjqu8hAMpLaga/486g.mid.mp3?dl=0" TargetMode="External"/><Relationship Id="rId98" Type="http://schemas.openxmlformats.org/officeDocument/2006/relationships/hyperlink" Target="https://www.dropbox.com/sh/cx7tus4mgkt9o4n/AACYJHI3ipDfFF6e1gDMmRKua/40g.mid.mp3?dl=0" TargetMode="External"/><Relationship Id="rId163" Type="http://schemas.openxmlformats.org/officeDocument/2006/relationships/hyperlink" Target="https://www.dropbox.com/sh/cx7tus4mgkt9o4n/AAAAolpBtbcdRVO30Qc4iUsMa/74g.mid.mp3?dl=0" TargetMode="External"/><Relationship Id="rId370" Type="http://schemas.openxmlformats.org/officeDocument/2006/relationships/hyperlink" Target="https://www.dropbox.com/sh/cx7tus4mgkt9o4n/AADO53DOEU6oLjQ3cABwtPpca/187r.mid.mp3?dl=0" TargetMode="External"/><Relationship Id="rId230" Type="http://schemas.openxmlformats.org/officeDocument/2006/relationships/hyperlink" Target="https://www.dropbox.com/sh/cx7tus4mgkt9o4n/AACsXTNDY07cQpr9oKsbtrRna/112g.mid.mp3?dl=0" TargetMode="External"/><Relationship Id="rId468" Type="http://schemas.openxmlformats.org/officeDocument/2006/relationships/hyperlink" Target="https://www.dropbox.com/sh/cx7tus4mgkt9o4n/AAARgb0M8-OgpVWxixFhSLsoa/240r.mid.mp3?dl=0" TargetMode="External"/><Relationship Id="rId675" Type="http://schemas.openxmlformats.org/officeDocument/2006/relationships/hyperlink" Target="https://www.dropbox.com/sh/cx7tus4mgkt9o4n/AAAYlsO9dSA4ecgtrXHLKYs9a/420g.mid.mp3?dl=0" TargetMode="External"/><Relationship Id="rId25" Type="http://schemas.openxmlformats.org/officeDocument/2006/relationships/hyperlink" Target="https://www.dropbox.com/sh/cx7tus4mgkt9o4n/AABdy_TMJTbQGei0oqjgJ92_a/8g.mid.mp3?dl=0" TargetMode="External"/><Relationship Id="rId328" Type="http://schemas.openxmlformats.org/officeDocument/2006/relationships/hyperlink" Target="https://www.dropbox.com/sh/cx7tus4mgkt9o4n/AABtQRDPyu_MBuam0whYlrAva/165r.mid.mp3?dl=0" TargetMode="External"/><Relationship Id="rId535" Type="http://schemas.openxmlformats.org/officeDocument/2006/relationships/hyperlink" Target="https://www.dropbox.com/sh/cx7tus4mgkt9o4n/AADrA49dH2x0mWrCFem0XzeUa/277r.mid.mp3?dl=0" TargetMode="External"/><Relationship Id="rId742" Type="http://schemas.openxmlformats.org/officeDocument/2006/relationships/hyperlink" Target="https://www.dropbox.com/sh/cx7tus4mgkt9o4n/AACh1XyqL5c0SnA6QiFZmUWxa/502g.mid.mp3?dl=0" TargetMode="External"/><Relationship Id="rId174" Type="http://schemas.openxmlformats.org/officeDocument/2006/relationships/hyperlink" Target="https://www.dropbox.com/sh/cx7tus4mgkt9o4n/AAAN9bgcwPSb6FJmq_1f47dla/81g.mid.mp3?dl=0" TargetMode="External"/><Relationship Id="rId381" Type="http://schemas.openxmlformats.org/officeDocument/2006/relationships/hyperlink" Target="https://www.dropbox.com/sh/cx7tus4mgkt9o4n/AABUwuQ9BkIHY2owQMA22Q0Pa/193g.mid.mp3?dl=0" TargetMode="External"/><Relationship Id="rId602" Type="http://schemas.openxmlformats.org/officeDocument/2006/relationships/hyperlink" Target="https://www.dropbox.com/sh/cx7tus4mgkt9o4n/AAD-mz5RJeP5C2h_hlytM1yba/330g.mid.mp3?dl=0" TargetMode="External"/><Relationship Id="rId241" Type="http://schemas.openxmlformats.org/officeDocument/2006/relationships/hyperlink" Target="https://www.dropbox.com/sh/cx7tus4mgkt9o4n/AABkYj2k_LsMAVITS76b_YdIa/119g.mid.mp3?dl=0" TargetMode="External"/><Relationship Id="rId479" Type="http://schemas.openxmlformats.org/officeDocument/2006/relationships/hyperlink" Target="https://www.dropbox.com/sh/cx7tus4mgkt9o4n/AAATot7cU6wis9FJdft7EVPIa/246r.mid.mp3?dl=0" TargetMode="External"/><Relationship Id="rId686" Type="http://schemas.openxmlformats.org/officeDocument/2006/relationships/hyperlink" Target="https://www.dropbox.com/sh/cx7tus4mgkt9o4n/AAA6jeIwpCD8aXB25fj4DGrha/431g.mid.mp3?dl=0" TargetMode="External"/><Relationship Id="rId36" Type="http://schemas.openxmlformats.org/officeDocument/2006/relationships/hyperlink" Target="https://www.dropbox.com/sh/cx7tus4mgkt9o4n/AAARAms4RjTmobfwqMQfiLsxa/15r.mid.mp3?dl=0" TargetMode="External"/><Relationship Id="rId339" Type="http://schemas.openxmlformats.org/officeDocument/2006/relationships/hyperlink" Target="https://www.dropbox.com/sh/cx7tus4mgkt9o4n/AACN26348UKvEeIKR60ZT626a/171g.mid.mp3?dl=0" TargetMode="External"/><Relationship Id="rId546" Type="http://schemas.openxmlformats.org/officeDocument/2006/relationships/hyperlink" Target="https://www.dropbox.com/sh/cx7tus4mgkt9o4n/AAA-Fw4xthoGtHR1jHNc6HNPa/283r.mid.mp3?dl=0" TargetMode="External"/><Relationship Id="rId753" Type="http://schemas.openxmlformats.org/officeDocument/2006/relationships/hyperlink" Target="https://www.dropbox.com/sh/cx7tus4mgkt9o4n/AACf6Zkv3K-0kRGWrPgBbatsa/514g.mid.mp3?dl=0" TargetMode="External"/><Relationship Id="rId101" Type="http://schemas.openxmlformats.org/officeDocument/2006/relationships/hyperlink" Target="https://www.dropbox.com/sh/cx7tus4mgkt9o4n/AACNzJ2gh4BhuHCmm8nvENLea/41r.mid.mp3?dl=0" TargetMode="External"/><Relationship Id="rId185" Type="http://schemas.openxmlformats.org/officeDocument/2006/relationships/hyperlink" Target="https://www.dropbox.com/sh/cx7tus4mgkt9o4n/AABnYcnCZHazemOTG9muKmIBa/86r.mid.mp3?dl=0" TargetMode="External"/><Relationship Id="rId406" Type="http://schemas.openxmlformats.org/officeDocument/2006/relationships/hyperlink" Target="https://www.dropbox.com/sh/cx7tus4mgkt9o4n/AAA5EZKN9ExghDy1Tn8fr3Xva/207r.mid.mp3?dl=0" TargetMode="External"/><Relationship Id="rId392" Type="http://schemas.openxmlformats.org/officeDocument/2006/relationships/hyperlink" Target="https://www.dropbox.com/sh/cx7tus4mgkt9o4n/AADVL-r4mH-YWfsjOAEZ954fa/199r.mid.mp3?dl=0" TargetMode="External"/><Relationship Id="rId613" Type="http://schemas.openxmlformats.org/officeDocument/2006/relationships/hyperlink" Target="https://www.dropbox.com/sh/cx7tus4mgkt9o4n/AADeJnXKCYi6oZ_nlaaO6qT0a/347g.mid.mp3?dl=0" TargetMode="External"/><Relationship Id="rId697" Type="http://schemas.openxmlformats.org/officeDocument/2006/relationships/hyperlink" Target="https://www.dropbox.com/sh/cx7tus4mgkt9o4n/AAA9n7mbWbEZ-WMZWep3-CHpa/446g.mid.mp3?dl=0" TargetMode="External"/><Relationship Id="rId252" Type="http://schemas.openxmlformats.org/officeDocument/2006/relationships/hyperlink" Target="https://www.dropbox.com/sh/cx7tus4mgkt9o4n/AAApFLaHW3IB8vetNJFOqy-Ma/125g.mid.mp3?dl=0" TargetMode="External"/><Relationship Id="rId47" Type="http://schemas.openxmlformats.org/officeDocument/2006/relationships/hyperlink" Target="https://www.dropbox.com/sh/cx7tus4mgkt9o4n/AAB288FKNcSW5uvT_vFUVhdMa/18r.mid.mp3?dl=0" TargetMode="External"/><Relationship Id="rId112" Type="http://schemas.openxmlformats.org/officeDocument/2006/relationships/hyperlink" Target="https://www.dropbox.com/sh/cx7tus4mgkt9o4n/AACH8n18Qc3svMHSkPYvZgi6a/47g.mid.mp3?dl=0" TargetMode="External"/><Relationship Id="rId557" Type="http://schemas.openxmlformats.org/officeDocument/2006/relationships/hyperlink" Target="https://www.dropbox.com/sh/cx7tus4mgkt9o4n/AACOtLHMJ4nbpfwV4sMgW9WPa/289g.mid.mp3?dl=0" TargetMode="External"/><Relationship Id="rId764" Type="http://schemas.openxmlformats.org/officeDocument/2006/relationships/hyperlink" Target="https://www.dropbox.com/sh/cx7tus4mgkt9o4n/AABeMFOuie3XoIz_nhwefin0a/528g.mid.mp3?dl=0" TargetMode="External"/><Relationship Id="rId196" Type="http://schemas.openxmlformats.org/officeDocument/2006/relationships/hyperlink" Target="https://www.dropbox.com/sh/cx7tus4mgkt9o4n/AAD8n138fUhtZ9gfRccvO1_ya/92r.mid.mp3?dl=0" TargetMode="External"/><Relationship Id="rId417" Type="http://schemas.openxmlformats.org/officeDocument/2006/relationships/hyperlink" Target="https://www.dropbox.com/sh/cx7tus4mgkt9o4n/AADMFrzOQBQ1VB_dcGunTtSva/213r.mid.mp3?dl=0" TargetMode="External"/><Relationship Id="rId624" Type="http://schemas.openxmlformats.org/officeDocument/2006/relationships/hyperlink" Target="https://www.dropbox.com/sh/cx7tus4mgkt9o4n/AABBeQdLCn6rIxKwzscS9ORta/361g.mid.mp3?dl=0" TargetMode="External"/><Relationship Id="rId263" Type="http://schemas.openxmlformats.org/officeDocument/2006/relationships/hyperlink" Target="https://www.dropbox.com/sh/cx7tus4mgkt9o4n/AABENfmJM2GfTplgR55pGusRa/130r.mid.mp3?dl=0" TargetMode="External"/><Relationship Id="rId470" Type="http://schemas.openxmlformats.org/officeDocument/2006/relationships/hyperlink" Target="https://www.dropbox.com/sh/cx7tus4mgkt9o4n/AAC3TaKb1lBhEW_9L8x1ws5oa/241r.mid.mp3?dl=0" TargetMode="External"/><Relationship Id="rId58" Type="http://schemas.openxmlformats.org/officeDocument/2006/relationships/hyperlink" Target="https://www.dropbox.com/sh/cx7tus4mgkt9o4n/AABY_99ZvPUEDPyLpRJpPx2qa/21r.mid.mp3?dl=0" TargetMode="External"/><Relationship Id="rId123" Type="http://schemas.openxmlformats.org/officeDocument/2006/relationships/hyperlink" Target="https://www.dropbox.com/sh/cx7tus4mgkt9o4n/AAC8Ppv6c5I1FEDq3vmmzTGja/53g.mid.mp3?dl=0" TargetMode="External"/><Relationship Id="rId330" Type="http://schemas.openxmlformats.org/officeDocument/2006/relationships/hyperlink" Target="https://www.dropbox.com/sh/cx7tus4mgkt9o4n/AAAS0w4tipCQuc2kSDAmSaZ6a/166r.mid.mp3?dl=0" TargetMode="External"/><Relationship Id="rId568" Type="http://schemas.openxmlformats.org/officeDocument/2006/relationships/hyperlink" Target="https://www.dropbox.com/sh/cx7tus4mgkt9o4n/AAABrnLW2Cfuki05lIc5hdkca/294r.mid.mp3?dl=0" TargetMode="External"/><Relationship Id="rId775" Type="http://schemas.openxmlformats.org/officeDocument/2006/relationships/hyperlink" Target="https://www.dropbox.com/sh/cx7tus4mgkt9o4n/AAD0aDWGK-6MhzajcsJ-5Knsa/540g.mid.mp3?dl=0" TargetMode="External"/><Relationship Id="rId428" Type="http://schemas.openxmlformats.org/officeDocument/2006/relationships/hyperlink" Target="https://www.dropbox.com/sh/cx7tus4mgkt9o4n/AABqNTKk5vkpABWQ1FXoKBn-a/219r.mid.mp3?dl=0" TargetMode="External"/><Relationship Id="rId635" Type="http://schemas.openxmlformats.org/officeDocument/2006/relationships/hyperlink" Target="https://www.dropbox.com/sh/cx7tus4mgkt9o4n/AABLNlsN8aRDlar15S7uTF34a/372g.mid.mp3?dl=0" TargetMode="External"/><Relationship Id="rId274" Type="http://schemas.openxmlformats.org/officeDocument/2006/relationships/hyperlink" Target="https://www.dropbox.com/sh/cx7tus4mgkt9o4n/AAB1RvH4_A2uFNb-Ee46k38ka/137g.mid.mp3?dl=0" TargetMode="External"/><Relationship Id="rId481" Type="http://schemas.openxmlformats.org/officeDocument/2006/relationships/hyperlink" Target="https://www.dropbox.com/sh/cx7tus4mgkt9o4n/AADBje0XHfVaKYqLdqFpykcaa/248g.mid.mp3?dl=0" TargetMode="External"/><Relationship Id="rId702" Type="http://schemas.openxmlformats.org/officeDocument/2006/relationships/hyperlink" Target="https://www.dropbox.com/sh/cx7tus4mgkt9o4n/AAB_Fk9Gg-OgtKDgbptaGQe4a/452g.mid.mp3?dl=0" TargetMode="External"/><Relationship Id="rId69" Type="http://schemas.openxmlformats.org/officeDocument/2006/relationships/hyperlink" Target="https://www.dropbox.com/sh/cx7tus4mgkt9o4n/AAD11L3piljUSVGu581RI2bZa/26g.mid.mp3?dl=0" TargetMode="External"/><Relationship Id="rId134" Type="http://schemas.openxmlformats.org/officeDocument/2006/relationships/hyperlink" Target="https://www.dropbox.com/sh/cx7tus4mgkt9o4n/AABZs_OI1S_wvn0pYm_Hp3Q2a/59g.mid.mp3?dl=0" TargetMode="External"/><Relationship Id="rId579" Type="http://schemas.openxmlformats.org/officeDocument/2006/relationships/hyperlink" Target="https://www.dropbox.com/sh/cx7tus4mgkt9o4n/AADEbCPn2r738o2Fynt-5LN3a/302g.mid.mp3?dl=0" TargetMode="External"/><Relationship Id="rId786" Type="http://schemas.openxmlformats.org/officeDocument/2006/relationships/hyperlink" Target="https://www.dropbox.com/sh/cx7tus4mgkt9o4n/AACjSW6p338ahWqRpSUCeU-1a/554g.mid.mp3?dl=0" TargetMode="External"/><Relationship Id="rId341" Type="http://schemas.openxmlformats.org/officeDocument/2006/relationships/hyperlink" Target="https://www.dropbox.com/sh/cx7tus4mgkt9o4n/AAAEDgPhDj1FGOWLXv8mD0Iha/172g.mid.mp3?dl=0" TargetMode="External"/><Relationship Id="rId439" Type="http://schemas.openxmlformats.org/officeDocument/2006/relationships/hyperlink" Target="https://www.dropbox.com/sh/cx7tus4mgkt9o4n/AABubctTgvQyJHfma_zaHga_a/225g.mid.mp3?dl=0" TargetMode="External"/><Relationship Id="rId646" Type="http://schemas.openxmlformats.org/officeDocument/2006/relationships/hyperlink" Target="https://www.dropbox.com/sh/cx7tus4mgkt9o4n/AABYV3wJ3-fcd8S_qG2teLmKa/384g.mid.mp3?dl=0" TargetMode="External"/><Relationship Id="rId201" Type="http://schemas.openxmlformats.org/officeDocument/2006/relationships/hyperlink" Target="https://www.dropbox.com/sh/cx7tus4mgkt9o4n/AACpm7t9k_1s860nOm8hFbura/96r.mid.mp3?dl=0" TargetMode="External"/><Relationship Id="rId285" Type="http://schemas.openxmlformats.org/officeDocument/2006/relationships/hyperlink" Target="https://www.dropbox.com/sh/cx7tus4mgkt9o4n/AAD46z7glt13A0Xk9eBQhgEAa/142r.mid.mp3?dl=0" TargetMode="External"/><Relationship Id="rId506" Type="http://schemas.openxmlformats.org/officeDocument/2006/relationships/hyperlink" Target="https://www.dropbox.com/sh/cx7tus4mgkt9o4n/AAA9fJ2TnqRwG_J3vmHgrSbsa/260r.mid.mp3?dl=0" TargetMode="External"/><Relationship Id="rId492" Type="http://schemas.openxmlformats.org/officeDocument/2006/relationships/hyperlink" Target="https://www.dropbox.com/sh/cx7tus4mgkt9o4n/AADwZi-ZP78DOWk5qWD0aSXFa/253r.mid.mp3?dl=0" TargetMode="External"/><Relationship Id="rId713" Type="http://schemas.openxmlformats.org/officeDocument/2006/relationships/hyperlink" Target="https://www.dropbox.com/sh/cx7tus4mgkt9o4n/AADx2RlkNtSzWNaL1zRWQSaqa/465g.mid.mp3?dl=0" TargetMode="External"/><Relationship Id="rId145" Type="http://schemas.openxmlformats.org/officeDocument/2006/relationships/hyperlink" Target="https://www.dropbox.com/sh/cx7tus4mgkt9o4n/AAAMlq2tty99a0hooWoir2lxa/64r.mid.mp3?dl=0" TargetMode="External"/><Relationship Id="rId352" Type="http://schemas.openxmlformats.org/officeDocument/2006/relationships/hyperlink" Target="https://www.dropbox.com/sh/cx7tus4mgkt9o4n/AACiL9w_oOXZ8aTy-XovD0Qja/178r.mid.mp3?dl=0" TargetMode="External"/><Relationship Id="rId212" Type="http://schemas.openxmlformats.org/officeDocument/2006/relationships/hyperlink" Target="https://www.dropbox.com/sh/cx7tus4mgkt9o4n/AADUiVM56eeyKyT0ALrPDTCGa/103g.mid.mp3?dl=0" TargetMode="External"/><Relationship Id="rId657" Type="http://schemas.openxmlformats.org/officeDocument/2006/relationships/hyperlink" Target="https://www.dropbox.com/sh/cx7tus4mgkt9o4n/AAA6JcdXmVU393StGT-oRlSFa/400g.mid.mp3?dl=0" TargetMode="External"/><Relationship Id="rId296" Type="http://schemas.openxmlformats.org/officeDocument/2006/relationships/hyperlink" Target="https://www.dropbox.com/sh/cx7tus4mgkt9o4n/AABNu5pAAmNZyhDt4qURsjC3a/148r.mid.mp3?dl=0" TargetMode="External"/><Relationship Id="rId517" Type="http://schemas.openxmlformats.org/officeDocument/2006/relationships/hyperlink" Target="https://www.dropbox.com/sh/cx7tus4mgkt9o4n/AADwIsf5Ub0-EIkXncqK6Yiza/266r.mid.mp3?dl=0" TargetMode="External"/><Relationship Id="rId724" Type="http://schemas.openxmlformats.org/officeDocument/2006/relationships/hyperlink" Target="https://www.dropbox.com/sh/cx7tus4mgkt9o4n/AACUuh2muo0SUVXR_3FTVoC_a/476g.mid.mp3?dl=0" TargetMode="External"/><Relationship Id="rId60" Type="http://schemas.openxmlformats.org/officeDocument/2006/relationships/hyperlink" Target="https://www.dropbox.com/sh/cx7tus4mgkt9o4n/AADBRaDUjK17yVIQ9hmWuF-La/22g.mid.mp3?dl=0" TargetMode="External"/><Relationship Id="rId156" Type="http://schemas.openxmlformats.org/officeDocument/2006/relationships/hyperlink" Target="https://www.dropbox.com/sh/cx7tus4mgkt9o4n/AABvojg-qWcp1una5NBNJXiAa/70g.mid.mp3?dl=0" TargetMode="External"/><Relationship Id="rId363" Type="http://schemas.openxmlformats.org/officeDocument/2006/relationships/hyperlink" Target="https://www.dropbox.com/sh/cx7tus4mgkt9o4n/AABekJNfB1F5uZyHvC-4d7_9a/184g.mid.mp3?dl=0" TargetMode="External"/><Relationship Id="rId570" Type="http://schemas.openxmlformats.org/officeDocument/2006/relationships/hyperlink" Target="https://www.dropbox.com/sh/cx7tus4mgkt9o4n/AAAt5CtwtYDqTypg5ER1_ItSa/295r.mid.mp3?dl=0" TargetMode="External"/><Relationship Id="rId223" Type="http://schemas.openxmlformats.org/officeDocument/2006/relationships/hyperlink" Target="https://www.dropbox.com/sh/cx7tus4mgkt9o4n/AABuHjiBdy-hR0QNyx44QK6pa/108r.mid.mp3?dl=0" TargetMode="External"/><Relationship Id="rId430" Type="http://schemas.openxmlformats.org/officeDocument/2006/relationships/hyperlink" Target="https://www.dropbox.com/sh/cx7tus4mgkt9o4n/AADKSNBhkdqHZ-PFO9Rg4ph8a/220r.mid.mp3?dl=0" TargetMode="External"/><Relationship Id="rId668" Type="http://schemas.openxmlformats.org/officeDocument/2006/relationships/hyperlink" Target="https://www.dropbox.com/sh/cx7tus4mgkt9o4n/AAAi2CiTL3VnNZiYl68Wys5sa/413.mid.mp3?dl=0" TargetMode="External"/><Relationship Id="rId18" Type="http://schemas.openxmlformats.org/officeDocument/2006/relationships/hyperlink" Target="https://www.dropbox.com/sh/cx7tus4mgkt9o4n/AAA33_vLqJ5WYVOKyPAbw5_Aa/5r.mid.mp3?dl=0" TargetMode="External"/><Relationship Id="rId528" Type="http://schemas.openxmlformats.org/officeDocument/2006/relationships/hyperlink" Target="https://www.dropbox.com/sh/cx7tus4mgkt9o4n/AAAK2QGDNbKv9frOc4Muug3Fa/272r.mid.mp3?dl=0" TargetMode="External"/><Relationship Id="rId735" Type="http://schemas.openxmlformats.org/officeDocument/2006/relationships/hyperlink" Target="https://www.dropbox.com/sh/cx7tus4mgkt9o4n/AABdNvC99y1ihxoNXJMJZULba/490g.mid.mp3?dl=0" TargetMode="External"/><Relationship Id="rId167" Type="http://schemas.openxmlformats.org/officeDocument/2006/relationships/hyperlink" Target="https://www.dropbox.com/sh/cx7tus4mgkt9o4n/AAC22uVg4GAdXXZK2_fONUuda/76r.mid.mp3?dl=0" TargetMode="External"/><Relationship Id="rId374" Type="http://schemas.openxmlformats.org/officeDocument/2006/relationships/hyperlink" Target="https://www.dropbox.com/sh/cx7tus4mgkt9o4n/AAC7Cn1wIqjtv62Ca9aC_YNua/189r.mid.mp3?dl=0" TargetMode="External"/><Relationship Id="rId581" Type="http://schemas.openxmlformats.org/officeDocument/2006/relationships/hyperlink" Target="https://www.dropbox.com/sh/cx7tus4mgkt9o4n/AABwTUGVsTKdQXh0kiJi8fDUa/305g.mid.mp3?dl=0" TargetMode="External"/><Relationship Id="rId71" Type="http://schemas.openxmlformats.org/officeDocument/2006/relationships/hyperlink" Target="https://www.dropbox.com/sh/cx7tus4mgkt9o4n/AAAaBf2Y6ZEGRPOHf_zJ3bOla/27g.mid.mp3?dl=0" TargetMode="External"/><Relationship Id="rId234" Type="http://schemas.openxmlformats.org/officeDocument/2006/relationships/hyperlink" Target="https://www.dropbox.com/sh/cx7tus4mgkt9o4n/AACMCHn_uE5Ebtn0ylQzfAHua/114r.mid.mp3?dl=0" TargetMode="External"/><Relationship Id="rId679" Type="http://schemas.openxmlformats.org/officeDocument/2006/relationships/hyperlink" Target="https://www.dropbox.com/sh/cx7tus4mgkt9o4n/AAAm3CfBZ2flTwKLfXV7rGRga/424g.mid.mp3?dl=0" TargetMode="External"/><Relationship Id="rId2" Type="http://schemas.openxmlformats.org/officeDocument/2006/relationships/hyperlink" Target="https://www.dropbox.com/sh/cx7tus4mgkt9o4n/AACviSYzp3QrMiFIM0-X6AG1a/1g.mid.mp3?dl=0" TargetMode="External"/><Relationship Id="rId29" Type="http://schemas.openxmlformats.org/officeDocument/2006/relationships/hyperlink" Target="https://www.dropbox.com/sh/cx7tus4mgkt9o4n/AABpE4yDGLA-qlQ9uO6Y58Yoa/10g.mid.mp3?dl=0" TargetMode="External"/><Relationship Id="rId441" Type="http://schemas.openxmlformats.org/officeDocument/2006/relationships/hyperlink" Target="https://www.dropbox.com/sh/cx7tus4mgkt9o4n/AAAADXH4aNVo92ENLKGbVZwla/226g.mid.mp3?dl=0" TargetMode="External"/><Relationship Id="rId539" Type="http://schemas.openxmlformats.org/officeDocument/2006/relationships/hyperlink" Target="https://www.dropbox.com/sh/cx7tus4mgkt9o4n/AACX9JHd0uOQhFdJae_JxwAsa/280g.mid.mp3?dl=0" TargetMode="External"/><Relationship Id="rId746" Type="http://schemas.openxmlformats.org/officeDocument/2006/relationships/hyperlink" Target="https://www.dropbox.com/sh/cx7tus4mgkt9o4n/AABLy6y5XQzJec9E_w1io14wa/507g.mid.mp3?dl=0" TargetMode="External"/><Relationship Id="rId178" Type="http://schemas.openxmlformats.org/officeDocument/2006/relationships/hyperlink" Target="https://www.dropbox.com/sh/cx7tus4mgkt9o4n/AABwmkDv7bBQ20-clMC2sn_ga/83g.mid.mp3?dl=0" TargetMode="External"/><Relationship Id="rId301" Type="http://schemas.openxmlformats.org/officeDocument/2006/relationships/hyperlink" Target="https://www.dropbox.com/sh/cx7tus4mgkt9o4n/AADLMTdGizPAdKCMQTRH5WGga/151g.mid.mp3?dl=0" TargetMode="External"/><Relationship Id="rId82" Type="http://schemas.openxmlformats.org/officeDocument/2006/relationships/hyperlink" Target="https://www.dropbox.com/sh/cx7tus4mgkt9o4n/AAClRJle0DuLiiqMMx4uR6jCa/32g.mid.mp3?dl=0" TargetMode="External"/><Relationship Id="rId385" Type="http://schemas.openxmlformats.org/officeDocument/2006/relationships/hyperlink" Target="https://www.dropbox.com/sh/cx7tus4mgkt9o4n/AACSlS76wGk5k1QU2U_2mv7ia/195g.mid.mp3?dl=0" TargetMode="External"/><Relationship Id="rId592" Type="http://schemas.openxmlformats.org/officeDocument/2006/relationships/hyperlink" Target="https://www.dropbox.com/sh/cx7tus4mgkt9o4n/AADKs9GOK3kZWjhXWy5KoREMa/320g.mid.mp3?dl=0" TargetMode="External"/><Relationship Id="rId606" Type="http://schemas.openxmlformats.org/officeDocument/2006/relationships/hyperlink" Target="https://www.dropbox.com/sh/cx7tus4mgkt9o4n/AAA_In1UHzCL3jqaZsprGRiKa/336g.mid.mp3?dl=0" TargetMode="External"/><Relationship Id="rId245" Type="http://schemas.openxmlformats.org/officeDocument/2006/relationships/hyperlink" Target="https://www.dropbox.com/sh/cx7tus4mgkt9o4n/AABg2SzUoNb4KybAgyByEsYMa/121g.mid.mp3?dl=0" TargetMode="External"/><Relationship Id="rId452" Type="http://schemas.openxmlformats.org/officeDocument/2006/relationships/hyperlink" Target="https://www.dropbox.com/sh/cx7tus4mgkt9o4n/AABP7bzVbGms3DPGbGqfZ2zVa/232r.mid.mp3?dl=0" TargetMode="External"/><Relationship Id="rId105" Type="http://schemas.openxmlformats.org/officeDocument/2006/relationships/hyperlink" Target="https://www.dropbox.com/sh/cx7tus4mgkt9o4n/AABsVOfrXGXqEJAAupCoe2AGa/43r.mid.mp3?dl=0" TargetMode="External"/><Relationship Id="rId312" Type="http://schemas.openxmlformats.org/officeDocument/2006/relationships/hyperlink" Target="https://www.dropbox.com/sh/cx7tus4mgkt9o4n/AAB-ukCwMTCWDAGMb8DJfr8ya/157g.mid.mp3?dl=0" TargetMode="External"/><Relationship Id="rId757" Type="http://schemas.openxmlformats.org/officeDocument/2006/relationships/hyperlink" Target="https://www.dropbox.com/sh/cx7tus4mgkt9o4n/AAA4BDCZk3bPRZ-BZ_VH0nXZa/519g.mid.mp3?dl=0" TargetMode="External"/><Relationship Id="rId93" Type="http://schemas.openxmlformats.org/officeDocument/2006/relationships/hyperlink" Target="https://www.dropbox.com/sh/cx7tus4mgkt9o4n/AABQaMxuCfro9ZVxaKDQbAQXa/37r.mid.mp3?dl=0" TargetMode="External"/><Relationship Id="rId189" Type="http://schemas.openxmlformats.org/officeDocument/2006/relationships/hyperlink" Target="https://www.dropbox.com/sh/cx7tus4mgkt9o4n/AADBJ2AFMP2VBU4FYmfLBkOIa/88r.mid.mp3?dl=0" TargetMode="External"/><Relationship Id="rId396" Type="http://schemas.openxmlformats.org/officeDocument/2006/relationships/hyperlink" Target="https://www.dropbox.com/sh/cx7tus4mgkt9o4n/AABhD4RY07Kilg2vcx4JNV7ea/201r.mid.mp3?dl=0" TargetMode="External"/><Relationship Id="rId617" Type="http://schemas.openxmlformats.org/officeDocument/2006/relationships/hyperlink" Target="https://www.dropbox.com/sh/cx7tus4mgkt9o4n/AADGXf9NlplVPLpO5XT07Oxja/353g.mid.mp3?dl=0" TargetMode="External"/><Relationship Id="rId256" Type="http://schemas.openxmlformats.org/officeDocument/2006/relationships/hyperlink" Target="https://www.dropbox.com/sh/cx7tus4mgkt9o4n/AABn9SmPKMzpxkA-BlkI2fsga/127g.mid.mp3?dl=0" TargetMode="External"/><Relationship Id="rId463" Type="http://schemas.openxmlformats.org/officeDocument/2006/relationships/hyperlink" Target="https://www.dropbox.com/sh/cx7tus4mgkt9o4n/AAAG6Sb1hvgp9-Qzog1_CYrDa/238g.mid.mp3?dl=0" TargetMode="External"/><Relationship Id="rId670" Type="http://schemas.openxmlformats.org/officeDocument/2006/relationships/hyperlink" Target="https://www.dropbox.com/sh/cx7tus4mgkt9o4n/AADUUj4L4s-qU028eIPxUDLpa/415g.mid.mp3?dl=0" TargetMode="External"/><Relationship Id="rId116" Type="http://schemas.openxmlformats.org/officeDocument/2006/relationships/hyperlink" Target="https://www.dropbox.com/sh/cx7tus4mgkt9o4n/AADKaBOhgwp1-lGcmPFZBE7Qa/49r.mid.mp3?dl=0" TargetMode="External"/><Relationship Id="rId323" Type="http://schemas.openxmlformats.org/officeDocument/2006/relationships/hyperlink" Target="https://www.dropbox.com/sh/cx7tus4mgkt9o4n/AAAtkm7F0oaeUOgljZ5KF6hwa/163g.mid.mp3?dl=0" TargetMode="External"/><Relationship Id="rId530" Type="http://schemas.openxmlformats.org/officeDocument/2006/relationships/hyperlink" Target="https://www.dropbox.com/sh/cx7tus4mgkt9o4n/AADFDlFxMsmFjTn2QGQl2lQVa/273r.mid.mp3?dl=0" TargetMode="External"/><Relationship Id="rId768" Type="http://schemas.openxmlformats.org/officeDocument/2006/relationships/hyperlink" Target="https://www.dropbox.com/sh/cx7tus4mgkt9o4n/AACMbcwxtrM-i-0FSAblyHyPa/532g.mid.mp3?dl=0" TargetMode="External"/><Relationship Id="rId20" Type="http://schemas.openxmlformats.org/officeDocument/2006/relationships/hyperlink" Target="https://www.dropbox.com/sh/cx7tus4mgkt9o4n/AABSlhXusQr41jwr-iEdQZEFa/6g.mid.mp3?dl=0" TargetMode="External"/><Relationship Id="rId628" Type="http://schemas.openxmlformats.org/officeDocument/2006/relationships/hyperlink" Target="https://www.dropbox.com/sh/cx7tus4mgkt9o4n/AACaSrCXeodiaflLOKt4TtrAa/365g.mid.mp3?dl=0" TargetMode="External"/><Relationship Id="rId267" Type="http://schemas.openxmlformats.org/officeDocument/2006/relationships/hyperlink" Target="https://www.dropbox.com/sh/cx7tus4mgkt9o4n/AABONqEluHBuRQOWQVOlO8yta/133g.mid.mp3?dl=0" TargetMode="External"/><Relationship Id="rId474" Type="http://schemas.openxmlformats.org/officeDocument/2006/relationships/hyperlink" Target="https://www.dropbox.com/sh/cx7tus4mgkt9o4n/AAB4iGbC2Arnk4FVHaD7z6OCa/244g.mid.mp3?dl=0" TargetMode="External"/><Relationship Id="rId127" Type="http://schemas.openxmlformats.org/officeDocument/2006/relationships/hyperlink" Target="https://www.dropbox.com/sh/cx7tus4mgkt9o4n/AADnJ41oqHTORl5BVL3zD4rMa/55g.mid.mp3?dl=0" TargetMode="External"/><Relationship Id="rId681" Type="http://schemas.openxmlformats.org/officeDocument/2006/relationships/hyperlink" Target="https://www.dropbox.com/sh/cx7tus4mgkt9o4n/AAD2RCzM9Wp9f8_kxBrc90h2a/426g.mid.mp3?dl=0" TargetMode="External"/><Relationship Id="rId779" Type="http://schemas.openxmlformats.org/officeDocument/2006/relationships/hyperlink" Target="https://www.dropbox.com/sh/cx7tus4mgkt9o4n/AACC3M2mKvkhrc3WhQvaeGD2a/545g.mid.mp3?dl=0" TargetMode="External"/><Relationship Id="rId31" Type="http://schemas.openxmlformats.org/officeDocument/2006/relationships/hyperlink" Target="https://www.dropbox.com/sh/cx7tus4mgkt9o4n/AACK6l_JyxjNV0ScKznKe3DLa/11r.mid.mp3?dl=0" TargetMode="External"/><Relationship Id="rId334" Type="http://schemas.openxmlformats.org/officeDocument/2006/relationships/hyperlink" Target="https://www.dropbox.com/sh/cx7tus4mgkt9o4n/AAAA7jf3SSRpol45uqvmvlYNa/168r.mid.mp3?dl=0" TargetMode="External"/><Relationship Id="rId541" Type="http://schemas.openxmlformats.org/officeDocument/2006/relationships/hyperlink" Target="https://www.dropbox.com/sh/cx7tus4mgkt9o4n/AAAuHznMzc8Qr6gU7wIeBEQ8a/281g.mid.mp3?dl=0" TargetMode="External"/><Relationship Id="rId639" Type="http://schemas.openxmlformats.org/officeDocument/2006/relationships/hyperlink" Target="https://www.dropbox.com/sh/cx7tus4mgkt9o4n/AAAHGB2zXipIvds_FfdekTuga/376g.mid.mp3?dl=0" TargetMode="External"/><Relationship Id="rId180" Type="http://schemas.openxmlformats.org/officeDocument/2006/relationships/hyperlink" Target="https://www.dropbox.com/sh/cx7tus4mgkt9o4n/AABOHc2EkxBONUx5BVIjaoJEa/84g.mid.mp3?dl=0" TargetMode="External"/><Relationship Id="rId278" Type="http://schemas.openxmlformats.org/officeDocument/2006/relationships/hyperlink" Target="https://www.dropbox.com/sh/cx7tus4mgkt9o4n/AAABDhzKxCoIal7Rl4tRvbFoa/139g.mid.mp3?dl=0" TargetMode="External"/><Relationship Id="rId401" Type="http://schemas.openxmlformats.org/officeDocument/2006/relationships/hyperlink" Target="https://www.dropbox.com/sh/cx7tus4mgkt9o4n/AACEYwbI1fu3aVghNoEkflbwa/204g.mid.mp3?dl=0" TargetMode="External"/><Relationship Id="rId485" Type="http://schemas.openxmlformats.org/officeDocument/2006/relationships/hyperlink" Target="https://www.dropbox.com/sh/cx7tus4mgkt9o4n/AADaCdhuTvuv3XZRzfau-AT9a/250g.mid.mp3?dl=0" TargetMode="External"/><Relationship Id="rId692" Type="http://schemas.openxmlformats.org/officeDocument/2006/relationships/hyperlink" Target="https://www.dropbox.com/sh/cx7tus4mgkt9o4n/AABz1yF5DIOBcrh204Uk4qIza/440g.mid.mp3?dl=0" TargetMode="External"/><Relationship Id="rId706" Type="http://schemas.openxmlformats.org/officeDocument/2006/relationships/hyperlink" Target="https://www.dropbox.com/sh/cx7tus4mgkt9o4n/AABTMVdfpo_68UvUJAZUtm-ea/457g.mid.mp3?dl=0" TargetMode="External"/><Relationship Id="rId42" Type="http://schemas.openxmlformats.org/officeDocument/2006/relationships/hyperlink" Target="https://www.dropbox.com/sh/cx7tus4mgkt9o4n/AABTU5Zb6nZAFwcZVCXalOz0a/17g.mid.mp3?dl=0" TargetMode="External"/><Relationship Id="rId138" Type="http://schemas.openxmlformats.org/officeDocument/2006/relationships/hyperlink" Target="https://www.dropbox.com/sh/cx7tus4mgkt9o4n/AACVLPSW2BWEfWENuhy6UazJa/61g.mid.mp3?dl=0" TargetMode="External"/><Relationship Id="rId345" Type="http://schemas.openxmlformats.org/officeDocument/2006/relationships/hyperlink" Target="https://www.dropbox.com/sh/cx7tus4mgkt9o4n/AABYgqvankI0LCEaSoS_ONPfa/174g.mid.mp3?dl=0" TargetMode="External"/><Relationship Id="rId552" Type="http://schemas.openxmlformats.org/officeDocument/2006/relationships/hyperlink" Target="https://www.dropbox.com/sh/cx7tus4mgkt9o4n/AADzPQf1n4ejPk1UvEb7BkrGa/286r.mid.mp3?dl=0" TargetMode="External"/><Relationship Id="rId191" Type="http://schemas.openxmlformats.org/officeDocument/2006/relationships/hyperlink" Target="https://www.dropbox.com/sh/cx7tus4mgkt9o4n/AADKE1wzb3ghW97LR196NM9ja/89r.mid.mp3?dl=0" TargetMode="External"/><Relationship Id="rId205" Type="http://schemas.openxmlformats.org/officeDocument/2006/relationships/hyperlink" Target="https://www.dropbox.com/sh/cx7tus4mgkt9o4n/AACv6EKVjYQldPTlJui-xRN3a/99r.mid.mp3?dl=0" TargetMode="External"/><Relationship Id="rId412" Type="http://schemas.openxmlformats.org/officeDocument/2006/relationships/hyperlink" Target="https://www.dropbox.com/sh/cx7tus4mgkt9o4n/AACIwe6uDVzVIkFZFEtrAISIa/211.mid.mp3?dl=0" TargetMode="External"/><Relationship Id="rId289" Type="http://schemas.openxmlformats.org/officeDocument/2006/relationships/hyperlink" Target="https://www.dropbox.com/sh/cx7tus4mgkt9o4n/AAC5M4T-JQTWYBritbo2Wecxa/145g.mid.mp3?dl=0" TargetMode="External"/><Relationship Id="rId496" Type="http://schemas.openxmlformats.org/officeDocument/2006/relationships/hyperlink" Target="https://www.dropbox.com/sh/cx7tus4mgkt9o4n/AAAuX2GqIdDqKiKCRyvzqY_3a/255r.mid.mp3?dl=0" TargetMode="External"/><Relationship Id="rId717" Type="http://schemas.openxmlformats.org/officeDocument/2006/relationships/hyperlink" Target="https://www.dropbox.com/sh/cx7tus4mgkt9o4n/AADZRBm7WzD7rlqZ_FFnCtnGa/469g.mid.mp3?dl=0" TargetMode="External"/><Relationship Id="rId53" Type="http://schemas.openxmlformats.org/officeDocument/2006/relationships/hyperlink" Target="https://www.dropbox.com/sh/cx7tus4mgkt9o4n/AAAOZ6eEH4pVDd-84t5-sYj1a/20g.mid.mp3?dl=0" TargetMode="External"/><Relationship Id="rId149" Type="http://schemas.openxmlformats.org/officeDocument/2006/relationships/hyperlink" Target="https://www.dropbox.com/sh/cx7tus4mgkt9o4n/AAA3oez4fAUD0gaNGzJ_cwAga/66r.mid.mp3?dl=0" TargetMode="External"/><Relationship Id="rId356" Type="http://schemas.openxmlformats.org/officeDocument/2006/relationships/hyperlink" Target="https://www.dropbox.com/sh/cx7tus4mgkt9o4n/AABeZAm3haolw6pVClLt5nT6a/180r.mid.mp3?dl=0" TargetMode="External"/><Relationship Id="rId563" Type="http://schemas.openxmlformats.org/officeDocument/2006/relationships/hyperlink" Target="https://www.dropbox.com/sh/cx7tus4mgkt9o4n/AACwEsLBJg6BZ7ZV4hM044Wpa/292g.mid.mp3?dl=0" TargetMode="External"/><Relationship Id="rId770" Type="http://schemas.openxmlformats.org/officeDocument/2006/relationships/hyperlink" Target="https://www.dropbox.com/sh/cx7tus4mgkt9o4n/AACJ0RsgJb50W73ie5mf6EcPa/535g.mid.mp3?dl=0" TargetMode="External"/><Relationship Id="rId95" Type="http://schemas.openxmlformats.org/officeDocument/2006/relationships/hyperlink" Target="https://www.dropbox.com/sh/cx7tus4mgkt9o4n/AACRf-1XnW9qO-P1cjx0PRlMa/38r.mid.mp3?dl=0" TargetMode="External"/><Relationship Id="rId160" Type="http://schemas.openxmlformats.org/officeDocument/2006/relationships/hyperlink" Target="https://www.dropbox.com/sh/cx7tus4mgkt9o4n/AABNYBoAQocsb3434A1lcoDka/72r.mid.mp3?dl=0" TargetMode="External"/><Relationship Id="rId216" Type="http://schemas.openxmlformats.org/officeDocument/2006/relationships/hyperlink" Target="https://www.dropbox.com/sh/cx7tus4mgkt9o4n/AABvumdUyhQoq-bB7nkV-VYEa/105g.mid.mp3?dl=0" TargetMode="External"/><Relationship Id="rId423" Type="http://schemas.openxmlformats.org/officeDocument/2006/relationships/hyperlink" Target="https://www.dropbox.com/sh/cx7tus4mgkt9o4n/AACBviK5YTT2uGB8G41OXj9ua/216r.mid.mp3?dl=0" TargetMode="External"/><Relationship Id="rId258" Type="http://schemas.openxmlformats.org/officeDocument/2006/relationships/hyperlink" Target="https://www.dropbox.com/sh/cx7tus4mgkt9o4n/AAAHaX6gLZbKW1y690V1qLOBa/128g.mid.mp3?dl=0" TargetMode="External"/><Relationship Id="rId465" Type="http://schemas.openxmlformats.org/officeDocument/2006/relationships/hyperlink" Target="https://www.dropbox.com/sh/cx7tus4mgkt9o4n/AACpKVIugYqzS7aNcQPS4gYma/239g.mid.mp3?dl=0" TargetMode="External"/><Relationship Id="rId630" Type="http://schemas.openxmlformats.org/officeDocument/2006/relationships/hyperlink" Target="https://www.dropbox.com/sh/cx7tus4mgkt9o4n/AAAMaDk6nkVTeYbzO8uvfD74a/367g.mid.mp3?dl=0" TargetMode="External"/><Relationship Id="rId672" Type="http://schemas.openxmlformats.org/officeDocument/2006/relationships/hyperlink" Target="https://www.dropbox.com/sh/cx7tus4mgkt9o4n/AACY7EQqvn50ILUQFjqVnucta/417g.mid.mp3?dl=0" TargetMode="External"/><Relationship Id="rId728" Type="http://schemas.openxmlformats.org/officeDocument/2006/relationships/hyperlink" Target="https://www.dropbox.com/sh/cx7tus4mgkt9o4n/AAAL0E-oV02aAVo2M7eAZeD5a/482g.mid.mp3?dl=0" TargetMode="External"/><Relationship Id="rId22" Type="http://schemas.openxmlformats.org/officeDocument/2006/relationships/hyperlink" Target="https://www.dropbox.com/sh/cx7tus4mgkt9o4n/AAAetPb2BwfMc_udiaZRlm9_a/6r.mid.mp3?dl=0" TargetMode="External"/><Relationship Id="rId64" Type="http://schemas.openxmlformats.org/officeDocument/2006/relationships/hyperlink" Target="https://www.dropbox.com/sh/cx7tus4mgkt9o4n/AAAxi9lygbMr1HgH6e1UgoY7a/23r.mid.mp3?dl=0" TargetMode="External"/><Relationship Id="rId118" Type="http://schemas.openxmlformats.org/officeDocument/2006/relationships/hyperlink" Target="https://www.dropbox.com/sh/cx7tus4mgkt9o4n/AAAab5cDZESa39ibrw6zkAuca/50r.mid.mp3?dl=0" TargetMode="External"/><Relationship Id="rId325" Type="http://schemas.openxmlformats.org/officeDocument/2006/relationships/hyperlink" Target="https://www.dropbox.com/sh/cx7tus4mgkt9o4n/AAAVNbU7ESPQrHcC3CjlesL1a/164g.mid.mp3?dl=0" TargetMode="External"/><Relationship Id="rId367" Type="http://schemas.openxmlformats.org/officeDocument/2006/relationships/hyperlink" Target="https://www.dropbox.com/sh/cx7tus4mgkt9o4n/AABrKZhIXAvwYJKOuVC6UdM5a/186g.mid.mp3?dl=0" TargetMode="External"/><Relationship Id="rId532" Type="http://schemas.openxmlformats.org/officeDocument/2006/relationships/hyperlink" Target="https://www.dropbox.com/sh/cx7tus4mgkt9o4n/AABLKc3GN_kLzxxuUt5Wo4P-a/275g.mid.mp3?dl=0" TargetMode="External"/><Relationship Id="rId574" Type="http://schemas.openxmlformats.org/officeDocument/2006/relationships/hyperlink" Target="https://www.dropbox.com/sh/cx7tus4mgkt9o4n/AACgbLjOwagcIJRKacOk38XBa/297r.mid.mp3?dl=0" TargetMode="External"/><Relationship Id="rId171" Type="http://schemas.openxmlformats.org/officeDocument/2006/relationships/hyperlink" Target="https://www.dropbox.com/sh/cx7tus4mgkt9o4n/AADb-rz4a5wJDyXzw4G9xmzCa/79r.mid.mp3?dl=0" TargetMode="External"/><Relationship Id="rId227" Type="http://schemas.openxmlformats.org/officeDocument/2006/relationships/hyperlink" Target="https://www.dropbox.com/sh/cx7tus4mgkt9o4n/AABYL4Epk6cvlvxYSKcm1Offa/110r.mid.mp3?dl=0" TargetMode="External"/><Relationship Id="rId781" Type="http://schemas.openxmlformats.org/officeDocument/2006/relationships/hyperlink" Target="https://www.dropbox.com/sh/cx7tus4mgkt9o4n/AABRFyUxrAtpuU-DdsCbYDioa/547g.mid.mp3?dl=0" TargetMode="External"/><Relationship Id="rId269" Type="http://schemas.openxmlformats.org/officeDocument/2006/relationships/hyperlink" Target="https://www.dropbox.com/sh/cx7tus4mgkt9o4n/AADng5KaOy2OESu_oTFR_vlNa/134g.mid.mp3?dl=0" TargetMode="External"/><Relationship Id="rId434" Type="http://schemas.openxmlformats.org/officeDocument/2006/relationships/hyperlink" Target="https://www.dropbox.com/sh/cx7tus4mgkt9o4n/AABl4fwj26lbGwdOy_8odoGQa/222r.mid.mp3?dl=0" TargetMode="External"/><Relationship Id="rId476" Type="http://schemas.openxmlformats.org/officeDocument/2006/relationships/hyperlink" Target="https://www.dropbox.com/sh/cx7tus4mgkt9o4n/AAAhKmyZnXX0oi1NtQaUwjIya/245g.mid.mp3?dl=0" TargetMode="External"/><Relationship Id="rId641" Type="http://schemas.openxmlformats.org/officeDocument/2006/relationships/hyperlink" Target="https://www.dropbox.com/sh/cx7tus4mgkt9o4n/AADJAQ3lW_R_tRIY4bxHxnloa/378g.mid.mp3?dl=0" TargetMode="External"/><Relationship Id="rId683" Type="http://schemas.openxmlformats.org/officeDocument/2006/relationships/hyperlink" Target="https://www.dropbox.com/sh/cx7tus4mgkt9o4n/AAAWqT_37XXPUjVHF1hckVM3a/428g.mid.mp3?dl=0" TargetMode="External"/><Relationship Id="rId739" Type="http://schemas.openxmlformats.org/officeDocument/2006/relationships/hyperlink" Target="https://www.dropbox.com/sh/cx7tus4mgkt9o4n/AABm6QHHbdZTJdcul1VFUNANa/499g.mid.mp3?dl=0" TargetMode="External"/><Relationship Id="rId33" Type="http://schemas.openxmlformats.org/officeDocument/2006/relationships/hyperlink" Target="https://www.dropbox.com/sh/cx7tus4mgkt9o4n/AACjVeSDGG4uRE0B4lHTnyE1a/15g.mid.mp3?dl=0" TargetMode="External"/><Relationship Id="rId129" Type="http://schemas.openxmlformats.org/officeDocument/2006/relationships/hyperlink" Target="https://www.dropbox.com/sh/cx7tus4mgkt9o4n/AABuZQ9U6gDrkR6UDsxlYhS_a/56g.mid.mp3?dl=0" TargetMode="External"/><Relationship Id="rId280" Type="http://schemas.openxmlformats.org/officeDocument/2006/relationships/hyperlink" Target="https://www.dropbox.com/sh/cx7tus4mgkt9o4n/AACgb7s3NrCLLalpzMKUnbnca/140g.mid.mp3?dl=0" TargetMode="External"/><Relationship Id="rId336" Type="http://schemas.openxmlformats.org/officeDocument/2006/relationships/hyperlink" Target="https://www.dropbox.com/sh/cx7tus4mgkt9o4n/AAAeJME8G714dmp2gabHLQ0za/169r.mid.mp3?dl=0" TargetMode="External"/><Relationship Id="rId501" Type="http://schemas.openxmlformats.org/officeDocument/2006/relationships/hyperlink" Target="https://www.dropbox.com/sh/cx7tus4mgkt9o4n/AAA5dzMZsmWh2hCKYkCSM92Ta/258g.mid.mp3?dl=0" TargetMode="External"/><Relationship Id="rId543" Type="http://schemas.openxmlformats.org/officeDocument/2006/relationships/hyperlink" Target="https://www.dropbox.com/sh/cx7tus4mgkt9o4n/AADRL30-kbWzo7RzhExdabNPa/282g.mid.mp3?dl=0" TargetMode="External"/><Relationship Id="rId75" Type="http://schemas.openxmlformats.org/officeDocument/2006/relationships/hyperlink" Target="https://www.dropbox.com/sh/cx7tus4mgkt9o4n/AABtPU9LAljWYe4SwOVJLJE2a/29g.mid.mp3?dl=0" TargetMode="External"/><Relationship Id="rId140" Type="http://schemas.openxmlformats.org/officeDocument/2006/relationships/hyperlink" Target="https://www.dropbox.com/sh/cx7tus4mgkt9o4n/AACbIF-HYFH_f-sSrzbfvtp6a/62g.mid.mp3?dl=0" TargetMode="External"/><Relationship Id="rId182" Type="http://schemas.openxmlformats.org/officeDocument/2006/relationships/hyperlink" Target="https://www.dropbox.com/sh/cx7tus4mgkt9o4n/AACzpKb0GcaJLz0elit4AXKBa/85g.mid.mp3?dl=0" TargetMode="External"/><Relationship Id="rId378" Type="http://schemas.openxmlformats.org/officeDocument/2006/relationships/hyperlink" Target="https://www.dropbox.com/sh/cx7tus4mgkt9o4n/AAAqHaQC8EAaFcXr3fIt3S3Pa/191r.mid.mp3?dl=0" TargetMode="External"/><Relationship Id="rId403" Type="http://schemas.openxmlformats.org/officeDocument/2006/relationships/hyperlink" Target="https://www.dropbox.com/sh/cx7tus4mgkt9o4n/AAAAyNiSGjQ14aOd88LDcH1ia/205r.mid.mp3?dl=0" TargetMode="External"/><Relationship Id="rId585" Type="http://schemas.openxmlformats.org/officeDocument/2006/relationships/hyperlink" Target="https://www.dropbox.com/sh/cx7tus4mgkt9o4n/AAAiCLJYYGoAqwBwmuPbGn9Ca/311g.mid.mp3?dl=0" TargetMode="External"/><Relationship Id="rId750" Type="http://schemas.openxmlformats.org/officeDocument/2006/relationships/hyperlink" Target="https://www.dropbox.com/sh/cx7tus4mgkt9o4n/AABa0xDeteMUDlwtz-QHC18Fa/511g.mid.mp3?dl=0" TargetMode="External"/><Relationship Id="rId6" Type="http://schemas.openxmlformats.org/officeDocument/2006/relationships/hyperlink" Target="https://www.dropbox.com/sh/cx7tus4mgkt9o4n/AACI8lCZCf25Ml8dEX3tHBMfa/2g.mid.mp3?dl=0" TargetMode="External"/><Relationship Id="rId238" Type="http://schemas.openxmlformats.org/officeDocument/2006/relationships/hyperlink" Target="https://www.dropbox.com/sh/cx7tus4mgkt9o4n/AACB5w2AlaqJwrsovbBxyIIva/116r.mid.mp3?dl=0" TargetMode="External"/><Relationship Id="rId445" Type="http://schemas.openxmlformats.org/officeDocument/2006/relationships/hyperlink" Target="https://www.dropbox.com/sh/cx7tus4mgkt9o4n/AADBxKI-60RTTETRogG9gmMpa/228r.mid.mp3?dl=0" TargetMode="External"/><Relationship Id="rId487" Type="http://schemas.openxmlformats.org/officeDocument/2006/relationships/hyperlink" Target="https://www.dropbox.com/sh/cx7tus4mgkt9o4n/AAAADXk5aZzqH1y750yxtSmya/251g.mid.mp3?dl=0" TargetMode="External"/><Relationship Id="rId610" Type="http://schemas.openxmlformats.org/officeDocument/2006/relationships/hyperlink" Target="https://www.dropbox.com/sh/cx7tus4mgkt9o4n/AADA2mMoUe4lGEmziAPjHOKUa/344g.mid.mp3?dl=0" TargetMode="External"/><Relationship Id="rId652" Type="http://schemas.openxmlformats.org/officeDocument/2006/relationships/hyperlink" Target="https://www.dropbox.com/sh/cx7tus4mgkt9o4n/AADOklsvhdR9XMs1SfLr09CIa/393g.mid.mp3?dl=0" TargetMode="External"/><Relationship Id="rId694" Type="http://schemas.openxmlformats.org/officeDocument/2006/relationships/hyperlink" Target="https://www.dropbox.com/sh/cx7tus4mgkt9o4n/AABz1tYn5jQrpaTqCxURJcnVa/443g.mid.mp3?dl=0" TargetMode="External"/><Relationship Id="rId708" Type="http://schemas.openxmlformats.org/officeDocument/2006/relationships/hyperlink" Target="https://www.dropbox.com/sh/cx7tus4mgkt9o4n/AAAWlw7IE-lwv386aenOOjVpa/459g.mid.mp3?dl=0" TargetMode="External"/><Relationship Id="rId291" Type="http://schemas.openxmlformats.org/officeDocument/2006/relationships/hyperlink" Target="https://www.dropbox.com/sh/cx7tus4mgkt9o4n/AACaIPSS7gwBWscU6p6eqL9ia/146g.mid.mp3?dl=0" TargetMode="External"/><Relationship Id="rId305" Type="http://schemas.openxmlformats.org/officeDocument/2006/relationships/hyperlink" Target="https://www.dropbox.com/sh/cx7tus4mgkt9o4n/AACXtQ_dbH2D7sXI0_v5wguma/153g.mid.mp3?dl=0" TargetMode="External"/><Relationship Id="rId347" Type="http://schemas.openxmlformats.org/officeDocument/2006/relationships/hyperlink" Target="https://www.dropbox.com/sh/cx7tus4mgkt9o4n/AAAGaGJhWv7Xo1TGON2MeBh1a/175r.mid.mp3?dl=0" TargetMode="External"/><Relationship Id="rId512" Type="http://schemas.openxmlformats.org/officeDocument/2006/relationships/hyperlink" Target="https://www.dropbox.com/sh/cx7tus4mgkt9o4n/AAAEAw37cfkZAbDKBqWLDz8ua/264g.mid.mp3?dl=0" TargetMode="External"/><Relationship Id="rId44" Type="http://schemas.openxmlformats.org/officeDocument/2006/relationships/hyperlink" Target="https://www.dropbox.com/sh/cx7tus4mgkt9o4n/AADzrQjPG94088BWp116SoTca/17r.mid.mp3?dl=0" TargetMode="External"/><Relationship Id="rId86" Type="http://schemas.openxmlformats.org/officeDocument/2006/relationships/hyperlink" Target="https://www.dropbox.com/sh/cx7tus4mgkt9o4n/AAAQ44_ZEYomir23oaVCNiYXa/34g.mid.mp3?dl=0" TargetMode="External"/><Relationship Id="rId151" Type="http://schemas.openxmlformats.org/officeDocument/2006/relationships/hyperlink" Target="https://www.dropbox.com/sh/cx7tus4mgkt9o4n/AAAbMKBphR4E8sfNyQ12HCsla/67r.mid.mp3?dl=0" TargetMode="External"/><Relationship Id="rId389" Type="http://schemas.openxmlformats.org/officeDocument/2006/relationships/hyperlink" Target="https://www.dropbox.com/sh/cx7tus4mgkt9o4n/AABoSoQrv0WUlmFoSaK_yr1Ka/197g.mid.mp3?dl=0" TargetMode="External"/><Relationship Id="rId554" Type="http://schemas.openxmlformats.org/officeDocument/2006/relationships/hyperlink" Target="https://www.dropbox.com/sh/cx7tus4mgkt9o4n/AAAh1_Ix3UWrlBavVqmdq8n_a/287r.mid.mp3?dl=0" TargetMode="External"/><Relationship Id="rId596" Type="http://schemas.openxmlformats.org/officeDocument/2006/relationships/hyperlink" Target="https://www.dropbox.com/sh/cx7tus4mgkt9o4n/AADm7cqNEKX4W1GqRHRovOMLa/324g.mid.mp3?dl=0" TargetMode="External"/><Relationship Id="rId761" Type="http://schemas.openxmlformats.org/officeDocument/2006/relationships/hyperlink" Target="https://www.dropbox.com/sh/cx7tus4mgkt9o4n/AADhnxHpMvXGkLr2itqjYqNfa/524g.mid.mp3?dl=0" TargetMode="External"/><Relationship Id="rId193" Type="http://schemas.openxmlformats.org/officeDocument/2006/relationships/hyperlink" Target="https://www.dropbox.com/sh/cx7tus4mgkt9o4n/AAA_9qZYxteHApx08rAW65wNa/90r.mid.mp3?dl=0" TargetMode="External"/><Relationship Id="rId207" Type="http://schemas.openxmlformats.org/officeDocument/2006/relationships/hyperlink" Target="https://www.dropbox.com/sh/cx7tus4mgkt9o4n/AADbiXe2zF4z00jx-7_cwOSFa/100r.mid.mp3?dl=0" TargetMode="External"/><Relationship Id="rId249" Type="http://schemas.openxmlformats.org/officeDocument/2006/relationships/hyperlink" Target="https://www.dropbox.com/sh/cx7tus4mgkt9o4n/AAC3jyeBane6tQUzqodzlhASa/123r.mid.mp3?dl=0" TargetMode="External"/><Relationship Id="rId414" Type="http://schemas.openxmlformats.org/officeDocument/2006/relationships/hyperlink" Target="https://www.dropbox.com/sh/cx7tus4mgkt9o4n/AAA-V4FPF-_Wqxgdy6lsvB1Ja/212.mid.mp3?dl=0" TargetMode="External"/><Relationship Id="rId456" Type="http://schemas.openxmlformats.org/officeDocument/2006/relationships/hyperlink" Target="https://www.dropbox.com/sh/cx7tus4mgkt9o4n/AAAmTTzAbTzPH2N52slmoAYSa/234r.mid.mp3?dl=0" TargetMode="External"/><Relationship Id="rId498" Type="http://schemas.openxmlformats.org/officeDocument/2006/relationships/hyperlink" Target="https://www.dropbox.com/sh/cx7tus4mgkt9o4n/AACbd041BB5OU54qxtEfAeANa/256r.mid.mp3?dl=0" TargetMode="External"/><Relationship Id="rId621" Type="http://schemas.openxmlformats.org/officeDocument/2006/relationships/hyperlink" Target="https://www.dropbox.com/sh/cx7tus4mgkt9o4n/AAD0PKK0HpAo3RTS0WCRL0Bia/357g.mid.mp3?dl=0" TargetMode="External"/><Relationship Id="rId663" Type="http://schemas.openxmlformats.org/officeDocument/2006/relationships/hyperlink" Target="https://www.dropbox.com/sh/cx7tus4mgkt9o4n/AABMaAyfMe1NJ0YFi43b-fkfa/407g.mid.mp3?dl=0" TargetMode="External"/><Relationship Id="rId13" Type="http://schemas.openxmlformats.org/officeDocument/2006/relationships/hyperlink" Target="https://www.dropbox.com/sh/cx7tus4mgkt9o4n/AACfZzJghSD-eNg2RAIZZ2fJa/4g.mid.mp3?dl=0" TargetMode="External"/><Relationship Id="rId109" Type="http://schemas.openxmlformats.org/officeDocument/2006/relationships/hyperlink" Target="https://www.dropbox.com/sh/cx7tus4mgkt9o4n/AAC6_vc5j0lnxWrx3bC_rYdUa/45r.mid.mp3?dl=0" TargetMode="External"/><Relationship Id="rId260" Type="http://schemas.openxmlformats.org/officeDocument/2006/relationships/hyperlink" Target="https://www.dropbox.com/sh/cx7tus4mgkt9o4n/AABEUhI2K4wb6t1o49CQZDvqa/129g.mid.mp3?dl=0" TargetMode="External"/><Relationship Id="rId316" Type="http://schemas.openxmlformats.org/officeDocument/2006/relationships/hyperlink" Target="https://www.dropbox.com/sh/cx7tus4mgkt9o4n/AACECsVazOwSxwKoMScqDm8Da/159g.mid.mp3?dl=0" TargetMode="External"/><Relationship Id="rId523" Type="http://schemas.openxmlformats.org/officeDocument/2006/relationships/hyperlink" Target="https://www.dropbox.com/sh/cx7tus4mgkt9o4n/AADYHxxLvbCM8-30ZkTI9_s8a/270g.mid.mp3?dl=0" TargetMode="External"/><Relationship Id="rId719" Type="http://schemas.openxmlformats.org/officeDocument/2006/relationships/hyperlink" Target="https://www.dropbox.com/sh/cx7tus4mgkt9o4n/AAC0I5Ndq_pQZw7vZq8Q-Sg3a/471g.mid.mp3?dl=0" TargetMode="External"/><Relationship Id="rId55" Type="http://schemas.openxmlformats.org/officeDocument/2006/relationships/hyperlink" Target="https://www.dropbox.com/sh/cx7tus4mgkt9o4n/AAADk8GmvBdkabNpfCeGpxpma/20r.mid.mp3?dl=0" TargetMode="External"/><Relationship Id="rId97" Type="http://schemas.openxmlformats.org/officeDocument/2006/relationships/hyperlink" Target="https://www.dropbox.com/sh/cx7tus4mgkt9o4n/AACjiNSUGENxkpoDLs7HCNj5a/39r.mid.mp3?dl=0" TargetMode="External"/><Relationship Id="rId120" Type="http://schemas.openxmlformats.org/officeDocument/2006/relationships/hyperlink" Target="https://www.dropbox.com/sh/cx7tus4mgkt9o4n/AABKGOBETBzkl97qEV7b1o_Ba/51r.mid.mp3?dl=0" TargetMode="External"/><Relationship Id="rId358" Type="http://schemas.openxmlformats.org/officeDocument/2006/relationships/hyperlink" Target="https://www.dropbox.com/sh/cx7tus4mgkt9o4n/AADechptPO1rhTD07O8eHDvfa/181r.mid.mp3?dl=0" TargetMode="External"/><Relationship Id="rId565" Type="http://schemas.openxmlformats.org/officeDocument/2006/relationships/hyperlink" Target="https://www.dropbox.com/sh/cx7tus4mgkt9o4n/AAAik1xHZiy-rMWogPRlAIyna/293g.mid.mp3?dl=0" TargetMode="External"/><Relationship Id="rId730" Type="http://schemas.openxmlformats.org/officeDocument/2006/relationships/hyperlink" Target="https://www.dropbox.com/sh/cx7tus4mgkt9o4n/AAAch_82-9v14-_RJRy7gl9ya/484g.mid.mp3?dl=0" TargetMode="External"/><Relationship Id="rId772" Type="http://schemas.openxmlformats.org/officeDocument/2006/relationships/hyperlink" Target="https://www.dropbox.com/sh/cx7tus4mgkt9o4n/AADH7nWyGU9BxSMHBIWVpABMa/537g.mid.mp3?dl=0" TargetMode="External"/><Relationship Id="rId162" Type="http://schemas.openxmlformats.org/officeDocument/2006/relationships/hyperlink" Target="https://www.dropbox.com/sh/cx7tus4mgkt9o4n/AAAHrpcDlD8cWsA5PgKECw0ta/73r.mid.mp3?dl=0" TargetMode="External"/><Relationship Id="rId218" Type="http://schemas.openxmlformats.org/officeDocument/2006/relationships/hyperlink" Target="https://www.dropbox.com/sh/cx7tus4mgkt9o4n/AABI61nhdKRRmXk3f6b3woYWa/106g.mid.mp3?dl=0" TargetMode="External"/><Relationship Id="rId425" Type="http://schemas.openxmlformats.org/officeDocument/2006/relationships/hyperlink" Target="https://www.dropbox.com/sh/cx7tus4mgkt9o4n/AAAnN3K--02cFxBpG9pbpjgqa/217r.mid.mp3?dl=0" TargetMode="External"/><Relationship Id="rId467" Type="http://schemas.openxmlformats.org/officeDocument/2006/relationships/hyperlink" Target="https://www.dropbox.com/sh/cx7tus4mgkt9o4n/AABHHpwUVF3lvd-K6meLPoRxa/240g.mid.mp3?dl=0" TargetMode="External"/><Relationship Id="rId632" Type="http://schemas.openxmlformats.org/officeDocument/2006/relationships/hyperlink" Target="https://www.dropbox.com/sh/cx7tus4mgkt9o4n/AAAOgB3zWwV4paHMcigQDUPWa/369g.mid.mp3?dl=0" TargetMode="External"/><Relationship Id="rId271" Type="http://schemas.openxmlformats.org/officeDocument/2006/relationships/hyperlink" Target="https://www.dropbox.com/sh/cx7tus4mgkt9o4n/AAB8VajmutPy1sNKtDTUNtqFa/135g.mid.mp3?dl=0" TargetMode="External"/><Relationship Id="rId674" Type="http://schemas.openxmlformats.org/officeDocument/2006/relationships/hyperlink" Target="https://www.dropbox.com/sh/cx7tus4mgkt9o4n/AAAl-GrE-RSii-D-tAgP-iSWa/419g.mid.mp3?dl=0" TargetMode="External"/><Relationship Id="rId24" Type="http://schemas.openxmlformats.org/officeDocument/2006/relationships/hyperlink" Target="https://www.dropbox.com/sh/cx7tus4mgkt9o4n/AACtP4aFLZwPSG3vl4g8dy_Pa/7g.mid.mp3?dl=0" TargetMode="External"/><Relationship Id="rId66" Type="http://schemas.openxmlformats.org/officeDocument/2006/relationships/hyperlink" Target="https://www.dropbox.com/sh/cx7tus4mgkt9o4n/AABqB3y1TjbNQrcKgI2qHdIaa/24r.mid.mp3?dl=0" TargetMode="External"/><Relationship Id="rId131" Type="http://schemas.openxmlformats.org/officeDocument/2006/relationships/hyperlink" Target="https://www.dropbox.com/sh/cx7tus4mgkt9o4n/AADErirwTzw7jQT3Ewrx11bma/57r.mid.mp3?dl=0" TargetMode="External"/><Relationship Id="rId327" Type="http://schemas.openxmlformats.org/officeDocument/2006/relationships/hyperlink" Target="https://www.dropbox.com/sh/cx7tus4mgkt9o4n/AABzIEcvRcsgXghy5bSzQoOya/165g.mid.mp3?dl=0" TargetMode="External"/><Relationship Id="rId369" Type="http://schemas.openxmlformats.org/officeDocument/2006/relationships/hyperlink" Target="https://www.dropbox.com/sh/cx7tus4mgkt9o4n/AACZ0LHTBvHhCt3JwhhXRq2oa/187g.mid.mp3?dl=0" TargetMode="External"/><Relationship Id="rId534" Type="http://schemas.openxmlformats.org/officeDocument/2006/relationships/hyperlink" Target="https://www.dropbox.com/sh/cx7tus4mgkt9o4n/AAAsLcZUgfQgovGoigkaOVMYa/276r.mid.mp3?dl=0" TargetMode="External"/><Relationship Id="rId576" Type="http://schemas.openxmlformats.org/officeDocument/2006/relationships/hyperlink" Target="https://www.dropbox.com/sh/cx7tus4mgkt9o4n/AABexvOdMw6WZM9lqAmQPOHva/299g.mid.mp3?dl=0" TargetMode="External"/><Relationship Id="rId741" Type="http://schemas.openxmlformats.org/officeDocument/2006/relationships/hyperlink" Target="https://www.dropbox.com/sh/cx7tus4mgkt9o4n/AADTp0KftnYt01btULWmwPCga/501g.mid.mp3?dl=0" TargetMode="External"/><Relationship Id="rId783" Type="http://schemas.openxmlformats.org/officeDocument/2006/relationships/hyperlink" Target="https://www.dropbox.com/sh/cx7tus4mgkt9o4n/AABQLnKQnrvhb5P4L61-MJMna/549g.mid.mp3?dl=0" TargetMode="External"/><Relationship Id="rId173" Type="http://schemas.openxmlformats.org/officeDocument/2006/relationships/hyperlink" Target="https://www.dropbox.com/sh/cx7tus4mgkt9o4n/AABqG2luCbH08wpVmCMqkRTMa/80r.mid.mp3?dl=0" TargetMode="External"/><Relationship Id="rId229" Type="http://schemas.openxmlformats.org/officeDocument/2006/relationships/hyperlink" Target="https://www.dropbox.com/sh/cx7tus4mgkt9o4n/AACAYGt1B36R0naiNYNPrDqca/111r.mid.mp3?dl=0" TargetMode="External"/><Relationship Id="rId380" Type="http://schemas.openxmlformats.org/officeDocument/2006/relationships/hyperlink" Target="https://www.dropbox.com/sh/cx7tus4mgkt9o4n/AAB4GZHaAdjmierkHpMIXNBea/192r.mid.mp3?dl=0" TargetMode="External"/><Relationship Id="rId436" Type="http://schemas.openxmlformats.org/officeDocument/2006/relationships/hyperlink" Target="https://www.dropbox.com/sh/cx7tus4mgkt9o4n/AABzMnZvvFbkioXN0S_hosKJa/223r.mid.mp3?dl=0" TargetMode="External"/><Relationship Id="rId601" Type="http://schemas.openxmlformats.org/officeDocument/2006/relationships/hyperlink" Target="https://www.dropbox.com/sh/cx7tus4mgkt9o4n/AAD9dF6SvvhCRVoPuvAZ2Jgpa/329g.mid.mp3?dl=0" TargetMode="External"/><Relationship Id="rId643" Type="http://schemas.openxmlformats.org/officeDocument/2006/relationships/hyperlink" Target="https://www.dropbox.com/sh/cx7tus4mgkt9o4n/AABdaJEIsjHK_c_66PeLSydya/381g.mid.mp3?dl=0" TargetMode="External"/><Relationship Id="rId240" Type="http://schemas.openxmlformats.org/officeDocument/2006/relationships/hyperlink" Target="https://www.dropbox.com/sh/cx7tus4mgkt9o4n/AABIqDe6ocDrL6qsRMHWZWrTa/118r.mid.mp3?dl=0" TargetMode="External"/><Relationship Id="rId478" Type="http://schemas.openxmlformats.org/officeDocument/2006/relationships/hyperlink" Target="https://www.dropbox.com/sh/cx7tus4mgkt9o4n/AABTpu2MfSEKIo6-17c49Da2a/246g.mid.mp3?dl=0" TargetMode="External"/><Relationship Id="rId685" Type="http://schemas.openxmlformats.org/officeDocument/2006/relationships/hyperlink" Target="https://www.dropbox.com/sh/cx7tus4mgkt9o4n/AAC9NFWDWfOsAKyeFIMuN2VJa/430g.mid.mp3?dl=0" TargetMode="External"/><Relationship Id="rId35" Type="http://schemas.openxmlformats.org/officeDocument/2006/relationships/hyperlink" Target="https://www.dropbox.com/sh/cx7tus4mgkt9o4n/AAARAms4RjTmobfwqMQfiLsxa/15r.mid.mp3?dl=0" TargetMode="External"/><Relationship Id="rId77" Type="http://schemas.openxmlformats.org/officeDocument/2006/relationships/hyperlink" Target="https://www.dropbox.com/sh/cx7tus4mgkt9o4n/AADr7Pfui9rBdB6vnOtx8rBJa/29r.mid.mp3?dl=0" TargetMode="External"/><Relationship Id="rId100" Type="http://schemas.openxmlformats.org/officeDocument/2006/relationships/hyperlink" Target="https://www.dropbox.com/sh/cx7tus4mgkt9o4n/AAAS0zCsK_Iyt2a-gWxnDiQ6a/41g.mid.mp3?dl=0" TargetMode="External"/><Relationship Id="rId282" Type="http://schemas.openxmlformats.org/officeDocument/2006/relationships/hyperlink" Target="https://www.dropbox.com/sh/cx7tus4mgkt9o4n/AADQTmRhPoMjK3XIWSGRx5kia/141g.mid.mp3?dl=0" TargetMode="External"/><Relationship Id="rId338" Type="http://schemas.openxmlformats.org/officeDocument/2006/relationships/hyperlink" Target="https://www.dropbox.com/sh/cx7tus4mgkt9o4n/AAC9VA_KLkycvXULlT5MIzSMa/170r.mid.mp3?dl=0" TargetMode="External"/><Relationship Id="rId503" Type="http://schemas.openxmlformats.org/officeDocument/2006/relationships/hyperlink" Target="https://www.dropbox.com/sh/cx7tus4mgkt9o4n/AAD3nD3MvAeWtKpY7lNyX9dPa/259g.mid.mp3?dl=0" TargetMode="External"/><Relationship Id="rId545" Type="http://schemas.openxmlformats.org/officeDocument/2006/relationships/hyperlink" Target="https://www.dropbox.com/sh/cx7tus4mgkt9o4n/AADeepMr813GvZp-stCTLyNXa/283g.mid.mp3?dl=0" TargetMode="External"/><Relationship Id="rId587" Type="http://schemas.openxmlformats.org/officeDocument/2006/relationships/hyperlink" Target="https://www.dropbox.com/sh/cx7tus4mgkt9o4n/AABs24F69HzQEWoZHk3Imhjoa/314g.mid.mp3?dl=0" TargetMode="External"/><Relationship Id="rId710" Type="http://schemas.openxmlformats.org/officeDocument/2006/relationships/hyperlink" Target="https://www.dropbox.com/sh/cx7tus4mgkt9o4n/AADLNp40NI8PqNRG_cIiE2KYa/461g.mid.mp3?dl=0" TargetMode="External"/><Relationship Id="rId752" Type="http://schemas.openxmlformats.org/officeDocument/2006/relationships/hyperlink" Target="https://www.dropbox.com/sh/cx7tus4mgkt9o4n/AADpTkEoosDp5FJLBfr_mIDya/513g.mid.mp3?dl=0" TargetMode="External"/><Relationship Id="rId8" Type="http://schemas.openxmlformats.org/officeDocument/2006/relationships/hyperlink" Target="https://www.dropbox.com/sh/cx7tus4mgkt9o4n/AACIgD545GM_7t2sYkgQ9--ja/2r.mid.mp3?dl=0" TargetMode="External"/><Relationship Id="rId142" Type="http://schemas.openxmlformats.org/officeDocument/2006/relationships/hyperlink" Target="https://www.dropbox.com/sh/cx7tus4mgkt9o4n/AAA4_nEWVe_m3UpbYnLYvbB8a/63g.mid.mp3?dl=0" TargetMode="External"/><Relationship Id="rId184" Type="http://schemas.openxmlformats.org/officeDocument/2006/relationships/hyperlink" Target="https://www.dropbox.com/sh/cx7tus4mgkt9o4n/AABzZzfbX55XYMOfF3qmi2Xta/86g.mid.mp3?dl=0" TargetMode="External"/><Relationship Id="rId391" Type="http://schemas.openxmlformats.org/officeDocument/2006/relationships/hyperlink" Target="https://www.dropbox.com/sh/cx7tus4mgkt9o4n/AABIv3p798eVy2eEWoB2Vsbva/198r.mid.mp3?dl=0" TargetMode="External"/><Relationship Id="rId405" Type="http://schemas.openxmlformats.org/officeDocument/2006/relationships/hyperlink" Target="https://www.dropbox.com/sh/cx7tus4mgkt9o4n/AADUPaEOS_yzCw_ZFULZZ4aRa/206r.mid.mp3?dl=0" TargetMode="External"/><Relationship Id="rId447" Type="http://schemas.openxmlformats.org/officeDocument/2006/relationships/hyperlink" Target="https://www.dropbox.com/sh/cx7tus4mgkt9o4n/AADA40aLPwvlMj9OO7x3uvb7a/229r.mid.mp3?dl=0" TargetMode="External"/><Relationship Id="rId612" Type="http://schemas.openxmlformats.org/officeDocument/2006/relationships/hyperlink" Target="https://www.dropbox.com/sh/cx7tus4mgkt9o4n/AAACOBmByxh6HjqIk6bOEvqTa/346g.mid.mp3?dl=0" TargetMode="External"/><Relationship Id="rId251" Type="http://schemas.openxmlformats.org/officeDocument/2006/relationships/hyperlink" Target="https://www.dropbox.com/sh/cx7tus4mgkt9o4n/AADKmW2jVHhnwka6Lw5BYUwMa/124r.mid.mp3?dl=0" TargetMode="External"/><Relationship Id="rId489" Type="http://schemas.openxmlformats.org/officeDocument/2006/relationships/hyperlink" Target="https://www.dropbox.com/sh/cx7tus4mgkt9o4n/AADxD7Cl3xCbXd08rbZrJebPa/252g.mid.mp3?dl=0" TargetMode="External"/><Relationship Id="rId654" Type="http://schemas.openxmlformats.org/officeDocument/2006/relationships/hyperlink" Target="https://www.dropbox.com/sh/cx7tus4mgkt9o4n/AAA8anK1suT8Y5vHnjWsstXda/396g.mid.mp3?dl=0" TargetMode="External"/><Relationship Id="rId696" Type="http://schemas.openxmlformats.org/officeDocument/2006/relationships/hyperlink" Target="https://www.dropbox.com/sh/cx7tus4mgkt9o4n/AABlkI0P2Ph4kdhJvgQEXMvga/445g.mid.mp3?dl=0" TargetMode="External"/><Relationship Id="rId46" Type="http://schemas.openxmlformats.org/officeDocument/2006/relationships/hyperlink" Target="https://www.dropbox.com/sh/cx7tus4mgkt9o4n/AADRZDk5wA37w6G1wPgfe3Dva/18g.mid.mp3?dl=0" TargetMode="External"/><Relationship Id="rId293" Type="http://schemas.openxmlformats.org/officeDocument/2006/relationships/hyperlink" Target="https://www.dropbox.com/sh/cx7tus4mgkt9o4n/AAABigbBerK9GBJJ20NhhjE8a/147g.mid.mp3?dl=0" TargetMode="External"/><Relationship Id="rId307" Type="http://schemas.openxmlformats.org/officeDocument/2006/relationships/hyperlink" Target="https://www.dropbox.com/sh/cx7tus4mgkt9o4n/AADqGtQCQZdORzn2xCVMkZiua/154g.mid.mp3?dl=0" TargetMode="External"/><Relationship Id="rId349" Type="http://schemas.openxmlformats.org/officeDocument/2006/relationships/hyperlink" Target="https://www.dropbox.com/sh/cx7tus4mgkt9o4n/AAAXZxCYG7Z0-I7eVyNOKoRKa/176r.mid.mp3?dl=0" TargetMode="External"/><Relationship Id="rId514" Type="http://schemas.openxmlformats.org/officeDocument/2006/relationships/hyperlink" Target="https://www.dropbox.com/sh/cx7tus4mgkt9o4n/AAD2GfCSQfoyq5yidkGFkp0Ia/265g.mid.mp3?dl=0" TargetMode="External"/><Relationship Id="rId556" Type="http://schemas.openxmlformats.org/officeDocument/2006/relationships/hyperlink" Target="https://www.dropbox.com/sh/cx7tus4mgkt9o4n/AAAHr4LrI-QPVq883IC_SBLja/288r.mid.mp3?dl=0" TargetMode="External"/><Relationship Id="rId721" Type="http://schemas.openxmlformats.org/officeDocument/2006/relationships/hyperlink" Target="https://www.dropbox.com/sh/cx7tus4mgkt9o4n/AADVez9r8XZg0glB0zaooFNCa/473g.mid.mp3?dl=0" TargetMode="External"/><Relationship Id="rId763" Type="http://schemas.openxmlformats.org/officeDocument/2006/relationships/hyperlink" Target="https://www.dropbox.com/sh/cx7tus4mgkt9o4n/AAC8IRTYQyLkojYmQlJZiGlOa/527g.mid.mp3?dl=0" TargetMode="External"/><Relationship Id="rId88" Type="http://schemas.openxmlformats.org/officeDocument/2006/relationships/hyperlink" Target="https://www.dropbox.com/sh/cx7tus4mgkt9o4n/AAD9ZRhkbe4WMGN1jCElGWhRa/35g.mid.mp3?dl=0" TargetMode="External"/><Relationship Id="rId111" Type="http://schemas.openxmlformats.org/officeDocument/2006/relationships/hyperlink" Target="https://www.dropbox.com/sh/cx7tus4mgkt9o4n/AAA-4ehujgqB5IzTZ9ynCUCxa/46r.mid.mp3?dl=0" TargetMode="External"/><Relationship Id="rId153" Type="http://schemas.openxmlformats.org/officeDocument/2006/relationships/hyperlink" Target="https://www.dropbox.com/sh/cx7tus4mgkt9o4n/AADIKEUFTo9qaAdjwtWympIfa/68r.mid.mp3?dl=0" TargetMode="External"/><Relationship Id="rId195" Type="http://schemas.openxmlformats.org/officeDocument/2006/relationships/hyperlink" Target="https://www.dropbox.com/sh/cx7tus4mgkt9o4n/AAAPzwgbpto1tr29tQxQDl0wa/91r.mid.mp3?dl=0" TargetMode="External"/><Relationship Id="rId209" Type="http://schemas.openxmlformats.org/officeDocument/2006/relationships/hyperlink" Target="https://www.dropbox.com/sh/cx7tus4mgkt9o4n/AABALUIpeEyD6EOQB3XV4oJqa/101r.mid.mp3?dl=0" TargetMode="External"/><Relationship Id="rId360" Type="http://schemas.openxmlformats.org/officeDocument/2006/relationships/hyperlink" Target="https://www.dropbox.com/sh/cx7tus4mgkt9o4n/AADEJxfegg0zm4I1DhIDlw7Pa/182r.mid.mp3?dl=0" TargetMode="External"/><Relationship Id="rId416" Type="http://schemas.openxmlformats.org/officeDocument/2006/relationships/hyperlink" Target="https://www.dropbox.com/sh/cx7tus4mgkt9o4n/AACsy1Lka3-ig8ehb4jfh2sqa/213g.mid.mp3?dl=0" TargetMode="External"/><Relationship Id="rId598" Type="http://schemas.openxmlformats.org/officeDocument/2006/relationships/hyperlink" Target="https://www.dropbox.com/sh/cx7tus4mgkt9o4n/AACsMk_QMC53fZbAvRx3uKdXa/326g.mid.mp3?dl=0" TargetMode="External"/><Relationship Id="rId220" Type="http://schemas.openxmlformats.org/officeDocument/2006/relationships/hyperlink" Target="https://www.dropbox.com/sh/cx7tus4mgkt9o4n/AADnlkE8ePlWorDdXsVprYUma/107g.mid.mp3?dl=0" TargetMode="External"/><Relationship Id="rId458" Type="http://schemas.openxmlformats.org/officeDocument/2006/relationships/hyperlink" Target="https://www.dropbox.com/sh/cx7tus4mgkt9o4n/AABrXPJPwlt8yEiMtydSjuXsa/235r.mid.mp3?dl=0" TargetMode="External"/><Relationship Id="rId623" Type="http://schemas.openxmlformats.org/officeDocument/2006/relationships/hyperlink" Target="https://www.dropbox.com/sh/cx7tus4mgkt9o4n/AAAQlWUlnKQvtupyNuE3wmLya/360g.mid.mp3?dl=0" TargetMode="External"/><Relationship Id="rId665" Type="http://schemas.openxmlformats.org/officeDocument/2006/relationships/hyperlink" Target="https://www.dropbox.com/sh/cx7tus4mgkt9o4n/AACEGAHAObJhxQ6y6uHnNPVza/410g.mid.mp3?dl=0" TargetMode="External"/><Relationship Id="rId15" Type="http://schemas.openxmlformats.org/officeDocument/2006/relationships/hyperlink" Target="https://www.dropbox.com/sh/cx7tus4mgkt9o4n/AADvuFbqMgfenqYC8KX_Q-nca/4r.mid.mp3?dl=0" TargetMode="External"/><Relationship Id="rId57" Type="http://schemas.openxmlformats.org/officeDocument/2006/relationships/hyperlink" Target="https://www.dropbox.com/sh/cx7tus4mgkt9o4n/AACPwZr7on9FvXWbhO1Y9HOTa/21g.mid.mp3?dl=0" TargetMode="External"/><Relationship Id="rId262" Type="http://schemas.openxmlformats.org/officeDocument/2006/relationships/hyperlink" Target="https://www.dropbox.com/sh/cx7tus4mgkt9o4n/AADV7rPWzBZ4nhIx2IikcGHVa/130g.mid.mp3?dl=0" TargetMode="External"/><Relationship Id="rId318" Type="http://schemas.openxmlformats.org/officeDocument/2006/relationships/hyperlink" Target="https://www.dropbox.com/sh/cx7tus4mgkt9o4n/AADRO2gEYO4PbEpG9aoN4TT8a/160g.mid.mp3?dl=0" TargetMode="External"/><Relationship Id="rId525" Type="http://schemas.openxmlformats.org/officeDocument/2006/relationships/hyperlink" Target="https://www.dropbox.com/sh/cx7tus4mgkt9o4n/AACV8qdqF3ecYCWVq_iQFeufa/271g.mid.mp3?dl=0" TargetMode="External"/><Relationship Id="rId567" Type="http://schemas.openxmlformats.org/officeDocument/2006/relationships/hyperlink" Target="https://www.dropbox.com/sh/cx7tus4mgkt9o4n/AADo3OS1-GFhDP-ayUm_nfUYa/294g.mid.mp3?dl=0" TargetMode="External"/><Relationship Id="rId732" Type="http://schemas.openxmlformats.org/officeDocument/2006/relationships/hyperlink" Target="https://www.dropbox.com/sh/cx7tus4mgkt9o4n/AABsqLaqQEXgvdk86NAvWqwZa/487g.mid.mp3?dl=0" TargetMode="External"/><Relationship Id="rId99" Type="http://schemas.openxmlformats.org/officeDocument/2006/relationships/hyperlink" Target="https://www.dropbox.com/sh/cx7tus4mgkt9o4n/AADWPnEPy8WOn1FRl60ld2tQa/40r.mid.mp3?dl=0" TargetMode="External"/><Relationship Id="rId122" Type="http://schemas.openxmlformats.org/officeDocument/2006/relationships/hyperlink" Target="https://www.dropbox.com/sh/cx7tus4mgkt9o4n/AAASLLvAUqqJIuGHHU0aqebxa/52r.mid.mp3?dl=0" TargetMode="External"/><Relationship Id="rId164" Type="http://schemas.openxmlformats.org/officeDocument/2006/relationships/hyperlink" Target="https://www.dropbox.com/sh/cx7tus4mgkt9o4n/AAAx13-kY3AP6nnlIHQR45JWa/74r.mid.mp3?dl=0" TargetMode="External"/><Relationship Id="rId371" Type="http://schemas.openxmlformats.org/officeDocument/2006/relationships/hyperlink" Target="https://www.dropbox.com/sh/cx7tus4mgkt9o4n/AADPrY1Q6_RiI1buX5FZFpC9a/188g.mid.mp3?dl=0" TargetMode="External"/><Relationship Id="rId774" Type="http://schemas.openxmlformats.org/officeDocument/2006/relationships/hyperlink" Target="https://www.dropbox.com/sh/cx7tus4mgkt9o4n/AACZhzrVSGRealah6MdA5Fyga/539g.mid.mp3?dl=0" TargetMode="External"/><Relationship Id="rId427" Type="http://schemas.openxmlformats.org/officeDocument/2006/relationships/hyperlink" Target="https://www.dropbox.com/sh/cx7tus4mgkt9o4n/AACQoglnhLt3JI_kRlxvXk1Ta/219g.mid.mp3?dl=0" TargetMode="External"/><Relationship Id="rId469" Type="http://schemas.openxmlformats.org/officeDocument/2006/relationships/hyperlink" Target="https://www.dropbox.com/sh/cx7tus4mgkt9o4n/AABPlrCcxo_7olJwTdLwPGWaa/241g.mid.mp3?dl=0" TargetMode="External"/><Relationship Id="rId634" Type="http://schemas.openxmlformats.org/officeDocument/2006/relationships/hyperlink" Target="https://www.dropbox.com/sh/cx7tus4mgkt9o4n/AADKZSCRTlApGj3edcPSJ1Pba/371g.mid.mp3?dl=0" TargetMode="External"/><Relationship Id="rId676" Type="http://schemas.openxmlformats.org/officeDocument/2006/relationships/hyperlink" Target="https://www.dropbox.com/sh/cx7tus4mgkt9o4n/AAAUFQl-NliwprupzwtPcjf0a/421g.mid.mp3?dl=0" TargetMode="External"/><Relationship Id="rId26" Type="http://schemas.openxmlformats.org/officeDocument/2006/relationships/hyperlink" Target="https://www.dropbox.com/sh/cx7tus4mgkt9o4n/AABdy_TMJTbQGei0oqjgJ92_a/8g.mid.mp3?dl=0" TargetMode="External"/><Relationship Id="rId231" Type="http://schemas.openxmlformats.org/officeDocument/2006/relationships/hyperlink" Target="https://www.dropbox.com/sh/cx7tus4mgkt9o4n/AADlnlRpanWm3KgSQXW9nZ-Va/112r.mid.mp3?dl=0" TargetMode="External"/><Relationship Id="rId273" Type="http://schemas.openxmlformats.org/officeDocument/2006/relationships/hyperlink" Target="https://www.dropbox.com/sh/cx7tus4mgkt9o4n/AAAHp-TabSwL8WuX94NcPLACa/136r.mid.mp3?dl=0" TargetMode="External"/><Relationship Id="rId329" Type="http://schemas.openxmlformats.org/officeDocument/2006/relationships/hyperlink" Target="https://www.dropbox.com/sh/cx7tus4mgkt9o4n/AADmOxJMmp4GrgiEAW0lvi9Qa/166g.mid.mp3?dl=0" TargetMode="External"/><Relationship Id="rId480" Type="http://schemas.openxmlformats.org/officeDocument/2006/relationships/hyperlink" Target="https://www.dropbox.com/sh/cx7tus4mgkt9o4n/AAAusf8-CFEooBRuvoHLAo4pa/247r.mid.mp3?dl=0" TargetMode="External"/><Relationship Id="rId536" Type="http://schemas.openxmlformats.org/officeDocument/2006/relationships/hyperlink" Target="https://www.dropbox.com/sh/cx7tus4mgkt9o4n/AABmBehvYgNUlMA1boEeiTk-a/278g.mid.mp3?dl=0" TargetMode="External"/><Relationship Id="rId701" Type="http://schemas.openxmlformats.org/officeDocument/2006/relationships/hyperlink" Target="https://www.dropbox.com/sh/cx7tus4mgkt9o4n/AABIZcf4FMI748NNYYaFep1La/451g.mid.mp3?dl=0" TargetMode="External"/><Relationship Id="rId68" Type="http://schemas.openxmlformats.org/officeDocument/2006/relationships/hyperlink" Target="https://www.dropbox.com/sh/cx7tus4mgkt9o4n/AACkIA7gRiB5Dqjz2fmT6ri4a/25r.mid.mp3?dl=0" TargetMode="External"/><Relationship Id="rId133" Type="http://schemas.openxmlformats.org/officeDocument/2006/relationships/hyperlink" Target="https://www.dropbox.com/sh/cx7tus4mgkt9o4n/AAA-HRJAWpDc2kR-CN5zSUjua/58r.mid.mp3?dl=0" TargetMode="External"/><Relationship Id="rId175" Type="http://schemas.openxmlformats.org/officeDocument/2006/relationships/hyperlink" Target="https://www.dropbox.com/sh/cx7tus4mgkt9o4n/AAAobL041BurQA1JLL8ysy0da/81r.mid.mp3?dl=0" TargetMode="External"/><Relationship Id="rId340" Type="http://schemas.openxmlformats.org/officeDocument/2006/relationships/hyperlink" Target="https://www.dropbox.com/sh/cx7tus4mgkt9o4n/AADsOdjuMX3Y1DKrPTaKUrBta/171r.mid.mp3?dl=0" TargetMode="External"/><Relationship Id="rId578" Type="http://schemas.openxmlformats.org/officeDocument/2006/relationships/hyperlink" Target="https://www.dropbox.com/sh/cx7tus4mgkt9o4n/AAC_rGuKklxomtF4GFyPHj6va/301g.mid.mp3?dl=0" TargetMode="External"/><Relationship Id="rId743" Type="http://schemas.openxmlformats.org/officeDocument/2006/relationships/hyperlink" Target="https://www.dropbox.com/sh/cx7tus4mgkt9o4n/AABaE7usV_qfhgWM6lURhM0Ga/503g.mid.mp3?dl=0" TargetMode="External"/><Relationship Id="rId785" Type="http://schemas.openxmlformats.org/officeDocument/2006/relationships/hyperlink" Target="https://www.dropbox.com/sh/cx7tus4mgkt9o4n/AAApmOE8TR0r_4N2SnmG7Vaza/553g.mid.mp3?dl=0" TargetMode="External"/><Relationship Id="rId200" Type="http://schemas.openxmlformats.org/officeDocument/2006/relationships/hyperlink" Target="https://www.dropbox.com/sh/cx7tus4mgkt9o4n/AACevssgHu1lt7dZXi6aTFT3a/96g.mid.mp3?dl=0" TargetMode="External"/><Relationship Id="rId382" Type="http://schemas.openxmlformats.org/officeDocument/2006/relationships/hyperlink" Target="https://www.dropbox.com/sh/cx7tus4mgkt9o4n/AABII9U7rtmtIFAnFwlHLedMa/193r.mid.mp3?dl=0" TargetMode="External"/><Relationship Id="rId438" Type="http://schemas.openxmlformats.org/officeDocument/2006/relationships/hyperlink" Target="https://www.dropbox.com/sh/cx7tus4mgkt9o4n/AADqOH59ga7s4Fw_ggF9Zje-a/224r.mid.mp3?dl=0" TargetMode="External"/><Relationship Id="rId603" Type="http://schemas.openxmlformats.org/officeDocument/2006/relationships/hyperlink" Target="https://www.dropbox.com/sh/cx7tus4mgkt9o4n/AAASK3VK2WgCdTpr5oJJ5_Nza/331g.mid.mp3?dl=0" TargetMode="External"/><Relationship Id="rId645" Type="http://schemas.openxmlformats.org/officeDocument/2006/relationships/hyperlink" Target="https://www.dropbox.com/sh/cx7tus4mgkt9o4n/AADeQpMp7rAuQ2l4SB9rz4d7a/383g.mid.mp3?dl=0" TargetMode="External"/><Relationship Id="rId687" Type="http://schemas.openxmlformats.org/officeDocument/2006/relationships/hyperlink" Target="https://www.dropbox.com/sh/cx7tus4mgkt9o4n/AAAusbOCvZCVp4eeSBPd0Q2wa/432g.mid.mp3?dl=0" TargetMode="External"/><Relationship Id="rId242" Type="http://schemas.openxmlformats.org/officeDocument/2006/relationships/hyperlink" Target="https://www.dropbox.com/sh/cx7tus4mgkt9o4n/AADYh6uWhAJTPG_uUq0bWQhta/119r.mid.mp3?dl=0" TargetMode="External"/><Relationship Id="rId284" Type="http://schemas.openxmlformats.org/officeDocument/2006/relationships/hyperlink" Target="https://www.dropbox.com/sh/cx7tus4mgkt9o4n/AAAc0z8yvxw0TRbGrU_DmIrva/142g.mid.mp3?dl=0" TargetMode="External"/><Relationship Id="rId491" Type="http://schemas.openxmlformats.org/officeDocument/2006/relationships/hyperlink" Target="https://www.dropbox.com/sh/cx7tus4mgkt9o4n/AACP-TIF8FS-1jV58USWaJ1Ga/253g.mid.mp3?dl=0" TargetMode="External"/><Relationship Id="rId505" Type="http://schemas.openxmlformats.org/officeDocument/2006/relationships/hyperlink" Target="https://www.dropbox.com/sh/cx7tus4mgkt9o4n/AADc0T9QgDNWOQa6Iy5xhVj0a/260g.mid.mp3?dl=0" TargetMode="External"/><Relationship Id="rId712" Type="http://schemas.openxmlformats.org/officeDocument/2006/relationships/hyperlink" Target="https://www.dropbox.com/sh/cx7tus4mgkt9o4n/AABqzOX2JbSY_t94xzB61UUDa/464g.mid.mp3?dl=0" TargetMode="External"/><Relationship Id="rId37" Type="http://schemas.openxmlformats.org/officeDocument/2006/relationships/hyperlink" Target="https://www.dropbox.com/sh/cx7tus4mgkt9o4n/AABdb_4lZdjy6GTKetqkwSf1a/16g.mid.mp3?dl=0" TargetMode="External"/><Relationship Id="rId79" Type="http://schemas.openxmlformats.org/officeDocument/2006/relationships/hyperlink" Target="https://www.dropbox.com/sh/cx7tus4mgkt9o4n/AABcmKX2NKUx1tivI6dGP3gBa/30r.mid.mp3?dl=0" TargetMode="External"/><Relationship Id="rId102" Type="http://schemas.openxmlformats.org/officeDocument/2006/relationships/hyperlink" Target="https://www.dropbox.com/sh/cx7tus4mgkt9o4n/AABK8lKZUj_ConRPAVDWarFOa/42g.mid.mp3?dl=0" TargetMode="External"/><Relationship Id="rId144" Type="http://schemas.openxmlformats.org/officeDocument/2006/relationships/hyperlink" Target="https://www.dropbox.com/sh/cx7tus4mgkt9o4n/AACG2ZO318myfmSCpqEctQ83a/64g.mid.mp3?dl=0" TargetMode="External"/><Relationship Id="rId547" Type="http://schemas.openxmlformats.org/officeDocument/2006/relationships/hyperlink" Target="https://www.dropbox.com/sh/cx7tus4mgkt9o4n/AACB6hZlh2sJ73qzjeOakN16a/284g.mid.mp3?dl=0" TargetMode="External"/><Relationship Id="rId589" Type="http://schemas.openxmlformats.org/officeDocument/2006/relationships/hyperlink" Target="https://www.dropbox.com/sh/cx7tus4mgkt9o4n/AAB6gnY0ixFmUww-hECRcCeIa/317g.mid.mp3?dl=0" TargetMode="External"/><Relationship Id="rId754" Type="http://schemas.openxmlformats.org/officeDocument/2006/relationships/hyperlink" Target="https://www.dropbox.com/sh/cx7tus4mgkt9o4n/AAC1qBgRuZjQJfLZgsunnaKSa/516g.mid.mp3?dl=0" TargetMode="External"/><Relationship Id="rId90" Type="http://schemas.openxmlformats.org/officeDocument/2006/relationships/hyperlink" Target="https://www.dropbox.com/sh/cx7tus4mgkt9o4n/AADS0Q87qjL6Ak-baGLUV3N4a/36g.mid.mp3?dl=0" TargetMode="External"/><Relationship Id="rId186" Type="http://schemas.openxmlformats.org/officeDocument/2006/relationships/hyperlink" Target="https://www.dropbox.com/sh/cx7tus4mgkt9o4n/AAAHHU958yhyzRVlN9Q1z2fxa/87g.mid.mp3?dl=0" TargetMode="External"/><Relationship Id="rId351" Type="http://schemas.openxmlformats.org/officeDocument/2006/relationships/hyperlink" Target="https://www.dropbox.com/sh/cx7tus4mgkt9o4n/AABqicu8xqov7C5PU3gcs3W7a/178g.mid.mp3?dl=0" TargetMode="External"/><Relationship Id="rId393" Type="http://schemas.openxmlformats.org/officeDocument/2006/relationships/hyperlink" Target="https://www.dropbox.com/sh/cx7tus4mgkt9o4n/AACVlQaBi9x3pSQiPCwdltnua/200g.mid.mp3?dl=0" TargetMode="External"/><Relationship Id="rId407" Type="http://schemas.openxmlformats.org/officeDocument/2006/relationships/hyperlink" Target="https://www.dropbox.com/sh/cx7tus4mgkt9o4n/AAD5ZZDgn6yG0smHLIfW5AVIa/208r.mid.mp3?dl=0" TargetMode="External"/><Relationship Id="rId449" Type="http://schemas.openxmlformats.org/officeDocument/2006/relationships/hyperlink" Target="https://www.dropbox.com/sh/cx7tus4mgkt9o4n/AAAeeIW5klTVME00Zw4SsQdea/231g.mid.mp3?dl=0" TargetMode="External"/><Relationship Id="rId614" Type="http://schemas.openxmlformats.org/officeDocument/2006/relationships/hyperlink" Target="https://www.dropbox.com/sh/cx7tus4mgkt9o4n/AACPKQUlrs1lp84jgZp0LFnma/349g.mid.mp3?dl=0" TargetMode="External"/><Relationship Id="rId656" Type="http://schemas.openxmlformats.org/officeDocument/2006/relationships/hyperlink" Target="https://www.dropbox.com/sh/cx7tus4mgkt9o4n/AADq-f5lfw00qIhe4UEEKAbta/399g.mid.mp3?dl=0" TargetMode="External"/><Relationship Id="rId211" Type="http://schemas.openxmlformats.org/officeDocument/2006/relationships/hyperlink" Target="https://www.dropbox.com/sh/cx7tus4mgkt9o4n/AAAT0sZ0O74afv90E0K_8HGha/102r.mid.mp3?dl=0" TargetMode="External"/><Relationship Id="rId253" Type="http://schemas.openxmlformats.org/officeDocument/2006/relationships/hyperlink" Target="https://www.dropbox.com/sh/cx7tus4mgkt9o4n/AAA8QCS0ekLd9XK_AHKBBW5Za/125r.mid.mp3?dl=0" TargetMode="External"/><Relationship Id="rId295" Type="http://schemas.openxmlformats.org/officeDocument/2006/relationships/hyperlink" Target="https://www.dropbox.com/sh/cx7tus4mgkt9o4n/AADpK_BJq6Jv96iqYiKaqBnIa/148g.mid.mp3?dl=0" TargetMode="External"/><Relationship Id="rId309" Type="http://schemas.openxmlformats.org/officeDocument/2006/relationships/hyperlink" Target="https://www.dropbox.com/sh/cx7tus4mgkt9o4n/AABGYFXrtBLzce3p5p4YZFRPa/155g.mid.mp3?dl=0" TargetMode="External"/><Relationship Id="rId460" Type="http://schemas.openxmlformats.org/officeDocument/2006/relationships/hyperlink" Target="https://www.dropbox.com/sh/cx7tus4mgkt9o4n/AADEke6H5vJJmrFXbYnyMH9ga/236r.mid.mp3?dl=0" TargetMode="External"/><Relationship Id="rId516" Type="http://schemas.openxmlformats.org/officeDocument/2006/relationships/hyperlink" Target="https://www.dropbox.com/sh/cx7tus4mgkt9o4n/AAB7k7U2lCJz6LkYrDooKY_xa/266g.mid.mp3?dl=0" TargetMode="External"/><Relationship Id="rId698" Type="http://schemas.openxmlformats.org/officeDocument/2006/relationships/hyperlink" Target="https://www.dropbox.com/sh/cx7tus4mgkt9o4n/AAAsod9p3GHihkUJ61_ms0Bna/447g.mid.mp3?dl=0" TargetMode="External"/><Relationship Id="rId48" Type="http://schemas.openxmlformats.org/officeDocument/2006/relationships/hyperlink" Target="https://www.dropbox.com/sh/cx7tus4mgkt9o4n/AAB288FKNcSW5uvT_vFUVhdMa/18r.mid.mp3?dl=0" TargetMode="External"/><Relationship Id="rId113" Type="http://schemas.openxmlformats.org/officeDocument/2006/relationships/hyperlink" Target="https://www.dropbox.com/sh/cx7tus4mgkt9o4n/AAA3PPSfTlBEeajPLVmC4wExa/47r.mid.mp3?dl=0" TargetMode="External"/><Relationship Id="rId320" Type="http://schemas.openxmlformats.org/officeDocument/2006/relationships/hyperlink" Target="https://www.dropbox.com/sh/cx7tus4mgkt9o4n/AACnadvPInSg4l70cZWYYN8ea/161r.mid.mp3?dl=0" TargetMode="External"/><Relationship Id="rId558" Type="http://schemas.openxmlformats.org/officeDocument/2006/relationships/hyperlink" Target="https://www.dropbox.com/sh/cx7tus4mgkt9o4n/AABOsLgrMBefSzh8WfL4ffyBa/289r.mid.mp3?dl=0" TargetMode="External"/><Relationship Id="rId723" Type="http://schemas.openxmlformats.org/officeDocument/2006/relationships/hyperlink" Target="https://www.dropbox.com/sh/cx7tus4mgkt9o4n/AABDdIiYOUu3bBMOmkJeJV-pa/475g.mid.mp3?dl=0" TargetMode="External"/><Relationship Id="rId765" Type="http://schemas.openxmlformats.org/officeDocument/2006/relationships/hyperlink" Target="https://www.dropbox.com/sh/cx7tus4mgkt9o4n/AACzaFqaaPmv7O6axAowL71Oa/529g.mid.mp3?dl=0" TargetMode="External"/><Relationship Id="rId155" Type="http://schemas.openxmlformats.org/officeDocument/2006/relationships/hyperlink" Target="https://www.dropbox.com/sh/cx7tus4mgkt9o4n/AACmLfNO1V8vBNKPIX9sSMACa/69r.mid.mp3?dl=0" TargetMode="External"/><Relationship Id="rId197" Type="http://schemas.openxmlformats.org/officeDocument/2006/relationships/hyperlink" Target="https://www.dropbox.com/sh/cx7tus4mgkt9o4n/AADaoWqMBW1MUzk4iA63K51ma/94g.mid.mp3?dl=0" TargetMode="External"/><Relationship Id="rId362" Type="http://schemas.openxmlformats.org/officeDocument/2006/relationships/hyperlink" Target="https://www.dropbox.com/sh/cx7tus4mgkt9o4n/AADekEacaW9aoReAlNT3X1s5a/183r.mid.mp3?dl=0" TargetMode="External"/><Relationship Id="rId418" Type="http://schemas.openxmlformats.org/officeDocument/2006/relationships/hyperlink" Target="https://www.dropbox.com/sh/cx7tus4mgkt9o4n/AAC0Yavv-ZBvEiDQUpSp-Ayta/214g.mid.mp3?dl=0" TargetMode="External"/><Relationship Id="rId625" Type="http://schemas.openxmlformats.org/officeDocument/2006/relationships/hyperlink" Target="https://www.dropbox.com/sh/cx7tus4mgkt9o4n/AADal_9qBxXhq66TMgQLitB-a/362g.mid.mp3?dl=0" TargetMode="External"/><Relationship Id="rId222" Type="http://schemas.openxmlformats.org/officeDocument/2006/relationships/hyperlink" Target="https://www.dropbox.com/sh/cx7tus4mgkt9o4n/AAD6Lq8QVsOfnpLFYxnP6ejBa/108g.mid.mp3?dl=0" TargetMode="External"/><Relationship Id="rId264" Type="http://schemas.openxmlformats.org/officeDocument/2006/relationships/hyperlink" Target="https://www.dropbox.com/sh/cx7tus4mgkt9o4n/AAAETynfpUAvjzSTLDWElllVa/131r.mid.mp3?dl=0" TargetMode="External"/><Relationship Id="rId471" Type="http://schemas.openxmlformats.org/officeDocument/2006/relationships/hyperlink" Target="https://www.dropbox.com/sh/cx7tus4mgkt9o4n/AAA2iLETsq41c9WYysOST1Pia/242g.mid.mp3?dl=0" TargetMode="External"/><Relationship Id="rId667" Type="http://schemas.openxmlformats.org/officeDocument/2006/relationships/hyperlink" Target="https://www.dropbox.com/sh/cx7tus4mgkt9o4n/AADiQhHNkzSOFy3bApueBxVaa/412g.mid.mp3?dl=0" TargetMode="External"/><Relationship Id="rId17" Type="http://schemas.openxmlformats.org/officeDocument/2006/relationships/hyperlink" Target="https://www.dropbox.com/sh/cx7tus4mgkt9o4n/AAA33_vLqJ5WYVOKyPAbw5_Aa/5r.mid.mp3?dl=0" TargetMode="External"/><Relationship Id="rId59" Type="http://schemas.openxmlformats.org/officeDocument/2006/relationships/hyperlink" Target="https://www.dropbox.com/sh/cx7tus4mgkt9o4n/AADBRaDUjK17yVIQ9hmWuF-La/22g.mid.mp3?dl=0" TargetMode="External"/><Relationship Id="rId124" Type="http://schemas.openxmlformats.org/officeDocument/2006/relationships/hyperlink" Target="https://www.dropbox.com/sh/cx7tus4mgkt9o4n/AAD2s3mo1w631_djnMDrfyDBa/53r.mid.mp3?dl=0" TargetMode="External"/><Relationship Id="rId527" Type="http://schemas.openxmlformats.org/officeDocument/2006/relationships/hyperlink" Target="https://www.dropbox.com/sh/cx7tus4mgkt9o4n/AACdk3z53fy9WDgRJxquNixRa/272g.mid.mp3?dl=0" TargetMode="External"/><Relationship Id="rId569" Type="http://schemas.openxmlformats.org/officeDocument/2006/relationships/hyperlink" Target="https://www.dropbox.com/sh/cx7tus4mgkt9o4n/AAAunzwODrwFm5xU2PGG4iERa/295g.mid.mp3?dl=0" TargetMode="External"/><Relationship Id="rId734" Type="http://schemas.openxmlformats.org/officeDocument/2006/relationships/hyperlink" Target="https://www.dropbox.com/sh/cx7tus4mgkt9o4n/AADx9mE_c0slbs_Z7_G4PEbVa/489g.mid.mp3?dl=0" TargetMode="External"/><Relationship Id="rId776" Type="http://schemas.openxmlformats.org/officeDocument/2006/relationships/hyperlink" Target="https://www.dropbox.com/sh/cx7tus4mgkt9o4n/AAAUdJV0r0ocqXimnA5ToKuOa/541g.mid.mp3?dl=0" TargetMode="External"/><Relationship Id="rId70" Type="http://schemas.openxmlformats.org/officeDocument/2006/relationships/hyperlink" Target="https://www.dropbox.com/sh/cx7tus4mgkt9o4n/AAARGhCRCfWlHNsriaRjuUXOa/26r.mid.mp3?dl=0" TargetMode="External"/><Relationship Id="rId166" Type="http://schemas.openxmlformats.org/officeDocument/2006/relationships/hyperlink" Target="https://www.dropbox.com/sh/cx7tus4mgkt9o4n/AADUrz6O-N622vrZjiRJxW2Ea/76g.mid.mp3?dl=0" TargetMode="External"/><Relationship Id="rId331" Type="http://schemas.openxmlformats.org/officeDocument/2006/relationships/hyperlink" Target="https://www.dropbox.com/sh/cx7tus4mgkt9o4n/AACQtWHibOCvl3Ho4QteU1Gya/167g.mid.mp3?dl=0" TargetMode="External"/><Relationship Id="rId373" Type="http://schemas.openxmlformats.org/officeDocument/2006/relationships/hyperlink" Target="https://www.dropbox.com/sh/cx7tus4mgkt9o4n/AABl5U1-4FfwzVFXriZUKUP9a/189g.mid.mp3?dl=0" TargetMode="External"/><Relationship Id="rId429" Type="http://schemas.openxmlformats.org/officeDocument/2006/relationships/hyperlink" Target="https://www.dropbox.com/sh/cx7tus4mgkt9o4n/AADhu6brIuKAp0HLcaBlDojea/220g.mid.mp3?dl=0" TargetMode="External"/><Relationship Id="rId580" Type="http://schemas.openxmlformats.org/officeDocument/2006/relationships/hyperlink" Target="https://www.dropbox.com/sh/cx7tus4mgkt9o4n/AAD1eISfV_02yq8rufeWpytMa/303g.mid.mp3?dl=0" TargetMode="External"/><Relationship Id="rId636" Type="http://schemas.openxmlformats.org/officeDocument/2006/relationships/hyperlink" Target="https://www.dropbox.com/sh/cx7tus4mgkt9o4n/AAAXIy3mQ_GvCHqT5S_gz3xLa/373g.mid.mp3?dl=0" TargetMode="External"/><Relationship Id="rId1" Type="http://schemas.openxmlformats.org/officeDocument/2006/relationships/hyperlink" Target="https://www.dropbox.com/sh/cx7tus4mgkt9o4n/AACviSYzp3QrMiFIM0-X6AG1a/1g.mid.mp3?dl=0" TargetMode="External"/><Relationship Id="rId233" Type="http://schemas.openxmlformats.org/officeDocument/2006/relationships/hyperlink" Target="https://www.dropbox.com/sh/cx7tus4mgkt9o4n/AACFyjAt61sbt4BiTw-gN1lUa/113r.mid.mp3?dl=0" TargetMode="External"/><Relationship Id="rId440" Type="http://schemas.openxmlformats.org/officeDocument/2006/relationships/hyperlink" Target="https://www.dropbox.com/sh/cx7tus4mgkt9o4n/AAA2VHiJw72MEAIxH9XecGVwa/225r.mid.mp3?dl=0" TargetMode="External"/><Relationship Id="rId678" Type="http://schemas.openxmlformats.org/officeDocument/2006/relationships/hyperlink" Target="https://www.dropbox.com/sh/cx7tus4mgkt9o4n/AADWkQ6VwEqL9GdnIJ9CsZT6a/423g.mid.mp3?dl=0" TargetMode="External"/><Relationship Id="rId28" Type="http://schemas.openxmlformats.org/officeDocument/2006/relationships/hyperlink" Target="https://www.dropbox.com/sh/cx7tus4mgkt9o4n/AAAK_tjbewqPXT8wVSrF8FdLa/9g.mid.mp3?dl=0" TargetMode="External"/><Relationship Id="rId275" Type="http://schemas.openxmlformats.org/officeDocument/2006/relationships/hyperlink" Target="https://www.dropbox.com/sh/cx7tus4mgkt9o4n/AAAPsnodImqArOt1uXvjreJka/137r.mid.mp3?dl=0" TargetMode="External"/><Relationship Id="rId300" Type="http://schemas.openxmlformats.org/officeDocument/2006/relationships/hyperlink" Target="https://www.dropbox.com/sh/cx7tus4mgkt9o4n/AABvm_5s4QD2PAtXtSXaIksJa/150r.mid.mp3?dl=0" TargetMode="External"/><Relationship Id="rId482" Type="http://schemas.openxmlformats.org/officeDocument/2006/relationships/hyperlink" Target="https://www.dropbox.com/sh/cx7tus4mgkt9o4n/AADLtqAOyfJYo0CEMWJ_g-l3a/248r.mid.mp3?dl=0" TargetMode="External"/><Relationship Id="rId538" Type="http://schemas.openxmlformats.org/officeDocument/2006/relationships/hyperlink" Target="https://www.dropbox.com/sh/cx7tus4mgkt9o4n/AADORHF3ensapYCXkjKevy0Ja/279r.mid.mp3?dl=0" TargetMode="External"/><Relationship Id="rId703" Type="http://schemas.openxmlformats.org/officeDocument/2006/relationships/hyperlink" Target="https://www.dropbox.com/sh/cx7tus4mgkt9o4n/AABhgdUqBcUSWuDyK4gYgvQDa/453g.mid.mp3?dl=0" TargetMode="External"/><Relationship Id="rId745" Type="http://schemas.openxmlformats.org/officeDocument/2006/relationships/hyperlink" Target="https://www.dropbox.com/sh/cx7tus4mgkt9o4n/AABxGVR0v0zHKuxzy8kYIjTna/506g.mid.mp3?dl=0" TargetMode="External"/><Relationship Id="rId81" Type="http://schemas.openxmlformats.org/officeDocument/2006/relationships/hyperlink" Target="https://www.dropbox.com/sh/cx7tus4mgkt9o4n/AAC901oBXlQCeAQs0G5iHQ__a/31r.mid.mp3?dl=0" TargetMode="External"/><Relationship Id="rId135" Type="http://schemas.openxmlformats.org/officeDocument/2006/relationships/hyperlink" Target="https://www.dropbox.com/sh/cx7tus4mgkt9o4n/AADDiHhWhrM-liW8RUZ9ADYna/59r.mid.mp3?dl=0" TargetMode="External"/><Relationship Id="rId177" Type="http://schemas.openxmlformats.org/officeDocument/2006/relationships/hyperlink" Target="https://www.dropbox.com/sh/cx7tus4mgkt9o4n/AAAX3PIyRpcadQV2x9z7cFBMa/82r.mid.mp3?dl=0" TargetMode="External"/><Relationship Id="rId342" Type="http://schemas.openxmlformats.org/officeDocument/2006/relationships/hyperlink" Target="https://www.dropbox.com/sh/cx7tus4mgkt9o4n/AADt3-kKpku3ngVZG0jwxPhNa/172r.mid.mp3?dl=0" TargetMode="External"/><Relationship Id="rId384" Type="http://schemas.openxmlformats.org/officeDocument/2006/relationships/hyperlink" Target="https://www.dropbox.com/sh/cx7tus4mgkt9o4n/AAAI49I9Iq-KntXTBF-LgLxga/194r.mid.mp3?dl=0" TargetMode="External"/><Relationship Id="rId591" Type="http://schemas.openxmlformats.org/officeDocument/2006/relationships/hyperlink" Target="https://www.dropbox.com/sh/cx7tus4mgkt9o4n/AABXAlqrplzMB6sYGxuETyuVa/319g.mid.mp3?dl=0" TargetMode="External"/><Relationship Id="rId605" Type="http://schemas.openxmlformats.org/officeDocument/2006/relationships/hyperlink" Target="https://www.dropbox.com/sh/cx7tus4mgkt9o4n/AAB35lk-2Nyy7pM9azjjsX0Ia/334g.mid.mp3?dl=0" TargetMode="External"/><Relationship Id="rId787" Type="http://schemas.openxmlformats.org/officeDocument/2006/relationships/table" Target="../tables/table4.xml"/><Relationship Id="rId202" Type="http://schemas.openxmlformats.org/officeDocument/2006/relationships/hyperlink" Target="https://www.dropbox.com/sh/cx7tus4mgkt9o4n/AAC97LbCEfXuhgAmmorStzl8a/97g.mid.mp3?dl=0" TargetMode="External"/><Relationship Id="rId244" Type="http://schemas.openxmlformats.org/officeDocument/2006/relationships/hyperlink" Target="https://www.dropbox.com/sh/cx7tus4mgkt9o4n/AACaI-f5PKV7-LhNtEZDbyu_a/120r.mid.mp3?dl=0" TargetMode="External"/><Relationship Id="rId647" Type="http://schemas.openxmlformats.org/officeDocument/2006/relationships/hyperlink" Target="https://www.dropbox.com/sh/cx7tus4mgkt9o4n/AADD-xtMlQ0bkCteRQfUP6JZa/385g.mid.mp3?dl=0" TargetMode="External"/><Relationship Id="rId689" Type="http://schemas.openxmlformats.org/officeDocument/2006/relationships/hyperlink" Target="https://www.dropbox.com/sh/cx7tus4mgkt9o4n/AACFh0AjdY3IiqoTYoiScTeya/435g.mid.mp3?dl=0" TargetMode="External"/><Relationship Id="rId39" Type="http://schemas.openxmlformats.org/officeDocument/2006/relationships/hyperlink" Target="https://www.dropbox.com/sh/cx7tus4mgkt9o4n/AACGlAz-FrvGreDsJAjY_8Xta/16r.mid.mp3?dl=0" TargetMode="External"/><Relationship Id="rId286" Type="http://schemas.openxmlformats.org/officeDocument/2006/relationships/hyperlink" Target="https://www.dropbox.com/sh/cx7tus4mgkt9o4n/AAAZHSXkaDeWVoSDziK13-R4a/143g.mid.mp3?dl=0" TargetMode="External"/><Relationship Id="rId451" Type="http://schemas.openxmlformats.org/officeDocument/2006/relationships/hyperlink" Target="https://www.dropbox.com/sh/cx7tus4mgkt9o4n/AAAMDcE76CEgHYmIm079xYw0a/232g.mid.mp3?dl=0" TargetMode="External"/><Relationship Id="rId493" Type="http://schemas.openxmlformats.org/officeDocument/2006/relationships/hyperlink" Target="https://www.dropbox.com/sh/cx7tus4mgkt9o4n/AAC5jXjqupv9fbkqvbS8MCa-a/254g.mid.mp3?dl=0" TargetMode="External"/><Relationship Id="rId507" Type="http://schemas.openxmlformats.org/officeDocument/2006/relationships/hyperlink" Target="https://www.dropbox.com/sh/cx7tus4mgkt9o4n/AACKQX4f8xS560XPi6E07MGKa/261g.mid.mp3?dl=0" TargetMode="External"/><Relationship Id="rId549" Type="http://schemas.openxmlformats.org/officeDocument/2006/relationships/hyperlink" Target="https://www.dropbox.com/sh/cx7tus4mgkt9o4n/AACnMMb0HV4Kksae49XK74Oya/285g.mid.mp3?dl=0" TargetMode="External"/><Relationship Id="rId714" Type="http://schemas.openxmlformats.org/officeDocument/2006/relationships/hyperlink" Target="https://www.dropbox.com/sh/cx7tus4mgkt9o4n/AADeHwKLFNwKiE8ki3PSgWZka/466g.mid.mp3?dl=0" TargetMode="External"/><Relationship Id="rId756" Type="http://schemas.openxmlformats.org/officeDocument/2006/relationships/hyperlink" Target="https://www.dropbox.com/sh/cx7tus4mgkt9o4n/AAChafik9FmDp4W6IEgmmzRBa/518g.mid.mp3?dl=0" TargetMode="External"/><Relationship Id="rId50" Type="http://schemas.openxmlformats.org/officeDocument/2006/relationships/hyperlink" Target="https://www.dropbox.com/sh/cx7tus4mgkt9o4n/AABb_7hCSUddPpjPUw1uwC8ba/19g.mid.mp3?dl=0" TargetMode="External"/><Relationship Id="rId104" Type="http://schemas.openxmlformats.org/officeDocument/2006/relationships/hyperlink" Target="https://www.dropbox.com/sh/cx7tus4mgkt9o4n/AADc2hPBoQxohK7UPrpC6pSIa/43g.mid.mp3?dl=0" TargetMode="External"/><Relationship Id="rId146" Type="http://schemas.openxmlformats.org/officeDocument/2006/relationships/hyperlink" Target="https://www.dropbox.com/sh/cx7tus4mgkt9o4n/AAAPmlWCXf9wUGn7t0xs2U8Sa/65g.mid.mp3?dl=0" TargetMode="External"/><Relationship Id="rId188" Type="http://schemas.openxmlformats.org/officeDocument/2006/relationships/hyperlink" Target="https://www.dropbox.com/sh/cx7tus4mgkt9o4n/AADatdFGE-dNSnRAcHN46SNua/88g.mid.mp3?dl=0" TargetMode="External"/><Relationship Id="rId311" Type="http://schemas.openxmlformats.org/officeDocument/2006/relationships/hyperlink" Target="https://www.dropbox.com/sh/cx7tus4mgkt9o4n/AAAQvfA-spDpDPpVVr5BUlWQa/156r.mid.mp3?dl=0" TargetMode="External"/><Relationship Id="rId353" Type="http://schemas.openxmlformats.org/officeDocument/2006/relationships/hyperlink" Target="https://www.dropbox.com/sh/cx7tus4mgkt9o4n/AABut6_WNS5pOUZiQ74a4nzxa/179g.mid.mp3?dl=0" TargetMode="External"/><Relationship Id="rId395" Type="http://schemas.openxmlformats.org/officeDocument/2006/relationships/hyperlink" Target="https://www.dropbox.com/sh/cx7tus4mgkt9o4n/AAB59ba7_6MtnWxL7GxA1qzza/201g.mid.mp3?dl=0" TargetMode="External"/><Relationship Id="rId409" Type="http://schemas.openxmlformats.org/officeDocument/2006/relationships/hyperlink" Target="https://www.dropbox.com/sh/cx7tus4mgkt9o4n/AACSOOv5Nz_hN6bqLh7LKVIza/209r.mid.mp3?dl=0" TargetMode="External"/><Relationship Id="rId560" Type="http://schemas.openxmlformats.org/officeDocument/2006/relationships/hyperlink" Target="https://www.dropbox.com/sh/cx7tus4mgkt9o4n/AABY6wuXyN29VX3zasFSN3rNa/290r.mid.mp3?dl=0" TargetMode="External"/><Relationship Id="rId92" Type="http://schemas.openxmlformats.org/officeDocument/2006/relationships/hyperlink" Target="https://www.dropbox.com/sh/cx7tus4mgkt9o4n/AAAB0_x9hiWqplLHcdQP6i2Sa/37g.mid.mp3?dl=0" TargetMode="External"/><Relationship Id="rId213" Type="http://schemas.openxmlformats.org/officeDocument/2006/relationships/hyperlink" Target="https://www.dropbox.com/sh/cx7tus4mgkt9o4n/AAAMIFu0t-DOw8BZo7IIGujVa/103r.mid.mp3?dl=0" TargetMode="External"/><Relationship Id="rId420" Type="http://schemas.openxmlformats.org/officeDocument/2006/relationships/hyperlink" Target="https://www.dropbox.com/sh/cx7tus4mgkt9o4n/AAA66yKl1nC_oRTbMya51K8Xa/215g.mid.mp3?dl=0" TargetMode="External"/><Relationship Id="rId616" Type="http://schemas.openxmlformats.org/officeDocument/2006/relationships/hyperlink" Target="https://www.dropbox.com/sh/cx7tus4mgkt9o4n/AACU5v_9Bvt_1cPCdkMS38tra/351g.mid.mp3?dl=0" TargetMode="External"/><Relationship Id="rId658" Type="http://schemas.openxmlformats.org/officeDocument/2006/relationships/hyperlink" Target="https://www.dropbox.com/sh/cx7tus4mgkt9o4n/AADNwZJVnz3Dnm1qiRyOQI8Ya/401g.mid.mp3?dl=0" TargetMode="External"/><Relationship Id="rId255" Type="http://schemas.openxmlformats.org/officeDocument/2006/relationships/hyperlink" Target="https://www.dropbox.com/sh/cx7tus4mgkt9o4n/AAAYdzNznNU9I_HYBYc3_yXPa/126r.mid.mp3?dl=0" TargetMode="External"/><Relationship Id="rId297" Type="http://schemas.openxmlformats.org/officeDocument/2006/relationships/hyperlink" Target="https://www.dropbox.com/sh/cx7tus4mgkt9o4n/AAAPwqwTHkOnQMTj46zhQYNCa/149g.mid.mp3?dl=0" TargetMode="External"/><Relationship Id="rId462" Type="http://schemas.openxmlformats.org/officeDocument/2006/relationships/hyperlink" Target="https://www.dropbox.com/sh/cx7tus4mgkt9o4n/AACo_SA4N2SmdNkoOZam59cda/237r.mid.mp3?dl=0" TargetMode="External"/><Relationship Id="rId518" Type="http://schemas.openxmlformats.org/officeDocument/2006/relationships/hyperlink" Target="https://www.dropbox.com/sh/cx7tus4mgkt9o4n/AACDY-M6oYflQ0tQ9jrzmiOEa/267r.mid.mp3?dl=0" TargetMode="External"/><Relationship Id="rId725" Type="http://schemas.openxmlformats.org/officeDocument/2006/relationships/hyperlink" Target="https://www.dropbox.com/sh/cx7tus4mgkt9o4n/AADHwIs_31ocZPlXC8P3uSRpa/477g.mid.mp3?dl=0" TargetMode="External"/><Relationship Id="rId115" Type="http://schemas.openxmlformats.org/officeDocument/2006/relationships/hyperlink" Target="https://www.dropbox.com/sh/cx7tus4mgkt9o4n/AADjAPsAKfKWXKJ8SU3ykeaIa/48r.mid.mp3?dl=0" TargetMode="External"/><Relationship Id="rId157" Type="http://schemas.openxmlformats.org/officeDocument/2006/relationships/hyperlink" Target="https://www.dropbox.com/sh/cx7tus4mgkt9o4n/AAAS-yrK1uFmcPx2lWZdlUFda/70r.mid.mp3?dl=0" TargetMode="External"/><Relationship Id="rId322" Type="http://schemas.openxmlformats.org/officeDocument/2006/relationships/hyperlink" Target="https://www.dropbox.com/sh/cx7tus4mgkt9o4n/AAD4K8hEpCOjHX7lj9B7eeD5a/162r.mid.mp3?dl=0" TargetMode="External"/><Relationship Id="rId364" Type="http://schemas.openxmlformats.org/officeDocument/2006/relationships/hyperlink" Target="https://www.dropbox.com/sh/cx7tus4mgkt9o4n/AAACv8THpipwdn5YFsBhWdtsa/184r.mid.mp3?dl=0" TargetMode="External"/><Relationship Id="rId767" Type="http://schemas.openxmlformats.org/officeDocument/2006/relationships/hyperlink" Target="https://www.dropbox.com/sh/cx7tus4mgkt9o4n/AAA8wSh-7Am5pm80_IYrL8cma/531g.mid.mp3?dl=0" TargetMode="External"/><Relationship Id="rId61" Type="http://schemas.openxmlformats.org/officeDocument/2006/relationships/hyperlink" Target="https://www.dropbox.com/sh/cx7tus4mgkt9o4n/AAAds722uYekWq3ikkELlMH0a/22r.mid.mp3?dl=0" TargetMode="External"/><Relationship Id="rId199" Type="http://schemas.openxmlformats.org/officeDocument/2006/relationships/hyperlink" Target="https://www.dropbox.com/sh/cx7tus4mgkt9o4n/AABVKoiFxNMSWMfiOF4TREkqa/95r.mid.mp3?dl=0" TargetMode="External"/><Relationship Id="rId571" Type="http://schemas.openxmlformats.org/officeDocument/2006/relationships/hyperlink" Target="https://www.dropbox.com/sh/cx7tus4mgkt9o4n/AADpEM6ZORUJcrMmZ_71-cAta/296g.mid.mp3?dl=0" TargetMode="External"/><Relationship Id="rId627" Type="http://schemas.openxmlformats.org/officeDocument/2006/relationships/hyperlink" Target="https://www.dropbox.com/sh/cx7tus4mgkt9o4n/AADU72xiepBL_yEqDnW5_wIpa/364g.mid.mp3?dl=0" TargetMode="External"/><Relationship Id="rId669" Type="http://schemas.openxmlformats.org/officeDocument/2006/relationships/hyperlink" Target="https://www.dropbox.com/sh/cx7tus4mgkt9o4n/AABSzIpudnu1-pKghLUtfqQja/414.mid.mp3?dl=0" TargetMode="External"/><Relationship Id="rId19" Type="http://schemas.openxmlformats.org/officeDocument/2006/relationships/hyperlink" Target="https://www.dropbox.com/sh/cx7tus4mgkt9o4n/AABSlhXusQr41jwr-iEdQZEFa/6g.mid.mp3?dl=0" TargetMode="External"/><Relationship Id="rId224" Type="http://schemas.openxmlformats.org/officeDocument/2006/relationships/hyperlink" Target="https://www.dropbox.com/sh/cx7tus4mgkt9o4n/AAAVJy0xwbRxzUkKsY6kucGBa/109g.mid.mp3?dl=0" TargetMode="External"/><Relationship Id="rId266" Type="http://schemas.openxmlformats.org/officeDocument/2006/relationships/hyperlink" Target="https://www.dropbox.com/sh/cx7tus4mgkt9o4n/AADg2H6DBsBJztG-xOGwEc06a/132r.mid.mp3?dl=0" TargetMode="External"/><Relationship Id="rId431" Type="http://schemas.openxmlformats.org/officeDocument/2006/relationships/hyperlink" Target="https://www.dropbox.com/sh/cx7tus4mgkt9o4n/AAAQTlYS0_iGQjPOQl6Rk6ova/221g.mid.mp3?dl=0" TargetMode="External"/><Relationship Id="rId473" Type="http://schemas.openxmlformats.org/officeDocument/2006/relationships/hyperlink" Target="https://www.dropbox.com/sh/cx7tus4mgkt9o4n/AAB79TLccpfLA5lXwrkmHWVda/243r.mid.mp3?dl=0" TargetMode="External"/><Relationship Id="rId529" Type="http://schemas.openxmlformats.org/officeDocument/2006/relationships/hyperlink" Target="https://www.dropbox.com/sh/cx7tus4mgkt9o4n/AADaHtFo0AMDJbpACrNndcU3a/273g.mid.mp3?dl=0" TargetMode="External"/><Relationship Id="rId680" Type="http://schemas.openxmlformats.org/officeDocument/2006/relationships/hyperlink" Target="https://www.dropbox.com/sh/cx7tus4mgkt9o4n/AADfxuT9NsFaQvgoiGNZIsqda/425g.mid.mp3?dl=0" TargetMode="External"/><Relationship Id="rId736" Type="http://schemas.openxmlformats.org/officeDocument/2006/relationships/hyperlink" Target="https://www.dropbox.com/sh/cx7tus4mgkt9o4n/AACX9p0a5zrXX6lGNQyJHg8ga/491g.mid.mp3?dl=0" TargetMode="External"/><Relationship Id="rId30" Type="http://schemas.openxmlformats.org/officeDocument/2006/relationships/hyperlink" Target="https://www.dropbox.com/sh/cx7tus4mgkt9o4n/AABpE4yDGLA-qlQ9uO6Y58Yoa/10g.mid.mp3?dl=0" TargetMode="External"/><Relationship Id="rId126" Type="http://schemas.openxmlformats.org/officeDocument/2006/relationships/hyperlink" Target="https://www.dropbox.com/sh/cx7tus4mgkt9o4n/AAChXNceQZq8IyHdHFHimOeBa/54r.mid.mp3?dl=0" TargetMode="External"/><Relationship Id="rId168" Type="http://schemas.openxmlformats.org/officeDocument/2006/relationships/hyperlink" Target="https://www.dropbox.com/sh/cx7tus4mgkt9o4n/AABRitVdN0vEb32AtW7eMxGRa/77g.mid.mp3?dl=0" TargetMode="External"/><Relationship Id="rId333" Type="http://schemas.openxmlformats.org/officeDocument/2006/relationships/hyperlink" Target="https://www.dropbox.com/sh/cx7tus4mgkt9o4n/AABRbHFK8EYE3MMiYJHaUuvna/168g.mid.mp3?dl=0" TargetMode="External"/><Relationship Id="rId540" Type="http://schemas.openxmlformats.org/officeDocument/2006/relationships/hyperlink" Target="https://www.dropbox.com/sh/cx7tus4mgkt9o4n/AADuM7vnkBO6_6ZIH2wtQeWIa/280r.mid.mp3?dl=0" TargetMode="External"/><Relationship Id="rId778" Type="http://schemas.openxmlformats.org/officeDocument/2006/relationships/hyperlink" Target="https://www.dropbox.com/sh/cx7tus4mgkt9o4n/AACztWFfyIEZybAE8UPcZHXZa/544g.mid.mp3?dl=0" TargetMode="External"/><Relationship Id="rId72" Type="http://schemas.openxmlformats.org/officeDocument/2006/relationships/hyperlink" Target="https://www.dropbox.com/sh/cx7tus4mgkt9o4n/AABPN16cBNfl9hxnneQsAyCJa/27r.mid.mp3?dl=0" TargetMode="External"/><Relationship Id="rId375" Type="http://schemas.openxmlformats.org/officeDocument/2006/relationships/hyperlink" Target="https://www.dropbox.com/sh/cx7tus4mgkt9o4n/AAD18oow6jKJknRMc6uc7-a9a/190g.mid.mp3?dl=0" TargetMode="External"/><Relationship Id="rId582" Type="http://schemas.openxmlformats.org/officeDocument/2006/relationships/hyperlink" Target="https://www.dropbox.com/sh/cx7tus4mgkt9o4n/AACGt4NCZbVyZ8rLaNiAIu9ja/307g.mid.mp3?dl=0" TargetMode="External"/><Relationship Id="rId638" Type="http://schemas.openxmlformats.org/officeDocument/2006/relationships/hyperlink" Target="https://www.dropbox.com/sh/cx7tus4mgkt9o4n/AAAAmMQz5lMjQqRjyYwxy_gxa/375g.mid.mp3?dl=0" TargetMode="External"/><Relationship Id="rId3" Type="http://schemas.openxmlformats.org/officeDocument/2006/relationships/hyperlink" Target="https://www.dropbox.com/sh/cx7tus4mgkt9o4n/AADlo7jLCuNbjulxBSmvtbY5a/1r.mid.mp3?dl=0" TargetMode="External"/><Relationship Id="rId235" Type="http://schemas.openxmlformats.org/officeDocument/2006/relationships/hyperlink" Target="https://www.dropbox.com/sh/cx7tus4mgkt9o4n/AADCkt9B9uXjR0sXMUCRJsMSa/115g.mid.mp3?dl=0" TargetMode="External"/><Relationship Id="rId277" Type="http://schemas.openxmlformats.org/officeDocument/2006/relationships/hyperlink" Target="https://www.dropbox.com/sh/cx7tus4mgkt9o4n/AAC_3WUaQP2BLhdlfscbeATqa/138r.mid.mp3?dl=0" TargetMode="External"/><Relationship Id="rId400" Type="http://schemas.openxmlformats.org/officeDocument/2006/relationships/hyperlink" Target="https://www.dropbox.com/sh/cx7tus4mgkt9o4n/AAA7hPLprVyD3YTjPY-xU75La/203r.mid.mp3?dl=0" TargetMode="External"/><Relationship Id="rId442" Type="http://schemas.openxmlformats.org/officeDocument/2006/relationships/hyperlink" Target="https://www.dropbox.com/sh/cx7tus4mgkt9o4n/AAB5SsKc-KQo3m0CTjstAHoja/226r.mid.mp3?dl=0" TargetMode="External"/><Relationship Id="rId484" Type="http://schemas.openxmlformats.org/officeDocument/2006/relationships/hyperlink" Target="https://www.dropbox.com/sh/cx7tus4mgkt9o4n/AADPnPeXAr6QZPh41IR-XiKba/249r.mid.mp3?dl=0" TargetMode="External"/><Relationship Id="rId705" Type="http://schemas.openxmlformats.org/officeDocument/2006/relationships/hyperlink" Target="https://www.dropbox.com/sh/cx7tus4mgkt9o4n/AACIH05y8SFd3odMFVxzdoGNa/456g.mid.mp3?dl=0" TargetMode="External"/><Relationship Id="rId137" Type="http://schemas.openxmlformats.org/officeDocument/2006/relationships/hyperlink" Target="https://www.dropbox.com/sh/cx7tus4mgkt9o4n/AACEuNpG1inky0YG3SbdnTdfa/60r.mid.mp3?dl=0" TargetMode="External"/><Relationship Id="rId302" Type="http://schemas.openxmlformats.org/officeDocument/2006/relationships/hyperlink" Target="https://www.dropbox.com/sh/cx7tus4mgkt9o4n/AACqDbn3D8aOHZToYz8AOurha/151r.mid.mp3?dl=0" TargetMode="External"/><Relationship Id="rId344" Type="http://schemas.openxmlformats.org/officeDocument/2006/relationships/hyperlink" Target="https://www.dropbox.com/sh/cx7tus4mgkt9o4n/AAAJl5ipQVkdPmnrwMU8Sz59a/173r.mid.mp3?dl=0" TargetMode="External"/><Relationship Id="rId691" Type="http://schemas.openxmlformats.org/officeDocument/2006/relationships/hyperlink" Target="https://www.dropbox.com/sh/cx7tus4mgkt9o4n/AACQfBocDGbQR8povkQY3Ur4a/439g.mid.mp3?dl=0" TargetMode="External"/><Relationship Id="rId747" Type="http://schemas.openxmlformats.org/officeDocument/2006/relationships/hyperlink" Target="https://www.dropbox.com/sh/cx7tus4mgkt9o4n/AACMjiPt3QVjzC5Tr1Qlaa23a/508g.mid.mp3?dl=0" TargetMode="External"/><Relationship Id="rId41" Type="http://schemas.openxmlformats.org/officeDocument/2006/relationships/hyperlink" Target="https://www.dropbox.com/sh/cx7tus4mgkt9o4n/AABTU5Zb6nZAFwcZVCXalOz0a/17g.mid.mp3?dl=0" TargetMode="External"/><Relationship Id="rId83" Type="http://schemas.openxmlformats.org/officeDocument/2006/relationships/hyperlink" Target="https://www.dropbox.com/sh/cx7tus4mgkt9o4n/AACivBoT07jz8Bv6asB0qp8qa/32r.mid.mp3?dl=0" TargetMode="External"/><Relationship Id="rId179" Type="http://schemas.openxmlformats.org/officeDocument/2006/relationships/hyperlink" Target="https://www.dropbox.com/sh/cx7tus4mgkt9o4n/AABemW6hyozK4IJzFnmf01jpa/83r.mid.mp3?dl=0" TargetMode="External"/><Relationship Id="rId386" Type="http://schemas.openxmlformats.org/officeDocument/2006/relationships/hyperlink" Target="https://www.dropbox.com/sh/cx7tus4mgkt9o4n/AADDRbUhjeIsz3_moEQt0riDa/195r.mid.mp3?dl=0" TargetMode="External"/><Relationship Id="rId551" Type="http://schemas.openxmlformats.org/officeDocument/2006/relationships/hyperlink" Target="https://www.dropbox.com/sh/cx7tus4mgkt9o4n/AABvR43C8wP4Az90m0zZ-XDja/286g.mid.mp3?dl=0" TargetMode="External"/><Relationship Id="rId593" Type="http://schemas.openxmlformats.org/officeDocument/2006/relationships/hyperlink" Target="https://www.dropbox.com/sh/cx7tus4mgkt9o4n/AABjzIp90ni3yueXRGrcIhTwa/321g.mid.mp3?dl=0" TargetMode="External"/><Relationship Id="rId607" Type="http://schemas.openxmlformats.org/officeDocument/2006/relationships/hyperlink" Target="https://www.dropbox.com/sh/cx7tus4mgkt9o4n/AABnMtBF-mBmy3ZfhSVx0iYta/341g.mid.mp3?dl=0" TargetMode="External"/><Relationship Id="rId649" Type="http://schemas.openxmlformats.org/officeDocument/2006/relationships/hyperlink" Target="https://www.dropbox.com/sh/cx7tus4mgkt9o4n/AAB5_TsORzwvWtnClsDzjf99a/388g.mid.mp3?dl=0" TargetMode="External"/><Relationship Id="rId190" Type="http://schemas.openxmlformats.org/officeDocument/2006/relationships/hyperlink" Target="https://www.dropbox.com/sh/cx7tus4mgkt9o4n/AAD53w4M_3KaeEFytCRs3Avba/89g.mid.mp3?dl=0" TargetMode="External"/><Relationship Id="rId204" Type="http://schemas.openxmlformats.org/officeDocument/2006/relationships/hyperlink" Target="https://www.dropbox.com/sh/cx7tus4mgkt9o4n/AAA1DK7bMMOqlOr-T0J4JhaEa/98r.mid.mp3?dl=0" TargetMode="External"/><Relationship Id="rId246" Type="http://schemas.openxmlformats.org/officeDocument/2006/relationships/hyperlink" Target="https://www.dropbox.com/sh/cx7tus4mgkt9o4n/AAArgaVjIybG5SZhR3hYjUfta/121r.mid.mp3?dl=0" TargetMode="External"/><Relationship Id="rId288" Type="http://schemas.openxmlformats.org/officeDocument/2006/relationships/hyperlink" Target="https://www.dropbox.com/sh/cx7tus4mgkt9o4n/AAD9ylVob-gJp4srJ4Ezv4pMa/144r.mid.mp3?dl=0" TargetMode="External"/><Relationship Id="rId411" Type="http://schemas.openxmlformats.org/officeDocument/2006/relationships/hyperlink" Target="https://www.dropbox.com/sh/cx7tus4mgkt9o4n/AAAB7Qzp_G7MSTlUlQrW9y21a/210r.mid.mp3?dl=0" TargetMode="External"/><Relationship Id="rId453" Type="http://schemas.openxmlformats.org/officeDocument/2006/relationships/hyperlink" Target="https://www.dropbox.com/sh/cx7tus4mgkt9o4n/AABFCp4bvfayUx28KhIdqgPba/233g.mid.mp3?dl=0" TargetMode="External"/><Relationship Id="rId509" Type="http://schemas.openxmlformats.org/officeDocument/2006/relationships/hyperlink" Target="https://www.dropbox.com/sh/cx7tus4mgkt9o4n/AADW_Ep5Bw1KoOdci-SimxRLa/262r.mid.mp3?dl=0" TargetMode="External"/><Relationship Id="rId660" Type="http://schemas.openxmlformats.org/officeDocument/2006/relationships/hyperlink" Target="https://www.dropbox.com/sh/cx7tus4mgkt9o4n/AAAB7uWjRLQfdPD_chinW8YFa/404g.mid.mp3?dl=0" TargetMode="External"/><Relationship Id="rId106" Type="http://schemas.openxmlformats.org/officeDocument/2006/relationships/hyperlink" Target="https://www.dropbox.com/sh/cx7tus4mgkt9o4n/AAD_v8QskSSTsXZMkSdvdo9Ga/44g.mid.mp3?dl=0" TargetMode="External"/><Relationship Id="rId313" Type="http://schemas.openxmlformats.org/officeDocument/2006/relationships/hyperlink" Target="https://www.dropbox.com/sh/cx7tus4mgkt9o4n/AAAGd2h_UTl0zAfjIzuAfAFla/157r.mid.mp3?dl=0" TargetMode="External"/><Relationship Id="rId495" Type="http://schemas.openxmlformats.org/officeDocument/2006/relationships/hyperlink" Target="https://www.dropbox.com/sh/cx7tus4mgkt9o4n/AACDEa1_mT7yJDHXotes7vqBa/255g.mid.mp3?dl=0" TargetMode="External"/><Relationship Id="rId716" Type="http://schemas.openxmlformats.org/officeDocument/2006/relationships/hyperlink" Target="https://www.dropbox.com/sh/cx7tus4mgkt9o4n/AAA0N-2lDK55zZINSdPpbD4la/468g.mid.mp3?dl=0" TargetMode="External"/><Relationship Id="rId758" Type="http://schemas.openxmlformats.org/officeDocument/2006/relationships/hyperlink" Target="https://www.dropbox.com/sh/cx7tus4mgkt9o4n/AAAFI-XDHqT1ihg6oDmJYb92a/520g.mid.mp3?dl=0" TargetMode="External"/><Relationship Id="rId10" Type="http://schemas.openxmlformats.org/officeDocument/2006/relationships/hyperlink" Target="https://www.dropbox.com/sh/cx7tus4mgkt9o4n/AABRhDXFwhjFgZnAI8wGi3Pfa/3g.mid.mp3?dl=0" TargetMode="External"/><Relationship Id="rId52" Type="http://schemas.openxmlformats.org/officeDocument/2006/relationships/hyperlink" Target="https://www.dropbox.com/sh/cx7tus4mgkt9o4n/AAD1Ttd9zz4gpNbSFxklcCZra/19r.mid.mp3?dl=0" TargetMode="External"/><Relationship Id="rId94" Type="http://schemas.openxmlformats.org/officeDocument/2006/relationships/hyperlink" Target="https://www.dropbox.com/sh/cx7tus4mgkt9o4n/AAA6ki2zGFizOTulyh65YBySa/38g.mid.mp3?dl=0" TargetMode="External"/><Relationship Id="rId148" Type="http://schemas.openxmlformats.org/officeDocument/2006/relationships/hyperlink" Target="https://www.dropbox.com/sh/cx7tus4mgkt9o4n/AACfxdBz8YrAi5FP3nTnOj9Oa/66g.mid.mp3?dl=0" TargetMode="External"/><Relationship Id="rId355" Type="http://schemas.openxmlformats.org/officeDocument/2006/relationships/hyperlink" Target="https://www.dropbox.com/sh/cx7tus4mgkt9o4n/AACb5I7RIzUcFSntPw0hMiw4a/180g.mid.mp3?dl=0" TargetMode="External"/><Relationship Id="rId397" Type="http://schemas.openxmlformats.org/officeDocument/2006/relationships/hyperlink" Target="https://www.dropbox.com/sh/cx7tus4mgkt9o4n/AAC4nYMZcDWpPX-iQQ-b802wa/202g.mid.mp3?dl=0" TargetMode="External"/><Relationship Id="rId520" Type="http://schemas.openxmlformats.org/officeDocument/2006/relationships/hyperlink" Target="https://www.dropbox.com/sh/cx7tus4mgkt9o4n/AAAT31bXm7OypSduAaR90bi-a/268r.mid.mp3?dl=0" TargetMode="External"/><Relationship Id="rId562" Type="http://schemas.openxmlformats.org/officeDocument/2006/relationships/hyperlink" Target="https://www.dropbox.com/sh/cx7tus4mgkt9o4n/AACODSSciFJVYmFdvPw0S0KIa/291r.mid.mp3?dl=0" TargetMode="External"/><Relationship Id="rId618" Type="http://schemas.openxmlformats.org/officeDocument/2006/relationships/hyperlink" Target="https://www.dropbox.com/sh/cx7tus4mgkt9o4n/AABERMx8ZCwWgdsivZrMwiEia/354g.mid.mp3?dl=0" TargetMode="External"/><Relationship Id="rId215" Type="http://schemas.openxmlformats.org/officeDocument/2006/relationships/hyperlink" Target="https://www.dropbox.com/sh/cx7tus4mgkt9o4n/AACdUzh3fT9GKUx1-L4OfSJta/104r.mid.mp3?dl=0" TargetMode="External"/><Relationship Id="rId257" Type="http://schemas.openxmlformats.org/officeDocument/2006/relationships/hyperlink" Target="https://www.dropbox.com/sh/cx7tus4mgkt9o4n/AABf2CWPRwFUW4_x1nv0SI3Sa/127r.mid.mp3?dl=0" TargetMode="External"/><Relationship Id="rId422" Type="http://schemas.openxmlformats.org/officeDocument/2006/relationships/hyperlink" Target="https://www.dropbox.com/sh/cx7tus4mgkt9o4n/AAAi3b2fW8k3NYB31OPznTNca/216g.mid.mp3?dl=0" TargetMode="External"/><Relationship Id="rId464" Type="http://schemas.openxmlformats.org/officeDocument/2006/relationships/hyperlink" Target="https://www.dropbox.com/sh/cx7tus4mgkt9o4n/AADI5nZKpORCZDVBUlDHmzOGa/238r.mid.mp3?dl=0" TargetMode="External"/><Relationship Id="rId299" Type="http://schemas.openxmlformats.org/officeDocument/2006/relationships/hyperlink" Target="https://www.dropbox.com/sh/cx7tus4mgkt9o4n/AADdph4Eu-RwfjtkUxvH5CnQa/150g.mid.mp3?dl=0" TargetMode="External"/><Relationship Id="rId727" Type="http://schemas.openxmlformats.org/officeDocument/2006/relationships/hyperlink" Target="https://www.dropbox.com/sh/cx7tus4mgkt9o4n/AADOv9TMniMt84_LLdqfNe3ea/480g.mid.mp3?dl=0" TargetMode="External"/><Relationship Id="rId63" Type="http://schemas.openxmlformats.org/officeDocument/2006/relationships/hyperlink" Target="https://www.dropbox.com/sh/cx7tus4mgkt9o4n/AADzwq-pyv1vycCGavxuiq0aa/23g.mid.mp3?dl=0" TargetMode="External"/><Relationship Id="rId159" Type="http://schemas.openxmlformats.org/officeDocument/2006/relationships/hyperlink" Target="https://www.dropbox.com/sh/cx7tus4mgkt9o4n/AACE4Mbj26qfnRXeqKjkDUEVa/72g.mid.mp3?dl=0" TargetMode="External"/><Relationship Id="rId366" Type="http://schemas.openxmlformats.org/officeDocument/2006/relationships/hyperlink" Target="https://www.dropbox.com/sh/cx7tus4mgkt9o4n/AAChgDsV2qbQSBeaGXIxEc2_a/185r.mid.mp3?dl=0" TargetMode="External"/><Relationship Id="rId573" Type="http://schemas.openxmlformats.org/officeDocument/2006/relationships/hyperlink" Target="https://www.dropbox.com/sh/cx7tus4mgkt9o4n/AADwim3r9lHBgCFkkBq2sQCwa/297g.mid.mp3?dl=0" TargetMode="External"/><Relationship Id="rId780" Type="http://schemas.openxmlformats.org/officeDocument/2006/relationships/hyperlink" Target="https://www.dropbox.com/sh/cx7tus4mgkt9o4n/AADVfxRGmojPncCkmDo21fwua/546g.mid.mp3?dl=0" TargetMode="External"/><Relationship Id="rId226" Type="http://schemas.openxmlformats.org/officeDocument/2006/relationships/hyperlink" Target="https://www.dropbox.com/sh/cx7tus4mgkt9o4n/AAATV4ZwCoNmI-dTofeYdyXHa/110g.mid.mp3?dl=0" TargetMode="External"/><Relationship Id="rId433" Type="http://schemas.openxmlformats.org/officeDocument/2006/relationships/hyperlink" Target="https://www.dropbox.com/sh/cx7tus4mgkt9o4n/AAD1xoVR3nJWskQgnRG-WdEsa/222g.mid.mp3?dl=0" TargetMode="External"/><Relationship Id="rId640" Type="http://schemas.openxmlformats.org/officeDocument/2006/relationships/hyperlink" Target="https://www.dropbox.com/sh/cx7tus4mgkt9o4n/AACTEEzVwqjJo6EVxVmXNpxma/377g.mid.mp3?dl=0" TargetMode="External"/><Relationship Id="rId738" Type="http://schemas.openxmlformats.org/officeDocument/2006/relationships/hyperlink" Target="https://www.dropbox.com/sh/cx7tus4mgkt9o4n/AABVulGBCpGRgJDxu2z4-_Yaa/497g.mid.mp3?dl=0" TargetMode="External"/><Relationship Id="rId74" Type="http://schemas.openxmlformats.org/officeDocument/2006/relationships/hyperlink" Target="https://www.dropbox.com/sh/cx7tus4mgkt9o4n/AABQPtD99GMymLnLGHh1XZ3Xa/28r.mid.mp3?dl=0" TargetMode="External"/><Relationship Id="rId377" Type="http://schemas.openxmlformats.org/officeDocument/2006/relationships/hyperlink" Target="https://www.dropbox.com/sh/cx7tus4mgkt9o4n/AAA73QTHwDnnLhaH3D2kLnNWa/191g.mid.mp3?dl=0" TargetMode="External"/><Relationship Id="rId500" Type="http://schemas.openxmlformats.org/officeDocument/2006/relationships/hyperlink" Target="https://www.dropbox.com/sh/cx7tus4mgkt9o4n/AABM-bqYRPcGuBewgnmhpXHZa/257r.mid.mp3?dl=0" TargetMode="External"/><Relationship Id="rId584" Type="http://schemas.openxmlformats.org/officeDocument/2006/relationships/hyperlink" Target="https://www.dropbox.com/sh/cx7tus4mgkt9o4n/AABZX5HLNQLwAlBYhakh_Zz2a/310g.mid.mp3?dl=0" TargetMode="External"/><Relationship Id="rId5" Type="http://schemas.openxmlformats.org/officeDocument/2006/relationships/hyperlink" Target="https://www.dropbox.com/sh/cx7tus4mgkt9o4n/AACI8lCZCf25Ml8dEX3tHBMfa/2g.mid.mp3?dl=0" TargetMode="External"/><Relationship Id="rId237" Type="http://schemas.openxmlformats.org/officeDocument/2006/relationships/hyperlink" Target="https://www.dropbox.com/sh/cx7tus4mgkt9o4n/AAD_J-fpxQfANiUzXvUKL8qqa/116g.mid.mp3?dl=0" TargetMode="External"/><Relationship Id="rId444" Type="http://schemas.openxmlformats.org/officeDocument/2006/relationships/hyperlink" Target="https://www.dropbox.com/sh/cx7tus4mgkt9o4n/AAA1g7KvxPwqU0GwEnrMT3BIa/228g.mid.mp3?dl=0" TargetMode="External"/><Relationship Id="rId651" Type="http://schemas.openxmlformats.org/officeDocument/2006/relationships/hyperlink" Target="https://www.dropbox.com/sh/cx7tus4mgkt9o4n/AABYJXMDZxwWQ7l745JQDvQca/390g.mid.mp3?dl=0" TargetMode="External"/><Relationship Id="rId749" Type="http://schemas.openxmlformats.org/officeDocument/2006/relationships/hyperlink" Target="https://www.dropbox.com/sh/cx7tus4mgkt9o4n/AABmxs4xDptGOxNBIMBp0OJja/510g.mid.mp3?dl=0" TargetMode="External"/><Relationship Id="rId290" Type="http://schemas.openxmlformats.org/officeDocument/2006/relationships/hyperlink" Target="https://www.dropbox.com/sh/cx7tus4mgkt9o4n/AACxMW8OqDTPzQmAioKH1Avza/145r.mid.mp3?dl=0" TargetMode="External"/><Relationship Id="rId304" Type="http://schemas.openxmlformats.org/officeDocument/2006/relationships/hyperlink" Target="https://www.dropbox.com/sh/cx7tus4mgkt9o4n/AACJZVMT-4IqiZmDT2gyFQI8a/152r.mid.mp3?dl=0" TargetMode="External"/><Relationship Id="rId388" Type="http://schemas.openxmlformats.org/officeDocument/2006/relationships/hyperlink" Target="https://www.dropbox.com/sh/cx7tus4mgkt9o4n/AADg64pDavCX1IXCjpq6XShRa/196r.mid.mp3?dl=0" TargetMode="External"/><Relationship Id="rId511" Type="http://schemas.openxmlformats.org/officeDocument/2006/relationships/hyperlink" Target="https://www.dropbox.com/sh/cx7tus4mgkt9o4n/AAB11AHbIvKxCd0AuSe17NuTa/263r.mid.mp3?dl=0" TargetMode="External"/><Relationship Id="rId609" Type="http://schemas.openxmlformats.org/officeDocument/2006/relationships/hyperlink" Target="https://www.dropbox.com/sh/cx7tus4mgkt9o4n/AADf__yGwC8GxnsYvPXnyNd6a/343g.mid.mp3?dl=0" TargetMode="External"/><Relationship Id="rId85" Type="http://schemas.openxmlformats.org/officeDocument/2006/relationships/hyperlink" Target="https://www.dropbox.com/sh/cx7tus4mgkt9o4n/AAA-7MgGbWy-quNgKpKLbdTxa/33r.mid.mp3?dl=0" TargetMode="External"/><Relationship Id="rId150" Type="http://schemas.openxmlformats.org/officeDocument/2006/relationships/hyperlink" Target="https://www.dropbox.com/sh/cx7tus4mgkt9o4n/AACEkGwDx2tsbBjxRCwbH6-Pa/67g.mid.mp3?dl=0" TargetMode="External"/><Relationship Id="rId595" Type="http://schemas.openxmlformats.org/officeDocument/2006/relationships/hyperlink" Target="https://www.dropbox.com/sh/cx7tus4mgkt9o4n/AADOuqXq0Uwy0xoTiBGDe0waa/323g.mid.mp3?dl=0" TargetMode="External"/><Relationship Id="rId248" Type="http://schemas.openxmlformats.org/officeDocument/2006/relationships/hyperlink" Target="https://www.dropbox.com/sh/cx7tus4mgkt9o4n/AAB3dIsbbnU_t4JFlZT5zh2Ca/123g.mid.mp3?dl=0" TargetMode="External"/><Relationship Id="rId455" Type="http://schemas.openxmlformats.org/officeDocument/2006/relationships/hyperlink" Target="https://www.dropbox.com/sh/cx7tus4mgkt9o4n/AABu6v65LjAYiLC01Kn1Mor9a/234g.mid.mp3?dl=0" TargetMode="External"/><Relationship Id="rId662" Type="http://schemas.openxmlformats.org/officeDocument/2006/relationships/hyperlink" Target="https://www.dropbox.com/sh/cx7tus4mgkt9o4n/AABx2inrkyZK8SCwzCw9U--Qa/406g.mid.mp3?dl=0" TargetMode="External"/><Relationship Id="rId12" Type="http://schemas.openxmlformats.org/officeDocument/2006/relationships/hyperlink" Target="https://www.dropbox.com/sh/cx7tus4mgkt9o4n/AADiM5SdtRkf05_974m7h5Iia/3r.mid.mp3?dl=0" TargetMode="External"/><Relationship Id="rId108" Type="http://schemas.openxmlformats.org/officeDocument/2006/relationships/hyperlink" Target="https://www.dropbox.com/sh/cx7tus4mgkt9o4n/AABDBY5PPeFZuv5yu5zuYOmUa/45g.mid.mp3?dl=0" TargetMode="External"/><Relationship Id="rId315" Type="http://schemas.openxmlformats.org/officeDocument/2006/relationships/hyperlink" Target="https://www.dropbox.com/sh/cx7tus4mgkt9o4n/AAB-mUAGEtjOzpw8ByQZulQoa/158r.mid.mp3?dl=0" TargetMode="External"/><Relationship Id="rId522" Type="http://schemas.openxmlformats.org/officeDocument/2006/relationships/hyperlink" Target="https://www.dropbox.com/sh/cx7tus4mgkt9o4n/AADHwqILQBf1M4WmMuEfMWw2a/269r.mid.mp3?dl=0" TargetMode="External"/><Relationship Id="rId96" Type="http://schemas.openxmlformats.org/officeDocument/2006/relationships/hyperlink" Target="https://www.dropbox.com/sh/cx7tus4mgkt9o4n/AAAEHJl5QVVmci0qJ864iayoa/39g.mid.mp3?dl=0" TargetMode="External"/><Relationship Id="rId161" Type="http://schemas.openxmlformats.org/officeDocument/2006/relationships/hyperlink" Target="https://www.dropbox.com/sh/cx7tus4mgkt9o4n/AACp-uGZI3kRrLupE3bgPPhfa/73g.mid.mp3?dl=0" TargetMode="External"/><Relationship Id="rId399" Type="http://schemas.openxmlformats.org/officeDocument/2006/relationships/hyperlink" Target="https://www.dropbox.com/sh/cx7tus4mgkt9o4n/AADpY6D9OwNaoWf6XOnGvt7Ba/203g.mid.mp3?dl=0" TargetMode="External"/><Relationship Id="rId259" Type="http://schemas.openxmlformats.org/officeDocument/2006/relationships/hyperlink" Target="https://www.dropbox.com/sh/cx7tus4mgkt9o4n/AABgNwgQWVxZT7-PT6OO8ocSa/128r.mid.mp3?dl=0" TargetMode="External"/><Relationship Id="rId466" Type="http://schemas.openxmlformats.org/officeDocument/2006/relationships/hyperlink" Target="https://www.dropbox.com/sh/cx7tus4mgkt9o4n/AABykl4XSFYIpAdb-0iiA0fya/239r.mid.mp3?dl=0" TargetMode="External"/><Relationship Id="rId673" Type="http://schemas.openxmlformats.org/officeDocument/2006/relationships/hyperlink" Target="https://www.dropbox.com/sh/cx7tus4mgkt9o4n/AAA60L7yZMDbol2XnLUszmaKa/418g.mid.mp3?dl=0" TargetMode="External"/><Relationship Id="rId23" Type="http://schemas.openxmlformats.org/officeDocument/2006/relationships/hyperlink" Target="https://www.dropbox.com/sh/cx7tus4mgkt9o4n/AACtP4aFLZwPSG3vl4g8dy_Pa/7g.mid.mp3?dl=0" TargetMode="External"/><Relationship Id="rId119" Type="http://schemas.openxmlformats.org/officeDocument/2006/relationships/hyperlink" Target="https://www.dropbox.com/sh/cx7tus4mgkt9o4n/AADv5Vgj6o0TxqIj-QBFMmjia/51g.mid.mp3?dl=0" TargetMode="External"/><Relationship Id="rId326" Type="http://schemas.openxmlformats.org/officeDocument/2006/relationships/hyperlink" Target="https://www.dropbox.com/sh/cx7tus4mgkt9o4n/AACErenq1t2rd3VwyNU9uCCVa/164r.mid.mp3?dl=0" TargetMode="External"/><Relationship Id="rId533" Type="http://schemas.openxmlformats.org/officeDocument/2006/relationships/hyperlink" Target="https://www.dropbox.com/sh/cx7tus4mgkt9o4n/AAB4o_xFA0rDSlL05nRRVveFa/275r.mid.mp3?dl=0" TargetMode="External"/><Relationship Id="rId740" Type="http://schemas.openxmlformats.org/officeDocument/2006/relationships/hyperlink" Target="https://www.dropbox.com/sh/cx7tus4mgkt9o4n/AAD_zRkc2-Zx8BjgpKxY71FDa/500g.mid.mp3?dl=0" TargetMode="External"/><Relationship Id="rId172" Type="http://schemas.openxmlformats.org/officeDocument/2006/relationships/hyperlink" Target="https://www.dropbox.com/sh/cx7tus4mgkt9o4n/AABMG8zj4CePZxxjIEdE2-gma/80g.mid.mp3?dl=0" TargetMode="External"/><Relationship Id="rId477" Type="http://schemas.openxmlformats.org/officeDocument/2006/relationships/hyperlink" Target="https://www.dropbox.com/sh/cx7tus4mgkt9o4n/AADtPjlD1_cgdp8DFVT7VFHva/245r.mid.mp3?dl=0" TargetMode="External"/><Relationship Id="rId600" Type="http://schemas.openxmlformats.org/officeDocument/2006/relationships/hyperlink" Target="https://www.dropbox.com/sh/cx7tus4mgkt9o4n/AAD9BTS-NUdYVM2SbAkIhUkwa/328g.mid.mp3?dl=0" TargetMode="External"/><Relationship Id="rId684" Type="http://schemas.openxmlformats.org/officeDocument/2006/relationships/hyperlink" Target="https://www.dropbox.com/sh/cx7tus4mgkt9o4n/AABdI5txCo3t6V-DpYxhCbmJa/429g.mid.mp3?dl=0" TargetMode="External"/><Relationship Id="rId337" Type="http://schemas.openxmlformats.org/officeDocument/2006/relationships/hyperlink" Target="https://www.dropbox.com/sh/cx7tus4mgkt9o4n/AABWjkJgCOy08w74QrKH7z6fa/170g.mid.mp3?dl=0" TargetMode="External"/><Relationship Id="rId34" Type="http://schemas.openxmlformats.org/officeDocument/2006/relationships/hyperlink" Target="https://www.dropbox.com/sh/cx7tus4mgkt9o4n/AACjVeSDGG4uRE0B4lHTnyE1a/15g.mid.mp3?dl=0" TargetMode="External"/><Relationship Id="rId544" Type="http://schemas.openxmlformats.org/officeDocument/2006/relationships/hyperlink" Target="https://www.dropbox.com/sh/cx7tus4mgkt9o4n/AAA29rdG0WfCc0Cxb4oCqbima/282r.mid.mp3?dl=0" TargetMode="External"/><Relationship Id="rId751" Type="http://schemas.openxmlformats.org/officeDocument/2006/relationships/hyperlink" Target="https://www.dropbox.com/sh/cx7tus4mgkt9o4n/AABzXQyXTpGBytoi4YJYGlIRa/512g.mid.mp3?dl=0" TargetMode="External"/><Relationship Id="rId183" Type="http://schemas.openxmlformats.org/officeDocument/2006/relationships/hyperlink" Target="https://www.dropbox.com/sh/cx7tus4mgkt9o4n/AAC-cU_tXvur4O45V0weyDLia/85r.mid.mp3?dl=0" TargetMode="External"/><Relationship Id="rId390" Type="http://schemas.openxmlformats.org/officeDocument/2006/relationships/hyperlink" Target="https://www.dropbox.com/sh/cx7tus4mgkt9o4n/AACs4CbR6RIY0SVumUrNtL_1a/197r.mid.mp3?dl=0" TargetMode="External"/><Relationship Id="rId404" Type="http://schemas.openxmlformats.org/officeDocument/2006/relationships/hyperlink" Target="https://www.dropbox.com/sh/cx7tus4mgkt9o4n/AABil2NIcpw7Na1-xxIw8tJVa/206g.mid.mp3?dl=0" TargetMode="External"/><Relationship Id="rId611" Type="http://schemas.openxmlformats.org/officeDocument/2006/relationships/hyperlink" Target="https://www.dropbox.com/sh/cx7tus4mgkt9o4n/AADtzCGO231BQmp9T4Rtnb7Ia/345g.mid.mp3?dl=0" TargetMode="External"/><Relationship Id="rId250" Type="http://schemas.openxmlformats.org/officeDocument/2006/relationships/hyperlink" Target="https://www.dropbox.com/sh/cx7tus4mgkt9o4n/AADnlmec9g52PPwuwgANmiqaa/124g.mid.mp3?dl=0" TargetMode="External"/><Relationship Id="rId488" Type="http://schemas.openxmlformats.org/officeDocument/2006/relationships/hyperlink" Target="https://www.dropbox.com/sh/cx7tus4mgkt9o4n/AABAh3u2C8ApdUKYHgfMv32Ha/251r.mid.mp3?dl=0" TargetMode="External"/><Relationship Id="rId695" Type="http://schemas.openxmlformats.org/officeDocument/2006/relationships/hyperlink" Target="https://www.dropbox.com/sh/cx7tus4mgkt9o4n/AACwzAUHwc02x1f5qdNv1BGUa/444g.mid.mp3?dl=0" TargetMode="External"/><Relationship Id="rId709" Type="http://schemas.openxmlformats.org/officeDocument/2006/relationships/hyperlink" Target="https://www.dropbox.com/sh/cx7tus4mgkt9o4n/AAAOm0XnL1d7ZyK5iXTz2-R4a/460g.mid.mp3?dl=0" TargetMode="External"/><Relationship Id="rId45" Type="http://schemas.openxmlformats.org/officeDocument/2006/relationships/hyperlink" Target="https://www.dropbox.com/sh/cx7tus4mgkt9o4n/AADRZDk5wA37w6G1wPgfe3Dva/18g.mid.mp3?dl=0" TargetMode="External"/><Relationship Id="rId110" Type="http://schemas.openxmlformats.org/officeDocument/2006/relationships/hyperlink" Target="https://www.dropbox.com/sh/cx7tus4mgkt9o4n/AABKN9Ee0LWLbN-ev9w2vkpla/46g.mid.mp3?dl=0" TargetMode="External"/><Relationship Id="rId348" Type="http://schemas.openxmlformats.org/officeDocument/2006/relationships/hyperlink" Target="https://www.dropbox.com/sh/cx7tus4mgkt9o4n/AADC3muo2KKzwuD2nzVId2eAa/176g.mid.mp3?dl=0" TargetMode="External"/><Relationship Id="rId555" Type="http://schemas.openxmlformats.org/officeDocument/2006/relationships/hyperlink" Target="https://www.dropbox.com/sh/cx7tus4mgkt9o4n/AACi82pEXt8OjS17vuhXKQvsa/288g.mid.mp3?dl=0" TargetMode="External"/><Relationship Id="rId762" Type="http://schemas.openxmlformats.org/officeDocument/2006/relationships/hyperlink" Target="https://www.dropbox.com/sh/cx7tus4mgkt9o4n/AAAIrf79MYzn6orb7K_XmpLaa/526g.mid.mp3?dl=0" TargetMode="External"/><Relationship Id="rId194" Type="http://schemas.openxmlformats.org/officeDocument/2006/relationships/hyperlink" Target="https://www.dropbox.com/sh/cx7tus4mgkt9o4n/AAA0n3jpga9_oQyOAYORHip2a/91g.mid.mp3?dl=0" TargetMode="External"/><Relationship Id="rId208" Type="http://schemas.openxmlformats.org/officeDocument/2006/relationships/hyperlink" Target="https://www.dropbox.com/sh/cx7tus4mgkt9o4n/AAA1Vm9lZ33u6VIITD6gSx3Wa/101g.mid.mp3?dl=0" TargetMode="External"/><Relationship Id="rId415" Type="http://schemas.openxmlformats.org/officeDocument/2006/relationships/hyperlink" Target="https://www.dropbox.com/sh/cx7tus4mgkt9o4n/AACV3BpKZo-HC-ATtwRs9nZ-a/212r.mid.mp3?dl=0" TargetMode="External"/><Relationship Id="rId622" Type="http://schemas.openxmlformats.org/officeDocument/2006/relationships/hyperlink" Target="https://www.dropbox.com/sh/cx7tus4mgkt9o4n/AAAalTBCvS16zQaT2T2nOjZea/358g.mid.mp3?dl=0" TargetMode="External"/><Relationship Id="rId261" Type="http://schemas.openxmlformats.org/officeDocument/2006/relationships/hyperlink" Target="https://www.dropbox.com/sh/cx7tus4mgkt9o4n/AAAnT0sWtJb61YHi7PgnI-vda/129r.mid.mp3?dl=0" TargetMode="External"/><Relationship Id="rId499" Type="http://schemas.openxmlformats.org/officeDocument/2006/relationships/hyperlink" Target="https://www.dropbox.com/sh/cx7tus4mgkt9o4n/AABvtR5yIH_ti7ou8D0aH24ea/257g.mid.mp3?dl=0" TargetMode="External"/><Relationship Id="rId56" Type="http://schemas.openxmlformats.org/officeDocument/2006/relationships/hyperlink" Target="https://www.dropbox.com/sh/cx7tus4mgkt9o4n/AACPwZr7on9FvXWbhO1Y9HOTa/21g.mid.mp3?dl=0" TargetMode="External"/><Relationship Id="rId359" Type="http://schemas.openxmlformats.org/officeDocument/2006/relationships/hyperlink" Target="https://www.dropbox.com/sh/cx7tus4mgkt9o4n/AABx51CsacxbvJ39mfr2COw6a/182g.mid.mp3?dl=0" TargetMode="External"/><Relationship Id="rId566" Type="http://schemas.openxmlformats.org/officeDocument/2006/relationships/hyperlink" Target="https://www.dropbox.com/sh/cx7tus4mgkt9o4n/AACa7mNJuO0LgNNMgMdapa7Ta/293r.mid.mp3?dl=0" TargetMode="External"/><Relationship Id="rId773" Type="http://schemas.openxmlformats.org/officeDocument/2006/relationships/hyperlink" Target="https://www.dropbox.com/sh/cx7tus4mgkt9o4n/AADPBVqdQckthoFTLqe-sbE-a/538g.mid.mp3?dl=0" TargetMode="External"/><Relationship Id="rId121" Type="http://schemas.openxmlformats.org/officeDocument/2006/relationships/hyperlink" Target="https://www.dropbox.com/sh/cx7tus4mgkt9o4n/AADKMd72pIRzRqFWI20rG6iCa/52g.mid.mp3?dl=0" TargetMode="External"/><Relationship Id="rId219" Type="http://schemas.openxmlformats.org/officeDocument/2006/relationships/hyperlink" Target="https://www.dropbox.com/sh/cx7tus4mgkt9o4n/AAB9FTXADIjiWW5EmvEYUSqXa/106r.mid.mp3?dl=0" TargetMode="External"/><Relationship Id="rId426" Type="http://schemas.openxmlformats.org/officeDocument/2006/relationships/hyperlink" Target="https://www.dropbox.com/sh/cx7tus4mgkt9o4n/AAAOrzGOaUJVw4QwhA4aFyzBa/218r.mid.mp3?dl=0" TargetMode="External"/><Relationship Id="rId633" Type="http://schemas.openxmlformats.org/officeDocument/2006/relationships/hyperlink" Target="https://www.dropbox.com/sh/cx7tus4mgkt9o4n/AABPWoffjy2mknVU5iHwhczwa/370g.mid.mp3?dl=0" TargetMode="External"/><Relationship Id="rId67" Type="http://schemas.openxmlformats.org/officeDocument/2006/relationships/hyperlink" Target="https://www.dropbox.com/sh/cx7tus4mgkt9o4n/AAB2eCkCh9a1ewPdtUzKTD2-a/25g.mid.mp3?dl=0" TargetMode="External"/><Relationship Id="rId272" Type="http://schemas.openxmlformats.org/officeDocument/2006/relationships/hyperlink" Target="https://www.dropbox.com/sh/cx7tus4mgkt9o4n/AABATWZvT9jj-VwQXoBEWF4Ca/135r.mid.mp3?dl=0" TargetMode="External"/><Relationship Id="rId577" Type="http://schemas.openxmlformats.org/officeDocument/2006/relationships/hyperlink" Target="https://www.dropbox.com/sh/cx7tus4mgkt9o4n/AAD_7P6BBxmeD45Zp_M2S83Ba/300g.mid.mp3?dl=0" TargetMode="External"/><Relationship Id="rId700" Type="http://schemas.openxmlformats.org/officeDocument/2006/relationships/hyperlink" Target="https://www.dropbox.com/sh/cx7tus4mgkt9o4n/AADdzqX3kngZAtDN9_A30kyZa/450g.mid.mp3?dl=0" TargetMode="External"/><Relationship Id="rId132" Type="http://schemas.openxmlformats.org/officeDocument/2006/relationships/hyperlink" Target="https://www.dropbox.com/sh/cx7tus4mgkt9o4n/AAApzmNUiO4TyObd_qjDZgSca/58g.mid.mp3?dl=0" TargetMode="External"/><Relationship Id="rId784" Type="http://schemas.openxmlformats.org/officeDocument/2006/relationships/hyperlink" Target="https://www.dropbox.com/sh/cx7tus4mgkt9o4n/AACy3o9Imz1kOLJ4c3pd6lk9a/551g.mid.mp3?dl=0" TargetMode="External"/><Relationship Id="rId437" Type="http://schemas.openxmlformats.org/officeDocument/2006/relationships/hyperlink" Target="https://www.dropbox.com/sh/cx7tus4mgkt9o4n/AAAWmlXnhdTigMc7arehE_RCa/224g.mid.mp3?dl=0" TargetMode="External"/><Relationship Id="rId644" Type="http://schemas.openxmlformats.org/officeDocument/2006/relationships/hyperlink" Target="https://www.dropbox.com/sh/cx7tus4mgkt9o4n/AADbqhrX9b7i9O8GGyZWTKsua/382g.mid.mp3?dl=0" TargetMode="External"/><Relationship Id="rId283" Type="http://schemas.openxmlformats.org/officeDocument/2006/relationships/hyperlink" Target="https://www.dropbox.com/sh/cx7tus4mgkt9o4n/AAAnfMM85nqjV30MuY06XP8Ba/141r.mid.mp3?dl=0" TargetMode="External"/><Relationship Id="rId490" Type="http://schemas.openxmlformats.org/officeDocument/2006/relationships/hyperlink" Target="https://www.dropbox.com/sh/cx7tus4mgkt9o4n/AAC9Ky_iALk503OCdxaJJ63qa/252r.mid.mp3?dl=0" TargetMode="External"/><Relationship Id="rId504" Type="http://schemas.openxmlformats.org/officeDocument/2006/relationships/hyperlink" Target="https://www.dropbox.com/sh/cx7tus4mgkt9o4n/AAAfzsJ4o0Q6M_qrecmcB_s7a/259r.mid.mp3?dl=0" TargetMode="External"/><Relationship Id="rId711" Type="http://schemas.openxmlformats.org/officeDocument/2006/relationships/hyperlink" Target="https://www.dropbox.com/sh/cx7tus4mgkt9o4n/AACF1ZtQVsfqHrt0LCoK_hLda/462g.mid.mp3?dl=0" TargetMode="External"/><Relationship Id="rId78" Type="http://schemas.openxmlformats.org/officeDocument/2006/relationships/hyperlink" Target="https://www.dropbox.com/sh/cx7tus4mgkt9o4n/AACtZxbk6GdFwYJFnTbc57CZa/30g.mid.mp3?dl=0" TargetMode="External"/><Relationship Id="rId143" Type="http://schemas.openxmlformats.org/officeDocument/2006/relationships/hyperlink" Target="https://www.dropbox.com/sh/cx7tus4mgkt9o4n/AADanftOekAi-6T7V8DsB0lpa/63r.mid.mp3?dl=0" TargetMode="External"/><Relationship Id="rId350" Type="http://schemas.openxmlformats.org/officeDocument/2006/relationships/hyperlink" Target="https://www.dropbox.com/sh/cx7tus4mgkt9o4n/AAAatUcgTOxbXpgtg-4GqnnFa/177r.mid.mp3?dl=0" TargetMode="External"/><Relationship Id="rId588" Type="http://schemas.openxmlformats.org/officeDocument/2006/relationships/hyperlink" Target="https://www.dropbox.com/sh/cx7tus4mgkt9o4n/AADZuZMHD7k0c25jlq-QlcsSa/316g.mid.mp3?dl=0" TargetMode="External"/><Relationship Id="rId9" Type="http://schemas.openxmlformats.org/officeDocument/2006/relationships/hyperlink" Target="https://www.dropbox.com/sh/cx7tus4mgkt9o4n/AABRhDXFwhjFgZnAI8wGi3Pfa/3g.mid.mp3?dl=0" TargetMode="External"/><Relationship Id="rId210" Type="http://schemas.openxmlformats.org/officeDocument/2006/relationships/hyperlink" Target="https://www.dropbox.com/sh/cx7tus4mgkt9o4n/AAAlLOiBEgaQcIJI13TWYC6Ta/102g.mid.mp3?dl=0" TargetMode="External"/><Relationship Id="rId448" Type="http://schemas.openxmlformats.org/officeDocument/2006/relationships/hyperlink" Target="https://www.dropbox.com/sh/cx7tus4mgkt9o4n/AACwMF0rEbSHXR8OL7Cn9c0aa/230r.mid.mp3?dl=0" TargetMode="External"/><Relationship Id="rId655" Type="http://schemas.openxmlformats.org/officeDocument/2006/relationships/hyperlink" Target="https://www.dropbox.com/sh/cx7tus4mgkt9o4n/AABhFuSk5bzWWmDVz_yV2ltPa/398g.mid.mp3?dl=0" TargetMode="External"/><Relationship Id="rId294" Type="http://schemas.openxmlformats.org/officeDocument/2006/relationships/hyperlink" Target="https://www.dropbox.com/sh/cx7tus4mgkt9o4n/AACuNfNK64U82Xcns5tgVotja/147r.mid.mp3?dl=0" TargetMode="External"/><Relationship Id="rId308" Type="http://schemas.openxmlformats.org/officeDocument/2006/relationships/hyperlink" Target="https://www.dropbox.com/sh/cx7tus4mgkt9o4n/AAAFYr3dM6zPkGTT9W7yduDYa/154r.mid.mp3?dl=0" TargetMode="External"/><Relationship Id="rId515" Type="http://schemas.openxmlformats.org/officeDocument/2006/relationships/hyperlink" Target="https://www.dropbox.com/sh/cx7tus4mgkt9o4n/AAAXEBjgbneXJpyc96hoQDQba/265r.mid.mp3?dl=0" TargetMode="External"/><Relationship Id="rId722" Type="http://schemas.openxmlformats.org/officeDocument/2006/relationships/hyperlink" Target="https://www.dropbox.com/sh/cx7tus4mgkt9o4n/AABAl-Fc3LghmG96M-3ZQoC7a/474g.mid.mp3?dl=0" TargetMode="External"/><Relationship Id="rId89" Type="http://schemas.openxmlformats.org/officeDocument/2006/relationships/hyperlink" Target="https://www.dropbox.com/sh/cx7tus4mgkt9o4n/AAAf1zJSxUvx8W1lj6BZhYm4a/35r.mid.mp3?dl=0" TargetMode="External"/><Relationship Id="rId154" Type="http://schemas.openxmlformats.org/officeDocument/2006/relationships/hyperlink" Target="https://www.dropbox.com/sh/cx7tus4mgkt9o4n/AAAoJ7jCy3kEIRQujnQCX8HVa/69g.mid.mp3?dl=0" TargetMode="External"/><Relationship Id="rId361" Type="http://schemas.openxmlformats.org/officeDocument/2006/relationships/hyperlink" Target="https://www.dropbox.com/sh/cx7tus4mgkt9o4n/AADMlPFgQSLd34zKq2ZPj7kNa/183g.mid.mp3?dl=0" TargetMode="External"/><Relationship Id="rId599" Type="http://schemas.openxmlformats.org/officeDocument/2006/relationships/hyperlink" Target="https://www.dropbox.com/sh/cx7tus4mgkt9o4n/AAA_pHhEUK23-zPqPYif4Mg0a/327g.mid.mp3?dl=0" TargetMode="External"/><Relationship Id="rId459" Type="http://schemas.openxmlformats.org/officeDocument/2006/relationships/hyperlink" Target="https://www.dropbox.com/sh/cx7tus4mgkt9o4n/AAAflaGp_EVWlPqBNreFJR0Ca/236g.mid.mp3?dl=0" TargetMode="External"/><Relationship Id="rId666" Type="http://schemas.openxmlformats.org/officeDocument/2006/relationships/hyperlink" Target="https://www.dropbox.com/sh/cx7tus4mgkt9o4n/AABLj24NW3JUhuuhZyO3cpEwa/411g.mid.mp3?dl=0" TargetMode="External"/><Relationship Id="rId16" Type="http://schemas.openxmlformats.org/officeDocument/2006/relationships/hyperlink" Target="https://www.dropbox.com/sh/cx7tus4mgkt9o4n/AADvuFbqMgfenqYC8KX_Q-nca/4r.mid.mp3?dl=0" TargetMode="External"/><Relationship Id="rId221" Type="http://schemas.openxmlformats.org/officeDocument/2006/relationships/hyperlink" Target="https://www.dropbox.com/sh/cx7tus4mgkt9o4n/AAA6S06k06AplAVzbt5uoUPqa/107r.mid.mp3?dl=0" TargetMode="External"/><Relationship Id="rId319" Type="http://schemas.openxmlformats.org/officeDocument/2006/relationships/hyperlink" Target="https://www.dropbox.com/sh/cx7tus4mgkt9o4n/AAD_B121OWTMUBOizUipFoGOa/160r.mid.mp3?dl=0" TargetMode="External"/><Relationship Id="rId526" Type="http://schemas.openxmlformats.org/officeDocument/2006/relationships/hyperlink" Target="https://www.dropbox.com/sh/cx7tus4mgkt9o4n/AAAid-7NAlxy8cDp4K8zsz-6a/271r.mid.mp3?dl=0" TargetMode="External"/><Relationship Id="rId733" Type="http://schemas.openxmlformats.org/officeDocument/2006/relationships/hyperlink" Target="https://www.dropbox.com/sh/cx7tus4mgkt9o4n/AADe8rkFdlkYZgHfgDRyXLwva/488g.mid.mp3?dl=0" TargetMode="External"/><Relationship Id="rId165" Type="http://schemas.openxmlformats.org/officeDocument/2006/relationships/hyperlink" Target="https://www.dropbox.com/sh/cx7tus4mgkt9o4n/AACdu9xpNubJ-Jx7uTibjWYua/75r.mid.mp3?dl=0" TargetMode="External"/><Relationship Id="rId372" Type="http://schemas.openxmlformats.org/officeDocument/2006/relationships/hyperlink" Target="https://www.dropbox.com/sh/cx7tus4mgkt9o4n/AAAyCesGqjYxTFLgSHRwdR_ea/188r.mid.mp3?dl=0" TargetMode="External"/><Relationship Id="rId677" Type="http://schemas.openxmlformats.org/officeDocument/2006/relationships/hyperlink" Target="https://www.dropbox.com/sh/cx7tus4mgkt9o4n/AAAkgcfwzZMuH0a0Cv1Ka_BBa/422g.mid.mp3?dl=0" TargetMode="External"/><Relationship Id="rId232" Type="http://schemas.openxmlformats.org/officeDocument/2006/relationships/hyperlink" Target="https://www.dropbox.com/sh/cx7tus4mgkt9o4n/AADRPgpg4aVh1Y7qvR8mhyYZa/113g.mid.mp3?dl=0" TargetMode="External"/><Relationship Id="rId27" Type="http://schemas.openxmlformats.org/officeDocument/2006/relationships/hyperlink" Target="https://www.dropbox.com/sh/cx7tus4mgkt9o4n/AAAK_tjbewqPXT8wVSrF8FdLa/9g.mid.mp3?dl=0" TargetMode="External"/><Relationship Id="rId537" Type="http://schemas.openxmlformats.org/officeDocument/2006/relationships/hyperlink" Target="https://www.dropbox.com/sh/cx7tus4mgkt9o4n/AABTOzsGgJhNYXYG6iQdHEKja/278r.mid.mp3?dl=0" TargetMode="External"/><Relationship Id="rId744" Type="http://schemas.openxmlformats.org/officeDocument/2006/relationships/hyperlink" Target="https://www.dropbox.com/sh/cx7tus4mgkt9o4n/AAApegC0bnTCxkfBfcnnwm0pa/505g.mid.mp3?dl=0" TargetMode="External"/><Relationship Id="rId80" Type="http://schemas.openxmlformats.org/officeDocument/2006/relationships/hyperlink" Target="https://www.dropbox.com/sh/cx7tus4mgkt9o4n/AABRJuZJjDQ8Zz2YzmA2tMQ4a/31g.mid.mp3?dl=0" TargetMode="External"/><Relationship Id="rId176" Type="http://schemas.openxmlformats.org/officeDocument/2006/relationships/hyperlink" Target="https://www.dropbox.com/sh/cx7tus4mgkt9o4n/AABYMStiKegQ_bWWHAMiSN6qa/82g.mid.mp3?dl=0" TargetMode="External"/><Relationship Id="rId383" Type="http://schemas.openxmlformats.org/officeDocument/2006/relationships/hyperlink" Target="https://www.dropbox.com/sh/cx7tus4mgkt9o4n/AAANqX1xOnvpSZl05AXv991Za/194g.mid.mp3?dl=0" TargetMode="External"/><Relationship Id="rId590" Type="http://schemas.openxmlformats.org/officeDocument/2006/relationships/hyperlink" Target="https://www.dropbox.com/sh/cx7tus4mgkt9o4n/AAAZneEuToZ9Ahm2IXRG7DjCa/318g.mid.mp3?dl=0" TargetMode="External"/><Relationship Id="rId604" Type="http://schemas.openxmlformats.org/officeDocument/2006/relationships/hyperlink" Target="https://www.dropbox.com/sh/cx7tus4mgkt9o4n/AABY5TOe5p6zwZQN6vdubcMAa/333g.mid.mp3?dl=0" TargetMode="External"/><Relationship Id="rId243" Type="http://schemas.openxmlformats.org/officeDocument/2006/relationships/hyperlink" Target="https://www.dropbox.com/sh/cx7tus4mgkt9o4n/AAAYSa_d5OEtVSUudRC5GS3Fa/120g.mid.mp3?dl=0" TargetMode="External"/><Relationship Id="rId450" Type="http://schemas.openxmlformats.org/officeDocument/2006/relationships/hyperlink" Target="https://www.dropbox.com/sh/cx7tus4mgkt9o4n/AAA8Dlrr2GRpKJVIuqRjqelsa/231r.mid.mp3?dl=0" TargetMode="External"/><Relationship Id="rId688" Type="http://schemas.openxmlformats.org/officeDocument/2006/relationships/hyperlink" Target="https://www.dropbox.com/sh/cx7tus4mgkt9o4n/AAD9fje3Vb_zta92WmDe8YFNa/434g.mid.mp3?dl=0" TargetMode="External"/><Relationship Id="rId38" Type="http://schemas.openxmlformats.org/officeDocument/2006/relationships/hyperlink" Target="https://www.dropbox.com/sh/cx7tus4mgkt9o4n/AABdb_4lZdjy6GTKetqkwSf1a/16g.mid.mp3?dl=0" TargetMode="External"/><Relationship Id="rId103" Type="http://schemas.openxmlformats.org/officeDocument/2006/relationships/hyperlink" Target="https://www.dropbox.com/sh/cx7tus4mgkt9o4n/AADv9_kQN5coSWSwjvhCobXaa/42r.mid.mp3?dl=0" TargetMode="External"/><Relationship Id="rId310" Type="http://schemas.openxmlformats.org/officeDocument/2006/relationships/hyperlink" Target="https://www.dropbox.com/sh/cx7tus4mgkt9o4n/AADTpTOLm9myC7suJc0g7tXga/155r.mid.mp3?dl=0" TargetMode="External"/><Relationship Id="rId548" Type="http://schemas.openxmlformats.org/officeDocument/2006/relationships/hyperlink" Target="https://www.dropbox.com/sh/cx7tus4mgkt9o4n/AADMJh9Cuch-I7axKehbpH_ea/284r.mid.mp3?dl=0" TargetMode="External"/><Relationship Id="rId755" Type="http://schemas.openxmlformats.org/officeDocument/2006/relationships/hyperlink" Target="https://www.dropbox.com/sh/cx7tus4mgkt9o4n/AACAA8EamcbCuQYVmXxr4vHBa/517g.mid.mp3?dl=0" TargetMode="External"/><Relationship Id="rId91" Type="http://schemas.openxmlformats.org/officeDocument/2006/relationships/hyperlink" Target="https://www.dropbox.com/sh/cx7tus4mgkt9o4n/AAAlwf_1dKLcDg1gVZwuZzgIa/36r.mid.mp3?dl=0" TargetMode="External"/><Relationship Id="rId187" Type="http://schemas.openxmlformats.org/officeDocument/2006/relationships/hyperlink" Target="https://www.dropbox.com/sh/cx7tus4mgkt9o4n/AACV3krvLLBzySgUTKZP-GiNa/87r.mid.mp3?dl=0" TargetMode="External"/><Relationship Id="rId394" Type="http://schemas.openxmlformats.org/officeDocument/2006/relationships/hyperlink" Target="https://www.dropbox.com/sh/cx7tus4mgkt9o4n/AABCn2Haw5a_4HiskMnc75FOa/200r.mid.mp3?dl=0" TargetMode="External"/><Relationship Id="rId408" Type="http://schemas.openxmlformats.org/officeDocument/2006/relationships/hyperlink" Target="https://www.dropbox.com/sh/cx7tus4mgkt9o4n/AADzhJkOol_pHDufi1PsB1j3a/209g.mid.mp3?dl=0" TargetMode="External"/><Relationship Id="rId615" Type="http://schemas.openxmlformats.org/officeDocument/2006/relationships/hyperlink" Target="https://www.dropbox.com/sh/cx7tus4mgkt9o4n/AACm7mOksn4CjDavFj1-Vp9ea/350g.mid.mp3?dl=0" TargetMode="External"/><Relationship Id="rId254" Type="http://schemas.openxmlformats.org/officeDocument/2006/relationships/hyperlink" Target="https://www.dropbox.com/sh/cx7tus4mgkt9o4n/AAAMpIyBP70ATcqShSoZpjpra/126g.mid.mp3?dl=0" TargetMode="External"/><Relationship Id="rId699" Type="http://schemas.openxmlformats.org/officeDocument/2006/relationships/hyperlink" Target="https://www.dropbox.com/sh/cx7tus4mgkt9o4n/AAAfcZ-Xfb_rKMTcDFfV9jMGa/449g.mid.mp3?dl=0" TargetMode="External"/><Relationship Id="rId49" Type="http://schemas.openxmlformats.org/officeDocument/2006/relationships/hyperlink" Target="https://www.dropbox.com/sh/cx7tus4mgkt9o4n/AABb_7hCSUddPpjPUw1uwC8ba/19g.mid.mp3?dl=0" TargetMode="External"/><Relationship Id="rId114" Type="http://schemas.openxmlformats.org/officeDocument/2006/relationships/hyperlink" Target="https://www.dropbox.com/sh/cx7tus4mgkt9o4n/AADucXL1OF9bL8rI4ncSUl2_a/48g.mid.mp3?dl=0" TargetMode="External"/><Relationship Id="rId461" Type="http://schemas.openxmlformats.org/officeDocument/2006/relationships/hyperlink" Target="https://www.dropbox.com/sh/cx7tus4mgkt9o4n/AADcSAUPKqrxcHPUawHy-vh2a/237g.mid.mp3?dl=0" TargetMode="External"/><Relationship Id="rId559" Type="http://schemas.openxmlformats.org/officeDocument/2006/relationships/hyperlink" Target="https://www.dropbox.com/sh/cx7tus4mgkt9o4n/AAD5TttXhoVUcAUeaP2S_8Jwa/290g.mid.mp3?dl=0" TargetMode="External"/><Relationship Id="rId766" Type="http://schemas.openxmlformats.org/officeDocument/2006/relationships/hyperlink" Target="https://www.dropbox.com/sh/cx7tus4mgkt9o4n/AABn-Dh_Wulkv3RPWt2GJ6eGa/530g.mid.mp3?dl=0" TargetMode="External"/><Relationship Id="rId198" Type="http://schemas.openxmlformats.org/officeDocument/2006/relationships/hyperlink" Target="https://www.dropbox.com/sh/cx7tus4mgkt9o4n/AADFPNNYNNhhiYKyvfxUZdbda/95g.mid.mp3?dl=0" TargetMode="External"/><Relationship Id="rId321" Type="http://schemas.openxmlformats.org/officeDocument/2006/relationships/hyperlink" Target="https://www.dropbox.com/sh/cx7tus4mgkt9o4n/AACD4LDvncT8Z42wwECx78Afa/162g.mid.mp3?dl=0" TargetMode="External"/><Relationship Id="rId419" Type="http://schemas.openxmlformats.org/officeDocument/2006/relationships/hyperlink" Target="https://www.dropbox.com/sh/cx7tus4mgkt9o4n/AAAfXxwjxYQvzqVpxB8ssjePa/214r.mid.mp3?dl=0" TargetMode="External"/><Relationship Id="rId626" Type="http://schemas.openxmlformats.org/officeDocument/2006/relationships/hyperlink" Target="https://www.dropbox.com/sh/cx7tus4mgkt9o4n/AABuTQc-sRXBvxii3gpyxYvna/363g.mid.mp3?dl=0" TargetMode="External"/><Relationship Id="rId265" Type="http://schemas.openxmlformats.org/officeDocument/2006/relationships/hyperlink" Target="https://www.dropbox.com/sh/cx7tus4mgkt9o4n/AADdSPKJHbtpCNDdN01foeK9a/132g.mid.mp3?dl=0" TargetMode="External"/><Relationship Id="rId472" Type="http://schemas.openxmlformats.org/officeDocument/2006/relationships/hyperlink" Target="https://www.dropbox.com/sh/cx7tus4mgkt9o4n/AAD_Uh2wVfbZwV4Zb6OGRBw5a/242r.mid.mp3?dl=0" TargetMode="External"/><Relationship Id="rId125" Type="http://schemas.openxmlformats.org/officeDocument/2006/relationships/hyperlink" Target="https://www.dropbox.com/sh/cx7tus4mgkt9o4n/AABTKC1_i3xw0t4Z3HpvKB1pa/54g.mid.mp3?dl=0" TargetMode="External"/><Relationship Id="rId332" Type="http://schemas.openxmlformats.org/officeDocument/2006/relationships/hyperlink" Target="https://www.dropbox.com/sh/cx7tus4mgkt9o4n/AAB6Bus4ZI7Td8XmNkHvh3fba/167r.mid.mp3?dl=0" TargetMode="External"/><Relationship Id="rId777" Type="http://schemas.openxmlformats.org/officeDocument/2006/relationships/hyperlink" Target="https://www.dropbox.com/sh/cx7tus4mgkt9o4n/AACRPamWNV9ZKHnFNSo0qa7za/543g.mid.mp3?dl=0" TargetMode="External"/><Relationship Id="rId637" Type="http://schemas.openxmlformats.org/officeDocument/2006/relationships/hyperlink" Target="https://www.dropbox.com/sh/cx7tus4mgkt9o4n/AAAaiAw4nJw2usldsh3akriba/374g.mid.mp3?dl=0" TargetMode="External"/><Relationship Id="rId276" Type="http://schemas.openxmlformats.org/officeDocument/2006/relationships/hyperlink" Target="https://www.dropbox.com/sh/cx7tus4mgkt9o4n/AAChGo-Q3KHize3uxlNChddCa/138g.mid.mp3?dl=0" TargetMode="External"/><Relationship Id="rId483" Type="http://schemas.openxmlformats.org/officeDocument/2006/relationships/hyperlink" Target="https://www.dropbox.com/sh/cx7tus4mgkt9o4n/AAC_Ios8o06i7JnXIsVXHrPia/249g.mid.mp3?dl=0" TargetMode="External"/><Relationship Id="rId690" Type="http://schemas.openxmlformats.org/officeDocument/2006/relationships/hyperlink" Target="https://www.dropbox.com/sh/cx7tus4mgkt9o4n/AABZZtKPw3SMFkqHRzVAuP4ua/436g.mid.mp3?dl=0" TargetMode="External"/><Relationship Id="rId704" Type="http://schemas.openxmlformats.org/officeDocument/2006/relationships/hyperlink" Target="https://www.dropbox.com/sh/cx7tus4mgkt9o4n/AACYwiPsB827irDntkY9SQR3a/454g.mid.mp3?dl=0" TargetMode="External"/><Relationship Id="rId40" Type="http://schemas.openxmlformats.org/officeDocument/2006/relationships/hyperlink" Target="https://www.dropbox.com/sh/cx7tus4mgkt9o4n/AACGlAz-FrvGreDsJAjY_8Xta/16r.mid.mp3?dl=0" TargetMode="External"/><Relationship Id="rId136" Type="http://schemas.openxmlformats.org/officeDocument/2006/relationships/hyperlink" Target="https://www.dropbox.com/sh/cx7tus4mgkt9o4n/AAAV5tYGB2u_53TniuOi6p0ra/60g.mid.mp3?dl=0" TargetMode="External"/><Relationship Id="rId343" Type="http://schemas.openxmlformats.org/officeDocument/2006/relationships/hyperlink" Target="https://www.dropbox.com/sh/cx7tus4mgkt9o4n/AABpodpkf3czgze5PIVIgDEAa/173g.mid.mp3?dl=0" TargetMode="External"/><Relationship Id="rId550" Type="http://schemas.openxmlformats.org/officeDocument/2006/relationships/hyperlink" Target="https://www.dropbox.com/sh/cx7tus4mgkt9o4n/AABolRPVMDVQZHYy1dIaz0Jqa/285r.mid.mp3?dl=0" TargetMode="External"/><Relationship Id="rId203" Type="http://schemas.openxmlformats.org/officeDocument/2006/relationships/hyperlink" Target="https://www.dropbox.com/sh/cx7tus4mgkt9o4n/AACVx-Nq4sa3fEGcsM09TOVza/97r.mid.mp3?dl=0" TargetMode="External"/><Relationship Id="rId648" Type="http://schemas.openxmlformats.org/officeDocument/2006/relationships/hyperlink" Target="https://www.dropbox.com/sh/cx7tus4mgkt9o4n/AAA5BP6L0FkQCyiLunKgVPS8a/387g.mid.mp3?dl=0" TargetMode="External"/><Relationship Id="rId287" Type="http://schemas.openxmlformats.org/officeDocument/2006/relationships/hyperlink" Target="https://www.dropbox.com/sh/cx7tus4mgkt9o4n/AABMiceqexGOG175ZaPeqqJRa/144g.mid.mp3?dl=0" TargetMode="External"/><Relationship Id="rId410" Type="http://schemas.openxmlformats.org/officeDocument/2006/relationships/hyperlink" Target="https://www.dropbox.com/sh/cx7tus4mgkt9o4n/AACNRux_XsrktlJ-MZ0F4fjoa/210g.mid.mp3?dl=0" TargetMode="External"/><Relationship Id="rId494" Type="http://schemas.openxmlformats.org/officeDocument/2006/relationships/hyperlink" Target="https://www.dropbox.com/sh/cx7tus4mgkt9o4n/AACuoGjPssigxQIbDEEnZbL_a/254r.mid.mp3?dl=0" TargetMode="External"/><Relationship Id="rId508" Type="http://schemas.openxmlformats.org/officeDocument/2006/relationships/hyperlink" Target="https://www.dropbox.com/sh/cx7tus4mgkt9o4n/AACZlGGRaC0hsEK0IbA9XQJqa/261r.mid.mp3?dl=0" TargetMode="External"/><Relationship Id="rId715" Type="http://schemas.openxmlformats.org/officeDocument/2006/relationships/hyperlink" Target="https://www.dropbox.com/sh/cx7tus4mgkt9o4n/AACTrYprQziiPJynQQ7NlPgla/467g.mid.mp3?dl=0" TargetMode="External"/><Relationship Id="rId147" Type="http://schemas.openxmlformats.org/officeDocument/2006/relationships/hyperlink" Target="https://www.dropbox.com/sh/cx7tus4mgkt9o4n/AAAiViPLwMudA7APU0NK-RHIa/65r.mid.mp3?dl=0" TargetMode="External"/><Relationship Id="rId354" Type="http://schemas.openxmlformats.org/officeDocument/2006/relationships/hyperlink" Target="https://www.dropbox.com/sh/cx7tus4mgkt9o4n/AACesAH6qXOQy1IJgZY-SeTGa/179r.mid.mp3?dl=0" TargetMode="External"/><Relationship Id="rId51" Type="http://schemas.openxmlformats.org/officeDocument/2006/relationships/hyperlink" Target="https://www.dropbox.com/sh/cx7tus4mgkt9o4n/AAD1Ttd9zz4gpNbSFxklcCZra/19r.mid.mp3?dl=0" TargetMode="External"/><Relationship Id="rId561" Type="http://schemas.openxmlformats.org/officeDocument/2006/relationships/hyperlink" Target="https://www.dropbox.com/sh/cx7tus4mgkt9o4n/AADiZ1dGsHXh3YSrgFnhfVJSa/291g.mid.mp3?dl=0" TargetMode="External"/><Relationship Id="rId659" Type="http://schemas.openxmlformats.org/officeDocument/2006/relationships/hyperlink" Target="https://www.dropbox.com/sh/cx7tus4mgkt9o4n/AACCr5A3y8tQqee0WedK33Bqa/403g.mid.mp3?dl=0" TargetMode="External"/><Relationship Id="rId214" Type="http://schemas.openxmlformats.org/officeDocument/2006/relationships/hyperlink" Target="https://www.dropbox.com/sh/cx7tus4mgkt9o4n/AAB5hdU4BWLr61WNOozRdBFTa/104g.mid.mp3?dl=0" TargetMode="External"/><Relationship Id="rId298" Type="http://schemas.openxmlformats.org/officeDocument/2006/relationships/hyperlink" Target="https://www.dropbox.com/sh/cx7tus4mgkt9o4n/AAAMKhQ4SBti6M2OdY75EySza/149r.mid.mp3?dl=0" TargetMode="External"/><Relationship Id="rId421" Type="http://schemas.openxmlformats.org/officeDocument/2006/relationships/hyperlink" Target="https://www.dropbox.com/sh/cx7tus4mgkt9o4n/AADR4m-X-BWOq0jk7L83l3FVa/215r.mid.mp3?dl=0" TargetMode="External"/><Relationship Id="rId519" Type="http://schemas.openxmlformats.org/officeDocument/2006/relationships/hyperlink" Target="https://www.dropbox.com/sh/cx7tus4mgkt9o4n/AABFJrJed13FVxa2EGVqMPO0a/268g.mid.mp3?dl=0" TargetMode="External"/><Relationship Id="rId158" Type="http://schemas.openxmlformats.org/officeDocument/2006/relationships/hyperlink" Target="https://www.dropbox.com/sh/cx7tus4mgkt9o4n/AADNZc4CV67su0OAdFDEe7Qta/71r.mid.mp3?dl=0" TargetMode="External"/><Relationship Id="rId726" Type="http://schemas.openxmlformats.org/officeDocument/2006/relationships/hyperlink" Target="https://www.dropbox.com/sh/cx7tus4mgkt9o4n/AAA3OcqwAbslmkuTY3W4Syyba/478g.mid.mp3?dl=0" TargetMode="External"/><Relationship Id="rId62" Type="http://schemas.openxmlformats.org/officeDocument/2006/relationships/hyperlink" Target="https://www.dropbox.com/sh/cx7tus4mgkt9o4n/AADzwq-pyv1vycCGavxuiq0aa/23g.mid.mp3?dl=0" TargetMode="External"/><Relationship Id="rId365" Type="http://schemas.openxmlformats.org/officeDocument/2006/relationships/hyperlink" Target="https://www.dropbox.com/sh/cx7tus4mgkt9o4n/AAChbuISk-DPlarUJbtdMsdWa/185g.mid.mp3?dl=0" TargetMode="External"/><Relationship Id="rId572" Type="http://schemas.openxmlformats.org/officeDocument/2006/relationships/hyperlink" Target="https://www.dropbox.com/sh/cx7tus4mgkt9o4n/AACLqiqhjeo7va20gc5xRWBNa/296r.mid.mp3?dl=0" TargetMode="External"/><Relationship Id="rId225" Type="http://schemas.openxmlformats.org/officeDocument/2006/relationships/hyperlink" Target="https://www.dropbox.com/sh/cx7tus4mgkt9o4n/AADhTuZMVw4nslg5CacIitV8a/109r.mid.mp3?dl=0" TargetMode="External"/><Relationship Id="rId432" Type="http://schemas.openxmlformats.org/officeDocument/2006/relationships/hyperlink" Target="https://www.dropbox.com/sh/cx7tus4mgkt9o4n/AAAtEyCVo1TUSq0YI1v7lmr4a/221r.mid.mp3?dl=0" TargetMode="External"/><Relationship Id="rId737" Type="http://schemas.openxmlformats.org/officeDocument/2006/relationships/hyperlink" Target="https://www.dropbox.com/sh/cx7tus4mgkt9o4n/AACYS4Cc-AuIb2YoFEtn3wa6a/493g.mid.mp3?dl=0" TargetMode="External"/><Relationship Id="rId73" Type="http://schemas.openxmlformats.org/officeDocument/2006/relationships/hyperlink" Target="https://www.dropbox.com/sh/cx7tus4mgkt9o4n/AAAVHSRJp_TDpPpmrxeh2EESa/28g.mid.mp3?dl=0" TargetMode="External"/><Relationship Id="rId169" Type="http://schemas.openxmlformats.org/officeDocument/2006/relationships/hyperlink" Target="https://www.dropbox.com/sh/cx7tus4mgkt9o4n/AAAiUMTmrZ1ptJpLhwm-d8zSa/77r.mid.mp3?dl=0" TargetMode="External"/><Relationship Id="rId376" Type="http://schemas.openxmlformats.org/officeDocument/2006/relationships/hyperlink" Target="https://www.dropbox.com/sh/cx7tus4mgkt9o4n/AAB59JBAursW4G-yXBbwEHrka/190r.mid.mp3?dl=0" TargetMode="External"/><Relationship Id="rId583" Type="http://schemas.openxmlformats.org/officeDocument/2006/relationships/hyperlink" Target="https://www.dropbox.com/sh/cx7tus4mgkt9o4n/AADIn_27YSlBhBa6QquiIKSga/308g.mid.mp3?dl=0" TargetMode="External"/><Relationship Id="rId4" Type="http://schemas.openxmlformats.org/officeDocument/2006/relationships/hyperlink" Target="https://www.dropbox.com/sh/cx7tus4mgkt9o4n/AADlo7jLCuNbjulxBSmvtbY5a/1r.mid.mp3?dl=0" TargetMode="External"/><Relationship Id="rId236" Type="http://schemas.openxmlformats.org/officeDocument/2006/relationships/hyperlink" Target="https://www.dropbox.com/sh/cx7tus4mgkt9o4n/AADf6L8HuWih2BW1VnfYdQAka/115r.mid.mp3?dl=0" TargetMode="External"/><Relationship Id="rId443" Type="http://schemas.openxmlformats.org/officeDocument/2006/relationships/hyperlink" Target="https://www.dropbox.com/sh/cx7tus4mgkt9o4n/AACrxz_kT5RO6r6FdNrD_C3pa/227r.mid.mp3?dl=0" TargetMode="External"/><Relationship Id="rId650" Type="http://schemas.openxmlformats.org/officeDocument/2006/relationships/hyperlink" Target="https://www.dropbox.com/sh/cx7tus4mgkt9o4n/AABGRvt-D17qW685sM6GeIPea/389g.mid.mp3?dl=0" TargetMode="External"/><Relationship Id="rId303" Type="http://schemas.openxmlformats.org/officeDocument/2006/relationships/hyperlink" Target="https://www.dropbox.com/sh/cx7tus4mgkt9o4n/AABEi9K57T9LOUqc9MSHGSQoa/152g.mid.mp3?dl=0" TargetMode="External"/><Relationship Id="rId748" Type="http://schemas.openxmlformats.org/officeDocument/2006/relationships/hyperlink" Target="https://www.dropbox.com/sh/cx7tus4mgkt9o4n/AADdeYOx7LB6n06un3NrYyvCa/509g.mid.mp3?dl=0" TargetMode="External"/><Relationship Id="rId84" Type="http://schemas.openxmlformats.org/officeDocument/2006/relationships/hyperlink" Target="https://www.dropbox.com/sh/cx7tus4mgkt9o4n/AABkD8ccRnM36Pgj3ADZ_DFqa/33g.mid.mp3?dl=0" TargetMode="External"/><Relationship Id="rId387" Type="http://schemas.openxmlformats.org/officeDocument/2006/relationships/hyperlink" Target="https://www.dropbox.com/sh/cx7tus4mgkt9o4n/AABWgQwmOpd3vdUdikq0QV7Ma/196g.mid.mp3?dl=0" TargetMode="External"/><Relationship Id="rId510" Type="http://schemas.openxmlformats.org/officeDocument/2006/relationships/hyperlink" Target="https://www.dropbox.com/sh/cx7tus4mgkt9o4n/AABz9Xb0sQLq1g3xFGc4DDiUa/263g.mid.mp3?dl=0" TargetMode="External"/><Relationship Id="rId594" Type="http://schemas.openxmlformats.org/officeDocument/2006/relationships/hyperlink" Target="https://www.dropbox.com/sh/cx7tus4mgkt9o4n/AAB1MvB2d7dyyWCQMlHQ1rO_a/322g.mid.mp3?dl=0" TargetMode="External"/><Relationship Id="rId608" Type="http://schemas.openxmlformats.org/officeDocument/2006/relationships/hyperlink" Target="https://www.dropbox.com/sh/cx7tus4mgkt9o4n/AABDpW3j8Oty4uGWbgeTKNxRa/342g.mid.mp3?dl=0" TargetMode="External"/><Relationship Id="rId247" Type="http://schemas.openxmlformats.org/officeDocument/2006/relationships/hyperlink" Target="https://www.dropbox.com/sh/cx7tus4mgkt9o4n/AACvI_tMFwd4IYeM9C9XefSSa/122g.mid.mp3?dl=0" TargetMode="External"/><Relationship Id="rId107" Type="http://schemas.openxmlformats.org/officeDocument/2006/relationships/hyperlink" Target="https://www.dropbox.com/sh/cx7tus4mgkt9o4n/AADqVix9RUM1JrIw8UTHlXYZa/44r.mid.mp3?dl=0" TargetMode="External"/><Relationship Id="rId454" Type="http://schemas.openxmlformats.org/officeDocument/2006/relationships/hyperlink" Target="https://www.dropbox.com/sh/cx7tus4mgkt9o4n/AADb65UYNNtk55CTGLnwHB0Ha/233r.mid.mp3?dl=0" TargetMode="External"/><Relationship Id="rId661" Type="http://schemas.openxmlformats.org/officeDocument/2006/relationships/hyperlink" Target="https://www.dropbox.com/sh/cx7tus4mgkt9o4n/AACci9fqInu7hCCsEOxfWt88a/405g.mid.mp3?dl=0" TargetMode="External"/><Relationship Id="rId759" Type="http://schemas.openxmlformats.org/officeDocument/2006/relationships/hyperlink" Target="https://www.dropbox.com/sh/cx7tus4mgkt9o4n/AABrWuVIRrpi04RxdY_h-TpKa/522g.mid.mp3?dl=0" TargetMode="External"/><Relationship Id="rId11" Type="http://schemas.openxmlformats.org/officeDocument/2006/relationships/hyperlink" Target="https://www.dropbox.com/sh/cx7tus4mgkt9o4n/AADiM5SdtRkf05_974m7h5Iia/3r.mid.mp3?dl=0" TargetMode="External"/><Relationship Id="rId314" Type="http://schemas.openxmlformats.org/officeDocument/2006/relationships/hyperlink" Target="https://www.dropbox.com/sh/cx7tus4mgkt9o4n/AACE3sNExcR_lYNIWxNdPddAa/158g.mid.mp3?dl=0" TargetMode="External"/><Relationship Id="rId398" Type="http://schemas.openxmlformats.org/officeDocument/2006/relationships/hyperlink" Target="https://www.dropbox.com/sh/cx7tus4mgkt9o4n/AABmdlmW2JE8Uymzz-BeOXpba/202r.mid.mp3?dl=0" TargetMode="External"/><Relationship Id="rId521" Type="http://schemas.openxmlformats.org/officeDocument/2006/relationships/hyperlink" Target="https://www.dropbox.com/sh/cx7tus4mgkt9o4n/AAAUReyvyej0B-wh6WChR5tna/269g.mid.mp3?dl=0" TargetMode="External"/><Relationship Id="rId619" Type="http://schemas.openxmlformats.org/officeDocument/2006/relationships/hyperlink" Target="https://www.dropbox.com/sh/cx7tus4mgkt9o4n/AADHqGzCOVCzjuivVUwCUzMaa/355g.mid.mp3?dl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05EDA-55FA-CC40-8A48-7192AD705398}">
  <dimension ref="A3:B409"/>
  <sheetViews>
    <sheetView topLeftCell="A34" workbookViewId="0">
      <selection activeCell="A3" sqref="A3"/>
    </sheetView>
  </sheetViews>
  <sheetFormatPr defaultColWidth="11.19921875" defaultRowHeight="15.6" x14ac:dyDescent="0.3"/>
  <cols>
    <col min="1" max="1" width="33.69921875" bestFit="1" customWidth="1"/>
    <col min="2" max="2" width="15.19921875" bestFit="1" customWidth="1"/>
  </cols>
  <sheetData>
    <row r="3" spans="1:2" x14ac:dyDescent="0.3">
      <c r="A3" s="8" t="s">
        <v>2917</v>
      </c>
      <c r="B3" t="s">
        <v>2919</v>
      </c>
    </row>
    <row r="4" spans="1:2" x14ac:dyDescent="0.3">
      <c r="A4" s="9" t="s">
        <v>2732</v>
      </c>
      <c r="B4" s="4">
        <v>1</v>
      </c>
    </row>
    <row r="5" spans="1:2" x14ac:dyDescent="0.3">
      <c r="A5" s="9" t="s">
        <v>1516</v>
      </c>
      <c r="B5" s="4">
        <v>1</v>
      </c>
    </row>
    <row r="6" spans="1:2" x14ac:dyDescent="0.3">
      <c r="A6" s="9" t="s">
        <v>2757</v>
      </c>
      <c r="B6" s="4">
        <v>1</v>
      </c>
    </row>
    <row r="7" spans="1:2" x14ac:dyDescent="0.3">
      <c r="A7" s="9" t="s">
        <v>2756</v>
      </c>
      <c r="B7" s="4">
        <v>1</v>
      </c>
    </row>
    <row r="8" spans="1:2" x14ac:dyDescent="0.3">
      <c r="A8" s="9" t="s">
        <v>2840</v>
      </c>
      <c r="B8" s="4">
        <v>1</v>
      </c>
    </row>
    <row r="9" spans="1:2" x14ac:dyDescent="0.3">
      <c r="A9" s="9" t="s">
        <v>2883</v>
      </c>
      <c r="B9" s="4">
        <v>1</v>
      </c>
    </row>
    <row r="10" spans="1:2" x14ac:dyDescent="0.3">
      <c r="A10" s="9" t="s">
        <v>531</v>
      </c>
      <c r="B10" s="4">
        <v>1</v>
      </c>
    </row>
    <row r="11" spans="1:2" x14ac:dyDescent="0.3">
      <c r="A11" s="9" t="s">
        <v>2717</v>
      </c>
      <c r="B11" s="4">
        <v>1</v>
      </c>
    </row>
    <row r="12" spans="1:2" x14ac:dyDescent="0.3">
      <c r="A12" s="9" t="s">
        <v>2897</v>
      </c>
      <c r="B12" s="4">
        <v>1</v>
      </c>
    </row>
    <row r="13" spans="1:2" x14ac:dyDescent="0.3">
      <c r="A13" s="9" t="s">
        <v>452</v>
      </c>
      <c r="B13" s="4">
        <v>1</v>
      </c>
    </row>
    <row r="14" spans="1:2" x14ac:dyDescent="0.3">
      <c r="A14" s="9" t="s">
        <v>1785</v>
      </c>
      <c r="B14" s="4">
        <v>1</v>
      </c>
    </row>
    <row r="15" spans="1:2" x14ac:dyDescent="0.3">
      <c r="A15" s="9" t="s">
        <v>2809</v>
      </c>
      <c r="B15" s="4">
        <v>1</v>
      </c>
    </row>
    <row r="16" spans="1:2" x14ac:dyDescent="0.3">
      <c r="A16" s="9" t="s">
        <v>2900</v>
      </c>
      <c r="B16" s="4">
        <v>1</v>
      </c>
    </row>
    <row r="17" spans="1:2" x14ac:dyDescent="0.3">
      <c r="A17" s="9" t="s">
        <v>2027</v>
      </c>
      <c r="B17" s="4">
        <v>1</v>
      </c>
    </row>
    <row r="18" spans="1:2" x14ac:dyDescent="0.3">
      <c r="A18" s="9" t="s">
        <v>2174</v>
      </c>
      <c r="B18" s="4">
        <v>1</v>
      </c>
    </row>
    <row r="19" spans="1:2" x14ac:dyDescent="0.3">
      <c r="A19" s="9" t="s">
        <v>958</v>
      </c>
      <c r="B19" s="4">
        <v>4</v>
      </c>
    </row>
    <row r="20" spans="1:2" x14ac:dyDescent="0.3">
      <c r="A20" s="9" t="s">
        <v>579</v>
      </c>
      <c r="B20" s="4">
        <v>1</v>
      </c>
    </row>
    <row r="21" spans="1:2" x14ac:dyDescent="0.3">
      <c r="A21" s="9" t="s">
        <v>815</v>
      </c>
      <c r="B21" s="4">
        <v>1</v>
      </c>
    </row>
    <row r="22" spans="1:2" x14ac:dyDescent="0.3">
      <c r="A22" s="9" t="s">
        <v>627</v>
      </c>
      <c r="B22" s="4">
        <v>1</v>
      </c>
    </row>
    <row r="23" spans="1:2" x14ac:dyDescent="0.3">
      <c r="A23" s="9" t="s">
        <v>1067</v>
      </c>
      <c r="B23" s="4">
        <v>2</v>
      </c>
    </row>
    <row r="24" spans="1:2" x14ac:dyDescent="0.3">
      <c r="A24" s="9" t="s">
        <v>870</v>
      </c>
      <c r="B24" s="4">
        <v>1</v>
      </c>
    </row>
    <row r="25" spans="1:2" x14ac:dyDescent="0.3">
      <c r="A25" s="9" t="s">
        <v>340</v>
      </c>
      <c r="B25" s="4">
        <v>2</v>
      </c>
    </row>
    <row r="26" spans="1:2" x14ac:dyDescent="0.3">
      <c r="A26" s="9" t="s">
        <v>377</v>
      </c>
      <c r="B26" s="4">
        <v>1</v>
      </c>
    </row>
    <row r="27" spans="1:2" x14ac:dyDescent="0.3">
      <c r="A27" s="9" t="s">
        <v>1926</v>
      </c>
      <c r="B27" s="4">
        <v>1</v>
      </c>
    </row>
    <row r="28" spans="1:2" x14ac:dyDescent="0.3">
      <c r="A28" s="9" t="s">
        <v>699</v>
      </c>
      <c r="B28" s="4">
        <v>1</v>
      </c>
    </row>
    <row r="29" spans="1:2" x14ac:dyDescent="0.3">
      <c r="A29" s="9" t="s">
        <v>1204</v>
      </c>
      <c r="B29" s="4">
        <v>1</v>
      </c>
    </row>
    <row r="30" spans="1:2" x14ac:dyDescent="0.3">
      <c r="A30" s="9" t="s">
        <v>447</v>
      </c>
      <c r="B30" s="4">
        <v>1</v>
      </c>
    </row>
    <row r="31" spans="1:2" x14ac:dyDescent="0.3">
      <c r="A31" s="9" t="s">
        <v>1300</v>
      </c>
      <c r="B31" s="4">
        <v>1</v>
      </c>
    </row>
    <row r="32" spans="1:2" x14ac:dyDescent="0.3">
      <c r="A32" s="9" t="s">
        <v>1024</v>
      </c>
      <c r="B32" s="4">
        <v>1</v>
      </c>
    </row>
    <row r="33" spans="1:2" x14ac:dyDescent="0.3">
      <c r="A33" s="9" t="s">
        <v>2157</v>
      </c>
      <c r="B33" s="4">
        <v>1</v>
      </c>
    </row>
    <row r="34" spans="1:2" x14ac:dyDescent="0.3">
      <c r="A34" s="9" t="s">
        <v>537</v>
      </c>
      <c r="B34" s="4">
        <v>1</v>
      </c>
    </row>
    <row r="35" spans="1:2" x14ac:dyDescent="0.3">
      <c r="A35" s="9" t="s">
        <v>1047</v>
      </c>
      <c r="B35" s="4">
        <v>1</v>
      </c>
    </row>
    <row r="36" spans="1:2" x14ac:dyDescent="0.3">
      <c r="A36" s="9" t="s">
        <v>2895</v>
      </c>
      <c r="B36" s="4">
        <v>1</v>
      </c>
    </row>
    <row r="37" spans="1:2" x14ac:dyDescent="0.3">
      <c r="A37" s="9" t="s">
        <v>2725</v>
      </c>
      <c r="B37" s="4">
        <v>1</v>
      </c>
    </row>
    <row r="38" spans="1:2" x14ac:dyDescent="0.3">
      <c r="A38" s="9" t="s">
        <v>2132</v>
      </c>
      <c r="B38" s="4">
        <v>1</v>
      </c>
    </row>
    <row r="39" spans="1:2" x14ac:dyDescent="0.3">
      <c r="A39" s="9" t="s">
        <v>1085</v>
      </c>
      <c r="B39" s="4">
        <v>1</v>
      </c>
    </row>
    <row r="40" spans="1:2" x14ac:dyDescent="0.3">
      <c r="A40" s="9" t="s">
        <v>2826</v>
      </c>
      <c r="B40" s="4">
        <v>1</v>
      </c>
    </row>
    <row r="41" spans="1:2" x14ac:dyDescent="0.3">
      <c r="A41" s="9" t="s">
        <v>2904</v>
      </c>
      <c r="B41" s="4">
        <v>1</v>
      </c>
    </row>
    <row r="42" spans="1:2" x14ac:dyDescent="0.3">
      <c r="A42" s="9" t="s">
        <v>2858</v>
      </c>
      <c r="B42" s="4">
        <v>1</v>
      </c>
    </row>
    <row r="43" spans="1:2" x14ac:dyDescent="0.3">
      <c r="A43" s="9" t="s">
        <v>1827</v>
      </c>
      <c r="B43" s="4">
        <v>1</v>
      </c>
    </row>
    <row r="44" spans="1:2" x14ac:dyDescent="0.3">
      <c r="A44" s="9" t="s">
        <v>1005</v>
      </c>
      <c r="B44" s="4">
        <v>1</v>
      </c>
    </row>
    <row r="45" spans="1:2" x14ac:dyDescent="0.3">
      <c r="A45" s="9" t="s">
        <v>351</v>
      </c>
      <c r="B45" s="4">
        <v>16</v>
      </c>
    </row>
    <row r="46" spans="1:2" x14ac:dyDescent="0.3">
      <c r="A46" s="9" t="s">
        <v>1698</v>
      </c>
      <c r="B46" s="4">
        <v>1</v>
      </c>
    </row>
    <row r="47" spans="1:2" x14ac:dyDescent="0.3">
      <c r="A47" s="9" t="s">
        <v>2798</v>
      </c>
      <c r="B47" s="4">
        <v>1</v>
      </c>
    </row>
    <row r="48" spans="1:2" x14ac:dyDescent="0.3">
      <c r="A48" s="9" t="s">
        <v>2723</v>
      </c>
      <c r="B48" s="4">
        <v>9</v>
      </c>
    </row>
    <row r="49" spans="1:2" x14ac:dyDescent="0.3">
      <c r="A49" s="9" t="s">
        <v>2735</v>
      </c>
      <c r="B49" s="4">
        <v>1</v>
      </c>
    </row>
    <row r="50" spans="1:2" x14ac:dyDescent="0.3">
      <c r="A50" s="9" t="s">
        <v>1991</v>
      </c>
      <c r="B50" s="4">
        <v>1</v>
      </c>
    </row>
    <row r="51" spans="1:2" x14ac:dyDescent="0.3">
      <c r="A51" s="9" t="s">
        <v>1344</v>
      </c>
      <c r="B51" s="4">
        <v>1</v>
      </c>
    </row>
    <row r="52" spans="1:2" x14ac:dyDescent="0.3">
      <c r="A52" s="9" t="s">
        <v>790</v>
      </c>
      <c r="B52" s="4">
        <v>1</v>
      </c>
    </row>
    <row r="53" spans="1:2" x14ac:dyDescent="0.3">
      <c r="A53" s="9" t="s">
        <v>679</v>
      </c>
      <c r="B53" s="4">
        <v>1</v>
      </c>
    </row>
    <row r="54" spans="1:2" x14ac:dyDescent="0.3">
      <c r="A54" s="9" t="s">
        <v>427</v>
      </c>
      <c r="B54" s="4">
        <v>3</v>
      </c>
    </row>
    <row r="55" spans="1:2" x14ac:dyDescent="0.3">
      <c r="A55" s="9" t="s">
        <v>1095</v>
      </c>
      <c r="B55" s="4">
        <v>1</v>
      </c>
    </row>
    <row r="56" spans="1:2" x14ac:dyDescent="0.3">
      <c r="A56" s="9" t="s">
        <v>898</v>
      </c>
      <c r="B56" s="4">
        <v>1</v>
      </c>
    </row>
    <row r="57" spans="1:2" x14ac:dyDescent="0.3">
      <c r="A57" s="9" t="s">
        <v>1172</v>
      </c>
      <c r="B57" s="4">
        <v>1</v>
      </c>
    </row>
    <row r="58" spans="1:2" x14ac:dyDescent="0.3">
      <c r="A58" s="9" t="s">
        <v>1281</v>
      </c>
      <c r="B58" s="4">
        <v>1</v>
      </c>
    </row>
    <row r="59" spans="1:2" x14ac:dyDescent="0.3">
      <c r="A59" s="9" t="s">
        <v>1853</v>
      </c>
      <c r="B59" s="4">
        <v>1</v>
      </c>
    </row>
    <row r="60" spans="1:2" x14ac:dyDescent="0.3">
      <c r="A60" s="9" t="s">
        <v>2759</v>
      </c>
      <c r="B60" s="4">
        <v>2</v>
      </c>
    </row>
    <row r="61" spans="1:2" x14ac:dyDescent="0.3">
      <c r="A61" s="9" t="s">
        <v>1304</v>
      </c>
      <c r="B61" s="4">
        <v>1</v>
      </c>
    </row>
    <row r="62" spans="1:2" x14ac:dyDescent="0.3">
      <c r="A62" s="9" t="s">
        <v>2864</v>
      </c>
      <c r="B62" s="4">
        <v>1</v>
      </c>
    </row>
    <row r="63" spans="1:2" x14ac:dyDescent="0.3">
      <c r="A63" s="9" t="s">
        <v>598</v>
      </c>
      <c r="B63" s="4">
        <v>1</v>
      </c>
    </row>
    <row r="64" spans="1:2" x14ac:dyDescent="0.3">
      <c r="A64" s="9" t="s">
        <v>1355</v>
      </c>
      <c r="B64" s="4">
        <v>1</v>
      </c>
    </row>
    <row r="65" spans="1:2" x14ac:dyDescent="0.3">
      <c r="A65" s="9" t="s">
        <v>2727</v>
      </c>
      <c r="B65" s="4">
        <v>1</v>
      </c>
    </row>
    <row r="66" spans="1:2" x14ac:dyDescent="0.3">
      <c r="A66" s="9" t="s">
        <v>510</v>
      </c>
      <c r="B66" s="4">
        <v>3</v>
      </c>
    </row>
    <row r="67" spans="1:2" x14ac:dyDescent="0.3">
      <c r="A67" s="9" t="s">
        <v>1971</v>
      </c>
      <c r="B67" s="4">
        <v>1</v>
      </c>
    </row>
    <row r="68" spans="1:2" x14ac:dyDescent="0.3">
      <c r="A68" s="9" t="s">
        <v>837</v>
      </c>
      <c r="B68" s="4">
        <v>1</v>
      </c>
    </row>
    <row r="69" spans="1:2" x14ac:dyDescent="0.3">
      <c r="A69" s="9" t="s">
        <v>1137</v>
      </c>
      <c r="B69" s="4">
        <v>1</v>
      </c>
    </row>
    <row r="70" spans="1:2" x14ac:dyDescent="0.3">
      <c r="A70" s="9" t="s">
        <v>737</v>
      </c>
      <c r="B70" s="4">
        <v>1</v>
      </c>
    </row>
    <row r="71" spans="1:2" x14ac:dyDescent="0.3">
      <c r="A71" s="9" t="s">
        <v>1027</v>
      </c>
      <c r="B71" s="4">
        <v>1</v>
      </c>
    </row>
    <row r="72" spans="1:2" x14ac:dyDescent="0.3">
      <c r="A72" s="9" t="s">
        <v>1447</v>
      </c>
      <c r="B72" s="4">
        <v>1</v>
      </c>
    </row>
    <row r="73" spans="1:2" x14ac:dyDescent="0.3">
      <c r="A73" s="9" t="s">
        <v>732</v>
      </c>
      <c r="B73" s="4">
        <v>1</v>
      </c>
    </row>
    <row r="74" spans="1:2" x14ac:dyDescent="0.3">
      <c r="A74" s="9" t="s">
        <v>2781</v>
      </c>
      <c r="B74" s="4">
        <v>3</v>
      </c>
    </row>
    <row r="75" spans="1:2" x14ac:dyDescent="0.3">
      <c r="A75" s="9" t="s">
        <v>502</v>
      </c>
      <c r="B75" s="4">
        <v>2</v>
      </c>
    </row>
    <row r="76" spans="1:2" x14ac:dyDescent="0.3">
      <c r="A76" s="9" t="s">
        <v>657</v>
      </c>
      <c r="B76" s="4">
        <v>1</v>
      </c>
    </row>
    <row r="77" spans="1:2" x14ac:dyDescent="0.3">
      <c r="A77" s="9" t="s">
        <v>1879</v>
      </c>
      <c r="B77" s="4">
        <v>1</v>
      </c>
    </row>
    <row r="78" spans="1:2" x14ac:dyDescent="0.3">
      <c r="A78" s="9" t="s">
        <v>1863</v>
      </c>
      <c r="B78" s="4">
        <v>1</v>
      </c>
    </row>
    <row r="79" spans="1:2" x14ac:dyDescent="0.3">
      <c r="A79" s="9" t="s">
        <v>800</v>
      </c>
      <c r="B79" s="4">
        <v>3</v>
      </c>
    </row>
    <row r="80" spans="1:2" x14ac:dyDescent="0.3">
      <c r="A80" s="9" t="s">
        <v>2805</v>
      </c>
      <c r="B80" s="4">
        <v>1</v>
      </c>
    </row>
    <row r="81" spans="1:2" x14ac:dyDescent="0.3">
      <c r="A81" s="9" t="s">
        <v>1942</v>
      </c>
      <c r="B81" s="4">
        <v>1</v>
      </c>
    </row>
    <row r="82" spans="1:2" x14ac:dyDescent="0.3">
      <c r="A82" s="9" t="s">
        <v>1555</v>
      </c>
      <c r="B82" s="4">
        <v>1</v>
      </c>
    </row>
    <row r="83" spans="1:2" x14ac:dyDescent="0.3">
      <c r="A83" s="9" t="s">
        <v>1252</v>
      </c>
      <c r="B83" s="4">
        <v>1</v>
      </c>
    </row>
    <row r="84" spans="1:2" x14ac:dyDescent="0.3">
      <c r="A84" s="9" t="s">
        <v>1608</v>
      </c>
      <c r="B84" s="4">
        <v>1</v>
      </c>
    </row>
    <row r="85" spans="1:2" x14ac:dyDescent="0.3">
      <c r="A85" s="9" t="s">
        <v>2893</v>
      </c>
      <c r="B85" s="4">
        <v>5</v>
      </c>
    </row>
    <row r="86" spans="1:2" x14ac:dyDescent="0.3">
      <c r="A86" s="9" t="s">
        <v>1460</v>
      </c>
      <c r="B86" s="4">
        <v>1</v>
      </c>
    </row>
    <row r="87" spans="1:2" x14ac:dyDescent="0.3">
      <c r="A87" s="9" t="s">
        <v>1598</v>
      </c>
      <c r="B87" s="4">
        <v>2</v>
      </c>
    </row>
    <row r="88" spans="1:2" x14ac:dyDescent="0.3">
      <c r="A88" s="9" t="s">
        <v>1033</v>
      </c>
      <c r="B88" s="4">
        <v>1</v>
      </c>
    </row>
    <row r="89" spans="1:2" x14ac:dyDescent="0.3">
      <c r="A89" s="9" t="s">
        <v>2716</v>
      </c>
      <c r="B89" s="4">
        <v>9</v>
      </c>
    </row>
    <row r="90" spans="1:2" x14ac:dyDescent="0.3">
      <c r="A90" s="9" t="s">
        <v>575</v>
      </c>
      <c r="B90" s="4">
        <v>2</v>
      </c>
    </row>
    <row r="91" spans="1:2" x14ac:dyDescent="0.3">
      <c r="A91" s="9" t="s">
        <v>2741</v>
      </c>
      <c r="B91" s="4">
        <v>1</v>
      </c>
    </row>
    <row r="92" spans="1:2" x14ac:dyDescent="0.3">
      <c r="A92" s="9" t="s">
        <v>410</v>
      </c>
      <c r="B92" s="4">
        <v>8</v>
      </c>
    </row>
    <row r="93" spans="1:2" x14ac:dyDescent="0.3">
      <c r="A93" s="9" t="s">
        <v>517</v>
      </c>
      <c r="B93" s="4">
        <v>1</v>
      </c>
    </row>
    <row r="94" spans="1:2" x14ac:dyDescent="0.3">
      <c r="A94" s="9" t="s">
        <v>1192</v>
      </c>
      <c r="B94" s="4">
        <v>1</v>
      </c>
    </row>
    <row r="95" spans="1:2" x14ac:dyDescent="0.3">
      <c r="A95" s="9" t="s">
        <v>2731</v>
      </c>
      <c r="B95" s="4">
        <v>1</v>
      </c>
    </row>
    <row r="96" spans="1:2" x14ac:dyDescent="0.3">
      <c r="A96" s="9" t="s">
        <v>1189</v>
      </c>
      <c r="B96" s="4">
        <v>1</v>
      </c>
    </row>
    <row r="97" spans="1:2" x14ac:dyDescent="0.3">
      <c r="A97" s="9" t="s">
        <v>1010</v>
      </c>
      <c r="B97" s="4">
        <v>1</v>
      </c>
    </row>
    <row r="98" spans="1:2" x14ac:dyDescent="0.3">
      <c r="A98" s="9" t="s">
        <v>1593</v>
      </c>
      <c r="B98" s="4">
        <v>1</v>
      </c>
    </row>
    <row r="99" spans="1:2" x14ac:dyDescent="0.3">
      <c r="A99" s="9" t="s">
        <v>1678</v>
      </c>
      <c r="B99" s="4">
        <v>3</v>
      </c>
    </row>
    <row r="100" spans="1:2" x14ac:dyDescent="0.3">
      <c r="A100" s="9" t="s">
        <v>1856</v>
      </c>
      <c r="B100" s="4">
        <v>1</v>
      </c>
    </row>
    <row r="101" spans="1:2" x14ac:dyDescent="0.3">
      <c r="A101" s="9" t="s">
        <v>2811</v>
      </c>
      <c r="B101" s="4">
        <v>1</v>
      </c>
    </row>
    <row r="102" spans="1:2" x14ac:dyDescent="0.3">
      <c r="A102" s="9" t="s">
        <v>1158</v>
      </c>
      <c r="B102" s="4">
        <v>3</v>
      </c>
    </row>
    <row r="103" spans="1:2" x14ac:dyDescent="0.3">
      <c r="A103" s="9" t="s">
        <v>2082</v>
      </c>
      <c r="B103" s="4">
        <v>1</v>
      </c>
    </row>
    <row r="104" spans="1:2" x14ac:dyDescent="0.3">
      <c r="A104" s="9" t="s">
        <v>384</v>
      </c>
      <c r="B104" s="4">
        <v>30</v>
      </c>
    </row>
    <row r="105" spans="1:2" x14ac:dyDescent="0.3">
      <c r="A105" s="9" t="s">
        <v>2730</v>
      </c>
      <c r="B105" s="4">
        <v>1</v>
      </c>
    </row>
    <row r="106" spans="1:2" x14ac:dyDescent="0.3">
      <c r="A106" s="9" t="s">
        <v>2867</v>
      </c>
      <c r="B106" s="4">
        <v>1</v>
      </c>
    </row>
    <row r="107" spans="1:2" x14ac:dyDescent="0.3">
      <c r="A107" s="9" t="s">
        <v>549</v>
      </c>
      <c r="B107" s="4">
        <v>5</v>
      </c>
    </row>
    <row r="108" spans="1:2" x14ac:dyDescent="0.3">
      <c r="A108" s="9" t="s">
        <v>1667</v>
      </c>
      <c r="B108" s="4">
        <v>1</v>
      </c>
    </row>
    <row r="109" spans="1:2" x14ac:dyDescent="0.3">
      <c r="A109" s="9" t="s">
        <v>1444</v>
      </c>
      <c r="B109" s="4">
        <v>2</v>
      </c>
    </row>
    <row r="110" spans="1:2" x14ac:dyDescent="0.3">
      <c r="A110" s="9" t="s">
        <v>2071</v>
      </c>
      <c r="B110" s="4">
        <v>1</v>
      </c>
    </row>
    <row r="111" spans="1:2" x14ac:dyDescent="0.3">
      <c r="A111" s="9" t="s">
        <v>585</v>
      </c>
      <c r="B111" s="4">
        <v>3</v>
      </c>
    </row>
    <row r="112" spans="1:2" x14ac:dyDescent="0.3">
      <c r="A112" s="9" t="s">
        <v>2719</v>
      </c>
      <c r="B112" s="4">
        <v>3</v>
      </c>
    </row>
    <row r="113" spans="1:2" x14ac:dyDescent="0.3">
      <c r="A113" s="9" t="s">
        <v>2916</v>
      </c>
      <c r="B113" s="4">
        <v>1</v>
      </c>
    </row>
    <row r="114" spans="1:2" x14ac:dyDescent="0.3">
      <c r="A114" s="9" t="s">
        <v>1249</v>
      </c>
      <c r="B114" s="4">
        <v>2</v>
      </c>
    </row>
    <row r="115" spans="1:2" x14ac:dyDescent="0.3">
      <c r="A115" s="9" t="s">
        <v>2901</v>
      </c>
      <c r="B115" s="4">
        <v>1</v>
      </c>
    </row>
    <row r="116" spans="1:2" x14ac:dyDescent="0.3">
      <c r="A116" s="9" t="s">
        <v>407</v>
      </c>
      <c r="B116" s="4">
        <v>1</v>
      </c>
    </row>
    <row r="117" spans="1:2" x14ac:dyDescent="0.3">
      <c r="A117" s="9" t="s">
        <v>2720</v>
      </c>
      <c r="B117" s="4">
        <v>1</v>
      </c>
    </row>
    <row r="118" spans="1:2" x14ac:dyDescent="0.3">
      <c r="A118" s="9" t="s">
        <v>2739</v>
      </c>
      <c r="B118" s="4">
        <v>1</v>
      </c>
    </row>
    <row r="119" spans="1:2" x14ac:dyDescent="0.3">
      <c r="A119" s="9" t="s">
        <v>2813</v>
      </c>
      <c r="B119" s="4">
        <v>1</v>
      </c>
    </row>
    <row r="120" spans="1:2" x14ac:dyDescent="0.3">
      <c r="A120" s="9" t="s">
        <v>1497</v>
      </c>
      <c r="B120" s="4">
        <v>1</v>
      </c>
    </row>
    <row r="121" spans="1:2" x14ac:dyDescent="0.3">
      <c r="A121" s="9" t="s">
        <v>2862</v>
      </c>
      <c r="B121" s="4">
        <v>1</v>
      </c>
    </row>
    <row r="122" spans="1:2" x14ac:dyDescent="0.3">
      <c r="A122" s="9" t="s">
        <v>846</v>
      </c>
      <c r="B122" s="4">
        <v>3</v>
      </c>
    </row>
    <row r="123" spans="1:2" x14ac:dyDescent="0.3">
      <c r="A123" s="9" t="s">
        <v>544</v>
      </c>
      <c r="B123" s="4">
        <v>4</v>
      </c>
    </row>
    <row r="124" spans="1:2" x14ac:dyDescent="0.3">
      <c r="A124" s="9" t="s">
        <v>2114</v>
      </c>
      <c r="B124" s="4">
        <v>1</v>
      </c>
    </row>
    <row r="125" spans="1:2" x14ac:dyDescent="0.3">
      <c r="A125" s="9" t="s">
        <v>1527</v>
      </c>
      <c r="B125" s="4">
        <v>1</v>
      </c>
    </row>
    <row r="126" spans="1:2" x14ac:dyDescent="0.3">
      <c r="A126" s="9" t="s">
        <v>2899</v>
      </c>
      <c r="B126" s="4">
        <v>1</v>
      </c>
    </row>
    <row r="127" spans="1:2" x14ac:dyDescent="0.3">
      <c r="A127" s="9" t="s">
        <v>2898</v>
      </c>
      <c r="B127" s="4">
        <v>1</v>
      </c>
    </row>
    <row r="128" spans="1:2" x14ac:dyDescent="0.3">
      <c r="A128" s="9" t="s">
        <v>2135</v>
      </c>
      <c r="B128" s="4">
        <v>1</v>
      </c>
    </row>
    <row r="129" spans="1:2" x14ac:dyDescent="0.3">
      <c r="A129" s="9" t="s">
        <v>1319</v>
      </c>
      <c r="B129" s="4">
        <v>5</v>
      </c>
    </row>
    <row r="130" spans="1:2" x14ac:dyDescent="0.3">
      <c r="A130" s="9" t="s">
        <v>1686</v>
      </c>
      <c r="B130" s="4">
        <v>1</v>
      </c>
    </row>
    <row r="131" spans="1:2" x14ac:dyDescent="0.3">
      <c r="A131" s="9" t="s">
        <v>1903</v>
      </c>
      <c r="B131" s="4">
        <v>1</v>
      </c>
    </row>
    <row r="132" spans="1:2" x14ac:dyDescent="0.3">
      <c r="A132" s="9" t="s">
        <v>1442</v>
      </c>
      <c r="B132" s="4">
        <v>2</v>
      </c>
    </row>
    <row r="133" spans="1:2" x14ac:dyDescent="0.3">
      <c r="A133" s="9" t="s">
        <v>1792</v>
      </c>
      <c r="B133" s="4">
        <v>1</v>
      </c>
    </row>
    <row r="134" spans="1:2" x14ac:dyDescent="0.3">
      <c r="A134" s="9" t="s">
        <v>1407</v>
      </c>
      <c r="B134" s="4">
        <v>2</v>
      </c>
    </row>
    <row r="135" spans="1:2" x14ac:dyDescent="0.3">
      <c r="A135" s="9" t="s">
        <v>1257</v>
      </c>
      <c r="B135" s="4">
        <v>1</v>
      </c>
    </row>
    <row r="136" spans="1:2" x14ac:dyDescent="0.3">
      <c r="A136" s="9" t="s">
        <v>1437</v>
      </c>
      <c r="B136" s="4">
        <v>1</v>
      </c>
    </row>
    <row r="137" spans="1:2" x14ac:dyDescent="0.3">
      <c r="A137" s="9" t="s">
        <v>1286</v>
      </c>
      <c r="B137" s="4">
        <v>4</v>
      </c>
    </row>
    <row r="138" spans="1:2" x14ac:dyDescent="0.3">
      <c r="A138" s="9" t="s">
        <v>1717</v>
      </c>
      <c r="B138" s="4">
        <v>1</v>
      </c>
    </row>
    <row r="139" spans="1:2" x14ac:dyDescent="0.3">
      <c r="A139" s="9" t="s">
        <v>357</v>
      </c>
      <c r="B139" s="4">
        <v>2</v>
      </c>
    </row>
    <row r="140" spans="1:2" x14ac:dyDescent="0.3">
      <c r="A140" s="9" t="s">
        <v>1482</v>
      </c>
      <c r="B140" s="4">
        <v>4</v>
      </c>
    </row>
    <row r="141" spans="1:2" x14ac:dyDescent="0.3">
      <c r="A141" s="9" t="s">
        <v>1207</v>
      </c>
      <c r="B141" s="4">
        <v>3</v>
      </c>
    </row>
    <row r="142" spans="1:2" x14ac:dyDescent="0.3">
      <c r="A142" s="9" t="s">
        <v>1540</v>
      </c>
      <c r="B142" s="4">
        <v>1</v>
      </c>
    </row>
    <row r="143" spans="1:2" x14ac:dyDescent="0.3">
      <c r="A143" s="9" t="s">
        <v>1307</v>
      </c>
      <c r="B143" s="4">
        <v>1</v>
      </c>
    </row>
    <row r="144" spans="1:2" x14ac:dyDescent="0.3">
      <c r="A144" s="9" t="s">
        <v>1693</v>
      </c>
      <c r="B144" s="4">
        <v>1</v>
      </c>
    </row>
    <row r="145" spans="1:2" x14ac:dyDescent="0.3">
      <c r="A145" s="9" t="s">
        <v>1503</v>
      </c>
      <c r="B145" s="4">
        <v>1</v>
      </c>
    </row>
    <row r="146" spans="1:2" x14ac:dyDescent="0.3">
      <c r="A146" s="9" t="s">
        <v>2848</v>
      </c>
      <c r="B146" s="4">
        <v>1</v>
      </c>
    </row>
    <row r="147" spans="1:2" x14ac:dyDescent="0.3">
      <c r="A147" s="9" t="s">
        <v>2718</v>
      </c>
      <c r="B147" s="4">
        <v>7</v>
      </c>
    </row>
    <row r="148" spans="1:2" x14ac:dyDescent="0.3">
      <c r="A148" s="9" t="s">
        <v>1272</v>
      </c>
      <c r="B148" s="4">
        <v>1</v>
      </c>
    </row>
    <row r="149" spans="1:2" x14ac:dyDescent="0.3">
      <c r="A149" s="9" t="s">
        <v>1243</v>
      </c>
      <c r="B149" s="4">
        <v>1</v>
      </c>
    </row>
    <row r="150" spans="1:2" x14ac:dyDescent="0.3">
      <c r="A150" s="9" t="s">
        <v>2870</v>
      </c>
      <c r="B150" s="4">
        <v>1</v>
      </c>
    </row>
    <row r="151" spans="1:2" x14ac:dyDescent="0.3">
      <c r="A151" s="9" t="s">
        <v>1222</v>
      </c>
      <c r="B151" s="4">
        <v>1</v>
      </c>
    </row>
    <row r="152" spans="1:2" x14ac:dyDescent="0.3">
      <c r="A152" s="9" t="s">
        <v>1500</v>
      </c>
      <c r="B152" s="4">
        <v>1</v>
      </c>
    </row>
    <row r="153" spans="1:2" x14ac:dyDescent="0.3">
      <c r="A153" s="9" t="s">
        <v>2012</v>
      </c>
      <c r="B153" s="4">
        <v>1</v>
      </c>
    </row>
    <row r="154" spans="1:2" x14ac:dyDescent="0.3">
      <c r="A154" s="9" t="s">
        <v>1934</v>
      </c>
      <c r="B154" s="4">
        <v>1</v>
      </c>
    </row>
    <row r="155" spans="1:2" x14ac:dyDescent="0.3">
      <c r="A155" s="9" t="s">
        <v>793</v>
      </c>
      <c r="B155" s="4">
        <v>1</v>
      </c>
    </row>
    <row r="156" spans="1:2" x14ac:dyDescent="0.3">
      <c r="A156" s="9" t="s">
        <v>1155</v>
      </c>
      <c r="B156" s="4">
        <v>1</v>
      </c>
    </row>
    <row r="157" spans="1:2" x14ac:dyDescent="0.3">
      <c r="A157" s="9" t="s">
        <v>1968</v>
      </c>
      <c r="B157" s="4">
        <v>1</v>
      </c>
    </row>
    <row r="158" spans="1:2" x14ac:dyDescent="0.3">
      <c r="A158" s="9" t="s">
        <v>333</v>
      </c>
      <c r="B158" s="4">
        <v>5</v>
      </c>
    </row>
    <row r="159" spans="1:2" x14ac:dyDescent="0.3">
      <c r="A159" s="9" t="s">
        <v>367</v>
      </c>
      <c r="B159" s="4">
        <v>23</v>
      </c>
    </row>
    <row r="160" spans="1:2" x14ac:dyDescent="0.3">
      <c r="A160" s="9" t="s">
        <v>1547</v>
      </c>
      <c r="B160" s="4">
        <v>1</v>
      </c>
    </row>
    <row r="161" spans="1:2" x14ac:dyDescent="0.3">
      <c r="A161" s="9" t="s">
        <v>875</v>
      </c>
      <c r="B161" s="4">
        <v>1</v>
      </c>
    </row>
    <row r="162" spans="1:2" x14ac:dyDescent="0.3">
      <c r="A162" s="9" t="s">
        <v>1850</v>
      </c>
      <c r="B162" s="4">
        <v>1</v>
      </c>
    </row>
    <row r="163" spans="1:2" x14ac:dyDescent="0.3">
      <c r="A163" s="9" t="s">
        <v>1703</v>
      </c>
      <c r="B163" s="4">
        <v>1</v>
      </c>
    </row>
    <row r="164" spans="1:2" x14ac:dyDescent="0.3">
      <c r="A164" s="9" t="s">
        <v>559</v>
      </c>
      <c r="B164" s="4">
        <v>1</v>
      </c>
    </row>
    <row r="165" spans="1:2" x14ac:dyDescent="0.3">
      <c r="A165" s="9" t="s">
        <v>2052</v>
      </c>
      <c r="B165" s="4">
        <v>1</v>
      </c>
    </row>
    <row r="166" spans="1:2" x14ac:dyDescent="0.3">
      <c r="A166" s="9" t="s">
        <v>718</v>
      </c>
      <c r="B166" s="4">
        <v>1</v>
      </c>
    </row>
    <row r="167" spans="1:2" x14ac:dyDescent="0.3">
      <c r="A167" s="9" t="s">
        <v>2777</v>
      </c>
      <c r="B167" s="4">
        <v>2</v>
      </c>
    </row>
    <row r="168" spans="1:2" x14ac:dyDescent="0.3">
      <c r="A168" s="9" t="s">
        <v>867</v>
      </c>
      <c r="B168" s="4">
        <v>1</v>
      </c>
    </row>
    <row r="169" spans="1:2" x14ac:dyDescent="0.3">
      <c r="A169" s="9" t="s">
        <v>2878</v>
      </c>
      <c r="B169" s="4">
        <v>1</v>
      </c>
    </row>
    <row r="170" spans="1:2" x14ac:dyDescent="0.3">
      <c r="A170" s="9" t="s">
        <v>1776</v>
      </c>
      <c r="B170" s="4">
        <v>1</v>
      </c>
    </row>
    <row r="171" spans="1:2" x14ac:dyDescent="0.3">
      <c r="A171" s="9" t="s">
        <v>2839</v>
      </c>
      <c r="B171" s="4">
        <v>1</v>
      </c>
    </row>
    <row r="172" spans="1:2" x14ac:dyDescent="0.3">
      <c r="A172" s="9" t="s">
        <v>2865</v>
      </c>
      <c r="B172" s="4">
        <v>1</v>
      </c>
    </row>
    <row r="173" spans="1:2" x14ac:dyDescent="0.3">
      <c r="A173" s="9" t="s">
        <v>2831</v>
      </c>
      <c r="B173" s="4">
        <v>1</v>
      </c>
    </row>
    <row r="174" spans="1:2" x14ac:dyDescent="0.3">
      <c r="A174" s="9" t="s">
        <v>2734</v>
      </c>
      <c r="B174" s="4">
        <v>5</v>
      </c>
    </row>
    <row r="175" spans="1:2" x14ac:dyDescent="0.3">
      <c r="A175" s="9" t="s">
        <v>1765</v>
      </c>
      <c r="B175" s="4">
        <v>1</v>
      </c>
    </row>
    <row r="176" spans="1:2" x14ac:dyDescent="0.3">
      <c r="A176" s="9" t="s">
        <v>638</v>
      </c>
      <c r="B176" s="4">
        <v>1</v>
      </c>
    </row>
    <row r="177" spans="1:2" x14ac:dyDescent="0.3">
      <c r="A177" s="9" t="s">
        <v>1939</v>
      </c>
      <c r="B177" s="4">
        <v>1</v>
      </c>
    </row>
    <row r="178" spans="1:2" x14ac:dyDescent="0.3">
      <c r="A178" s="9" t="s">
        <v>1822</v>
      </c>
      <c r="B178" s="4">
        <v>1</v>
      </c>
    </row>
    <row r="179" spans="1:2" x14ac:dyDescent="0.3">
      <c r="A179" s="9" t="s">
        <v>1230</v>
      </c>
      <c r="B179" s="4">
        <v>1</v>
      </c>
    </row>
    <row r="180" spans="1:2" x14ac:dyDescent="0.3">
      <c r="A180" s="9" t="s">
        <v>388</v>
      </c>
      <c r="B180" s="4">
        <v>1</v>
      </c>
    </row>
    <row r="181" spans="1:2" x14ac:dyDescent="0.3">
      <c r="A181" s="9" t="s">
        <v>1921</v>
      </c>
      <c r="B181" s="4">
        <v>1</v>
      </c>
    </row>
    <row r="182" spans="1:2" x14ac:dyDescent="0.3">
      <c r="A182" s="9" t="s">
        <v>1227</v>
      </c>
      <c r="B182" s="4">
        <v>1</v>
      </c>
    </row>
    <row r="183" spans="1:2" x14ac:dyDescent="0.3">
      <c r="A183" s="9" t="s">
        <v>932</v>
      </c>
      <c r="B183" s="4">
        <v>1</v>
      </c>
    </row>
    <row r="184" spans="1:2" x14ac:dyDescent="0.3">
      <c r="A184" s="9" t="s">
        <v>1779</v>
      </c>
      <c r="B184" s="4">
        <v>1</v>
      </c>
    </row>
    <row r="185" spans="1:2" x14ac:dyDescent="0.3">
      <c r="A185" s="9" t="s">
        <v>618</v>
      </c>
      <c r="B185" s="4">
        <v>2</v>
      </c>
    </row>
    <row r="186" spans="1:2" x14ac:dyDescent="0.3">
      <c r="A186" s="9" t="s">
        <v>1198</v>
      </c>
      <c r="B186" s="4">
        <v>1</v>
      </c>
    </row>
    <row r="187" spans="1:2" x14ac:dyDescent="0.3">
      <c r="A187" s="9" t="s">
        <v>2738</v>
      </c>
      <c r="B187" s="4">
        <v>1</v>
      </c>
    </row>
    <row r="188" spans="1:2" x14ac:dyDescent="0.3">
      <c r="A188" s="9" t="s">
        <v>348</v>
      </c>
      <c r="B188" s="4">
        <v>14</v>
      </c>
    </row>
    <row r="189" spans="1:2" x14ac:dyDescent="0.3">
      <c r="A189" s="9" t="s">
        <v>1060</v>
      </c>
      <c r="B189" s="4">
        <v>1</v>
      </c>
    </row>
    <row r="190" spans="1:2" x14ac:dyDescent="0.3">
      <c r="A190" s="9" t="s">
        <v>1799</v>
      </c>
      <c r="B190" s="4">
        <v>1</v>
      </c>
    </row>
    <row r="191" spans="1:2" x14ac:dyDescent="0.3">
      <c r="A191" s="9" t="s">
        <v>1390</v>
      </c>
      <c r="B191" s="4">
        <v>2</v>
      </c>
    </row>
    <row r="192" spans="1:2" x14ac:dyDescent="0.3">
      <c r="A192" s="9" t="s">
        <v>2785</v>
      </c>
      <c r="B192" s="4">
        <v>1</v>
      </c>
    </row>
    <row r="193" spans="1:2" x14ac:dyDescent="0.3">
      <c r="A193" s="9" t="s">
        <v>1088</v>
      </c>
      <c r="B193" s="4">
        <v>1</v>
      </c>
    </row>
    <row r="194" spans="1:2" x14ac:dyDescent="0.3">
      <c r="A194" s="9" t="s">
        <v>2788</v>
      </c>
      <c r="B194" s="4">
        <v>1</v>
      </c>
    </row>
    <row r="195" spans="1:2" x14ac:dyDescent="0.3">
      <c r="A195" s="9" t="s">
        <v>1201</v>
      </c>
      <c r="B195" s="4">
        <v>1</v>
      </c>
    </row>
    <row r="196" spans="1:2" x14ac:dyDescent="0.3">
      <c r="A196" s="9" t="s">
        <v>1487</v>
      </c>
      <c r="B196" s="4">
        <v>2</v>
      </c>
    </row>
    <row r="197" spans="1:2" x14ac:dyDescent="0.3">
      <c r="A197" s="9" t="s">
        <v>1490</v>
      </c>
      <c r="B197" s="4">
        <v>1</v>
      </c>
    </row>
    <row r="198" spans="1:2" x14ac:dyDescent="0.3">
      <c r="A198" s="9" t="s">
        <v>2779</v>
      </c>
      <c r="B198" s="4">
        <v>1</v>
      </c>
    </row>
    <row r="199" spans="1:2" x14ac:dyDescent="0.3">
      <c r="A199" s="9" t="s">
        <v>2806</v>
      </c>
      <c r="B199" s="4">
        <v>1</v>
      </c>
    </row>
    <row r="200" spans="1:2" x14ac:dyDescent="0.3">
      <c r="A200" s="9" t="s">
        <v>2025</v>
      </c>
      <c r="B200" s="4">
        <v>1</v>
      </c>
    </row>
    <row r="201" spans="1:2" x14ac:dyDescent="0.3">
      <c r="A201" s="9" t="s">
        <v>2889</v>
      </c>
      <c r="B201" s="4">
        <v>1</v>
      </c>
    </row>
    <row r="202" spans="1:2" x14ac:dyDescent="0.3">
      <c r="A202" s="9" t="s">
        <v>1210</v>
      </c>
      <c r="B202" s="4">
        <v>1</v>
      </c>
    </row>
    <row r="203" spans="1:2" x14ac:dyDescent="0.3">
      <c r="A203" s="9" t="s">
        <v>2877</v>
      </c>
      <c r="B203" s="4">
        <v>1</v>
      </c>
    </row>
    <row r="204" spans="1:2" x14ac:dyDescent="0.3">
      <c r="A204" s="9" t="s">
        <v>2810</v>
      </c>
      <c r="B204" s="4">
        <v>1</v>
      </c>
    </row>
    <row r="205" spans="1:2" x14ac:dyDescent="0.3">
      <c r="A205" s="9" t="s">
        <v>2856</v>
      </c>
      <c r="B205" s="4">
        <v>1</v>
      </c>
    </row>
    <row r="206" spans="1:2" x14ac:dyDescent="0.3">
      <c r="A206" s="9" t="s">
        <v>2847</v>
      </c>
      <c r="B206" s="4">
        <v>1</v>
      </c>
    </row>
    <row r="207" spans="1:2" x14ac:dyDescent="0.3">
      <c r="A207" s="9" t="s">
        <v>2721</v>
      </c>
      <c r="B207" s="4">
        <v>1</v>
      </c>
    </row>
    <row r="208" spans="1:2" x14ac:dyDescent="0.3">
      <c r="A208" s="9" t="s">
        <v>1978</v>
      </c>
      <c r="B208" s="4">
        <v>1</v>
      </c>
    </row>
    <row r="209" spans="1:2" x14ac:dyDescent="0.3">
      <c r="A209" s="9" t="s">
        <v>1368</v>
      </c>
      <c r="B209" s="4">
        <v>3</v>
      </c>
    </row>
    <row r="210" spans="1:2" x14ac:dyDescent="0.3">
      <c r="A210" s="9" t="s">
        <v>2832</v>
      </c>
      <c r="B210" s="4">
        <v>2</v>
      </c>
    </row>
    <row r="211" spans="1:2" x14ac:dyDescent="0.3">
      <c r="A211" s="9" t="s">
        <v>1425</v>
      </c>
      <c r="B211" s="4">
        <v>1</v>
      </c>
    </row>
    <row r="212" spans="1:2" x14ac:dyDescent="0.3">
      <c r="A212" s="9" t="s">
        <v>1415</v>
      </c>
      <c r="B212" s="4">
        <v>3</v>
      </c>
    </row>
    <row r="213" spans="1:2" x14ac:dyDescent="0.3">
      <c r="A213" s="9" t="s">
        <v>768</v>
      </c>
      <c r="B213" s="4">
        <v>1</v>
      </c>
    </row>
    <row r="214" spans="1:2" x14ac:dyDescent="0.3">
      <c r="A214" s="9" t="s">
        <v>2783</v>
      </c>
      <c r="B214" s="4">
        <v>1</v>
      </c>
    </row>
    <row r="215" spans="1:2" x14ac:dyDescent="0.3">
      <c r="A215" s="9" t="s">
        <v>1387</v>
      </c>
      <c r="B215" s="4">
        <v>2</v>
      </c>
    </row>
    <row r="216" spans="1:2" x14ac:dyDescent="0.3">
      <c r="A216" s="9" t="s">
        <v>1552</v>
      </c>
      <c r="B216" s="4">
        <v>1</v>
      </c>
    </row>
    <row r="217" spans="1:2" x14ac:dyDescent="0.3">
      <c r="A217" s="9" t="s">
        <v>1563</v>
      </c>
      <c r="B217" s="4">
        <v>1</v>
      </c>
    </row>
    <row r="218" spans="1:2" x14ac:dyDescent="0.3">
      <c r="A218" s="9" t="s">
        <v>1797</v>
      </c>
      <c r="B218" s="4">
        <v>1</v>
      </c>
    </row>
    <row r="219" spans="1:2" x14ac:dyDescent="0.3">
      <c r="A219" s="9" t="s">
        <v>1868</v>
      </c>
      <c r="B219" s="4">
        <v>1</v>
      </c>
    </row>
    <row r="220" spans="1:2" x14ac:dyDescent="0.3">
      <c r="A220" s="9" t="s">
        <v>2906</v>
      </c>
      <c r="B220" s="4">
        <v>1</v>
      </c>
    </row>
    <row r="221" spans="1:2" x14ac:dyDescent="0.3">
      <c r="A221" s="9" t="s">
        <v>1450</v>
      </c>
      <c r="B221" s="4">
        <v>1</v>
      </c>
    </row>
    <row r="222" spans="1:2" x14ac:dyDescent="0.3">
      <c r="A222" s="9" t="s">
        <v>1570</v>
      </c>
      <c r="B222" s="4">
        <v>1</v>
      </c>
    </row>
    <row r="223" spans="1:2" x14ac:dyDescent="0.3">
      <c r="A223" s="9" t="s">
        <v>2729</v>
      </c>
      <c r="B223" s="4">
        <v>2</v>
      </c>
    </row>
    <row r="224" spans="1:2" x14ac:dyDescent="0.3">
      <c r="A224" s="9" t="s">
        <v>1335</v>
      </c>
      <c r="B224" s="4">
        <v>1</v>
      </c>
    </row>
    <row r="225" spans="1:2" x14ac:dyDescent="0.3">
      <c r="A225" s="9" t="s">
        <v>2778</v>
      </c>
      <c r="B225" s="4">
        <v>1</v>
      </c>
    </row>
    <row r="226" spans="1:2" x14ac:dyDescent="0.3">
      <c r="A226" s="9" t="s">
        <v>1410</v>
      </c>
      <c r="B226" s="4">
        <v>2</v>
      </c>
    </row>
    <row r="227" spans="1:2" x14ac:dyDescent="0.3">
      <c r="A227" s="9" t="s">
        <v>1537</v>
      </c>
      <c r="B227" s="4">
        <v>1</v>
      </c>
    </row>
    <row r="228" spans="1:2" x14ac:dyDescent="0.3">
      <c r="A228" s="9" t="s">
        <v>2005</v>
      </c>
      <c r="B228" s="4">
        <v>1</v>
      </c>
    </row>
    <row r="229" spans="1:2" x14ac:dyDescent="0.3">
      <c r="A229" s="9" t="s">
        <v>996</v>
      </c>
      <c r="B229" s="4">
        <v>1</v>
      </c>
    </row>
    <row r="230" spans="1:2" x14ac:dyDescent="0.3">
      <c r="A230" s="9" t="s">
        <v>1468</v>
      </c>
      <c r="B230" s="4">
        <v>1</v>
      </c>
    </row>
    <row r="231" spans="1:2" x14ac:dyDescent="0.3">
      <c r="A231" s="9" t="s">
        <v>1954</v>
      </c>
      <c r="B231" s="4">
        <v>1</v>
      </c>
    </row>
    <row r="232" spans="1:2" x14ac:dyDescent="0.3">
      <c r="A232" s="9" t="s">
        <v>1121</v>
      </c>
      <c r="B232" s="4">
        <v>1</v>
      </c>
    </row>
    <row r="233" spans="1:2" x14ac:dyDescent="0.3">
      <c r="A233" s="9" t="s">
        <v>1757</v>
      </c>
      <c r="B233" s="4">
        <v>1</v>
      </c>
    </row>
    <row r="234" spans="1:2" x14ac:dyDescent="0.3">
      <c r="A234" s="9" t="s">
        <v>916</v>
      </c>
      <c r="B234" s="4">
        <v>1</v>
      </c>
    </row>
    <row r="235" spans="1:2" x14ac:dyDescent="0.3">
      <c r="A235" s="9" t="s">
        <v>725</v>
      </c>
      <c r="B235" s="4">
        <v>1</v>
      </c>
    </row>
    <row r="236" spans="1:2" x14ac:dyDescent="0.3">
      <c r="A236" s="9" t="s">
        <v>953</v>
      </c>
      <c r="B236" s="4">
        <v>1</v>
      </c>
    </row>
    <row r="237" spans="1:2" x14ac:dyDescent="0.3">
      <c r="A237" s="9" t="s">
        <v>569</v>
      </c>
      <c r="B237" s="4">
        <v>1</v>
      </c>
    </row>
    <row r="238" spans="1:2" x14ac:dyDescent="0.3">
      <c r="A238" s="9" t="s">
        <v>1789</v>
      </c>
      <c r="B238" s="4">
        <v>1</v>
      </c>
    </row>
    <row r="239" spans="1:2" x14ac:dyDescent="0.3">
      <c r="A239" s="9" t="s">
        <v>505</v>
      </c>
      <c r="B239" s="4">
        <v>1</v>
      </c>
    </row>
    <row r="240" spans="1:2" x14ac:dyDescent="0.3">
      <c r="A240" s="9" t="s">
        <v>670</v>
      </c>
      <c r="B240" s="4">
        <v>9</v>
      </c>
    </row>
    <row r="241" spans="1:2" x14ac:dyDescent="0.3">
      <c r="A241" s="9" t="s">
        <v>471</v>
      </c>
      <c r="B241" s="4">
        <v>1</v>
      </c>
    </row>
    <row r="242" spans="1:2" x14ac:dyDescent="0.3">
      <c r="A242" s="9" t="s">
        <v>1233</v>
      </c>
      <c r="B242" s="4">
        <v>1</v>
      </c>
    </row>
    <row r="243" spans="1:2" x14ac:dyDescent="0.3">
      <c r="A243" s="9" t="s">
        <v>1754</v>
      </c>
      <c r="B243" s="4">
        <v>1</v>
      </c>
    </row>
    <row r="244" spans="1:2" x14ac:dyDescent="0.3">
      <c r="A244" s="9" t="s">
        <v>460</v>
      </c>
      <c r="B244" s="4">
        <v>3</v>
      </c>
    </row>
    <row r="245" spans="1:2" x14ac:dyDescent="0.3">
      <c r="A245" s="9" t="s">
        <v>642</v>
      </c>
      <c r="B245" s="4">
        <v>2</v>
      </c>
    </row>
    <row r="246" spans="1:2" x14ac:dyDescent="0.3">
      <c r="A246" s="9" t="s">
        <v>1746</v>
      </c>
      <c r="B246" s="4">
        <v>2</v>
      </c>
    </row>
    <row r="247" spans="1:2" x14ac:dyDescent="0.3">
      <c r="A247" s="9" t="s">
        <v>524</v>
      </c>
      <c r="B247" s="4">
        <v>3</v>
      </c>
    </row>
    <row r="248" spans="1:2" x14ac:dyDescent="0.3">
      <c r="A248" s="9" t="s">
        <v>2707</v>
      </c>
      <c r="B248" s="4">
        <v>1</v>
      </c>
    </row>
    <row r="249" spans="1:2" x14ac:dyDescent="0.3">
      <c r="A249" s="9" t="s">
        <v>2907</v>
      </c>
      <c r="B249" s="4">
        <v>1</v>
      </c>
    </row>
    <row r="250" spans="1:2" x14ac:dyDescent="0.3">
      <c r="A250" s="9" t="s">
        <v>1381</v>
      </c>
      <c r="B250" s="4">
        <v>1</v>
      </c>
    </row>
    <row r="251" spans="1:2" x14ac:dyDescent="0.3">
      <c r="A251" s="9" t="s">
        <v>513</v>
      </c>
      <c r="B251" s="4">
        <v>1</v>
      </c>
    </row>
    <row r="252" spans="1:2" x14ac:dyDescent="0.3">
      <c r="A252" s="9" t="s">
        <v>1590</v>
      </c>
      <c r="B252" s="4">
        <v>1</v>
      </c>
    </row>
    <row r="253" spans="1:2" x14ac:dyDescent="0.3">
      <c r="A253" s="9" t="s">
        <v>1918</v>
      </c>
      <c r="B253" s="4">
        <v>1</v>
      </c>
    </row>
    <row r="254" spans="1:2" x14ac:dyDescent="0.3">
      <c r="A254" s="9" t="s">
        <v>397</v>
      </c>
      <c r="B254" s="4">
        <v>2</v>
      </c>
    </row>
    <row r="255" spans="1:2" x14ac:dyDescent="0.3">
      <c r="A255" s="9" t="s">
        <v>1886</v>
      </c>
      <c r="B255" s="4">
        <v>1</v>
      </c>
    </row>
    <row r="256" spans="1:2" x14ac:dyDescent="0.3">
      <c r="A256" s="9" t="s">
        <v>2758</v>
      </c>
      <c r="B256" s="4">
        <v>3</v>
      </c>
    </row>
    <row r="257" spans="1:2" x14ac:dyDescent="0.3">
      <c r="A257" s="9" t="s">
        <v>2882</v>
      </c>
      <c r="B257" s="4">
        <v>1</v>
      </c>
    </row>
    <row r="258" spans="1:2" x14ac:dyDescent="0.3">
      <c r="A258" s="9" t="s">
        <v>624</v>
      </c>
      <c r="B258" s="4">
        <v>1</v>
      </c>
    </row>
    <row r="259" spans="1:2" x14ac:dyDescent="0.3">
      <c r="A259" s="9" t="s">
        <v>857</v>
      </c>
      <c r="B259" s="4">
        <v>5</v>
      </c>
    </row>
    <row r="260" spans="1:2" x14ac:dyDescent="0.3">
      <c r="A260" s="9" t="s">
        <v>325</v>
      </c>
      <c r="B260" s="4">
        <v>1</v>
      </c>
    </row>
    <row r="261" spans="1:2" x14ac:dyDescent="0.3">
      <c r="A261" s="9" t="s">
        <v>2780</v>
      </c>
      <c r="B261" s="4">
        <v>2</v>
      </c>
    </row>
    <row r="262" spans="1:2" x14ac:dyDescent="0.3">
      <c r="A262" s="9" t="s">
        <v>1739</v>
      </c>
      <c r="B262" s="4">
        <v>1</v>
      </c>
    </row>
    <row r="263" spans="1:2" x14ac:dyDescent="0.3">
      <c r="A263" s="9" t="s">
        <v>2017</v>
      </c>
      <c r="B263" s="4">
        <v>1</v>
      </c>
    </row>
    <row r="264" spans="1:2" x14ac:dyDescent="0.3">
      <c r="A264" s="9" t="s">
        <v>2728</v>
      </c>
      <c r="B264" s="4">
        <v>7</v>
      </c>
    </row>
    <row r="265" spans="1:2" x14ac:dyDescent="0.3">
      <c r="A265" s="9" t="s">
        <v>464</v>
      </c>
      <c r="B265" s="4">
        <v>14</v>
      </c>
    </row>
    <row r="266" spans="1:2" x14ac:dyDescent="0.3">
      <c r="A266" s="9" t="s">
        <v>2837</v>
      </c>
      <c r="B266" s="4">
        <v>1</v>
      </c>
    </row>
    <row r="267" spans="1:2" x14ac:dyDescent="0.3">
      <c r="A267" s="9" t="s">
        <v>2833</v>
      </c>
      <c r="B267" s="4">
        <v>1</v>
      </c>
    </row>
    <row r="268" spans="1:2" x14ac:dyDescent="0.3">
      <c r="A268" s="9" t="s">
        <v>2905</v>
      </c>
      <c r="B268" s="4">
        <v>1</v>
      </c>
    </row>
    <row r="269" spans="1:2" x14ac:dyDescent="0.3">
      <c r="A269" s="9" t="s">
        <v>966</v>
      </c>
      <c r="B269" s="4">
        <v>2</v>
      </c>
    </row>
    <row r="270" spans="1:2" x14ac:dyDescent="0.3">
      <c r="A270" s="9" t="s">
        <v>750</v>
      </c>
      <c r="B270" s="4">
        <v>1</v>
      </c>
    </row>
    <row r="271" spans="1:2" x14ac:dyDescent="0.3">
      <c r="A271" s="9" t="s">
        <v>1976</v>
      </c>
      <c r="B271" s="4">
        <v>1</v>
      </c>
    </row>
    <row r="272" spans="1:2" x14ac:dyDescent="0.3">
      <c r="A272" s="9" t="s">
        <v>633</v>
      </c>
      <c r="B272" s="4">
        <v>8</v>
      </c>
    </row>
    <row r="273" spans="1:2" x14ac:dyDescent="0.3">
      <c r="A273" s="9" t="s">
        <v>1358</v>
      </c>
      <c r="B273" s="4">
        <v>1</v>
      </c>
    </row>
    <row r="274" spans="1:2" x14ac:dyDescent="0.3">
      <c r="A274" s="9" t="s">
        <v>927</v>
      </c>
      <c r="B274" s="4">
        <v>2</v>
      </c>
    </row>
    <row r="275" spans="1:2" x14ac:dyDescent="0.3">
      <c r="A275" s="9" t="s">
        <v>2704</v>
      </c>
      <c r="B275" s="4">
        <v>2</v>
      </c>
    </row>
    <row r="276" spans="1:2" x14ac:dyDescent="0.3">
      <c r="A276" s="9" t="s">
        <v>2874</v>
      </c>
      <c r="B276" s="4">
        <v>1</v>
      </c>
    </row>
    <row r="277" spans="1:2" x14ac:dyDescent="0.3">
      <c r="A277" s="9" t="s">
        <v>1681</v>
      </c>
      <c r="B277" s="4">
        <v>1</v>
      </c>
    </row>
    <row r="278" spans="1:2" x14ac:dyDescent="0.3">
      <c r="A278" s="9" t="s">
        <v>2814</v>
      </c>
      <c r="B278" s="4">
        <v>1</v>
      </c>
    </row>
    <row r="279" spans="1:2" x14ac:dyDescent="0.3">
      <c r="A279" s="9" t="s">
        <v>572</v>
      </c>
      <c r="B279" s="4">
        <v>3</v>
      </c>
    </row>
    <row r="280" spans="1:2" x14ac:dyDescent="0.3">
      <c r="A280" s="9" t="s">
        <v>2859</v>
      </c>
      <c r="B280" s="4">
        <v>1</v>
      </c>
    </row>
    <row r="281" spans="1:2" x14ac:dyDescent="0.3">
      <c r="A281" s="9" t="s">
        <v>1532</v>
      </c>
      <c r="B281" s="4">
        <v>1</v>
      </c>
    </row>
    <row r="282" spans="1:2" x14ac:dyDescent="0.3">
      <c r="A282" s="9" t="s">
        <v>2743</v>
      </c>
      <c r="B282" s="4">
        <v>1</v>
      </c>
    </row>
    <row r="283" spans="1:2" x14ac:dyDescent="0.3">
      <c r="A283" s="9" t="s">
        <v>893</v>
      </c>
      <c r="B283" s="4">
        <v>1</v>
      </c>
    </row>
    <row r="284" spans="1:2" x14ac:dyDescent="0.3">
      <c r="A284" s="9" t="s">
        <v>907</v>
      </c>
      <c r="B284" s="4">
        <v>1</v>
      </c>
    </row>
    <row r="285" spans="1:2" x14ac:dyDescent="0.3">
      <c r="A285" s="9" t="s">
        <v>1117</v>
      </c>
      <c r="B285" s="4">
        <v>1</v>
      </c>
    </row>
    <row r="286" spans="1:2" x14ac:dyDescent="0.3">
      <c r="A286" s="9" t="s">
        <v>2910</v>
      </c>
      <c r="B286" s="4">
        <v>1</v>
      </c>
    </row>
    <row r="287" spans="1:2" x14ac:dyDescent="0.3">
      <c r="A287" s="9" t="s">
        <v>439</v>
      </c>
      <c r="B287" s="4">
        <v>1</v>
      </c>
    </row>
    <row r="288" spans="1:2" x14ac:dyDescent="0.3">
      <c r="A288" s="9" t="s">
        <v>956</v>
      </c>
      <c r="B288" s="4">
        <v>1</v>
      </c>
    </row>
    <row r="289" spans="1:2" x14ac:dyDescent="0.3">
      <c r="A289" s="9" t="s">
        <v>1480</v>
      </c>
      <c r="B289" s="4">
        <v>1</v>
      </c>
    </row>
    <row r="290" spans="1:2" x14ac:dyDescent="0.3">
      <c r="A290" s="9" t="s">
        <v>1378</v>
      </c>
      <c r="B290" s="4">
        <v>1</v>
      </c>
    </row>
    <row r="291" spans="1:2" x14ac:dyDescent="0.3">
      <c r="A291" s="9" t="s">
        <v>2869</v>
      </c>
      <c r="B291" s="4">
        <v>1</v>
      </c>
    </row>
    <row r="292" spans="1:2" x14ac:dyDescent="0.3">
      <c r="A292" s="9" t="s">
        <v>1908</v>
      </c>
      <c r="B292" s="4">
        <v>1</v>
      </c>
    </row>
    <row r="293" spans="1:2" x14ac:dyDescent="0.3">
      <c r="A293" s="9" t="s">
        <v>2884</v>
      </c>
      <c r="B293" s="4">
        <v>1</v>
      </c>
    </row>
    <row r="294" spans="1:2" x14ac:dyDescent="0.3">
      <c r="A294" s="9" t="s">
        <v>2782</v>
      </c>
      <c r="B294" s="4">
        <v>5</v>
      </c>
    </row>
    <row r="295" spans="1:2" x14ac:dyDescent="0.3">
      <c r="A295" s="9" t="s">
        <v>1427</v>
      </c>
      <c r="B295" s="4">
        <v>1</v>
      </c>
    </row>
    <row r="296" spans="1:2" x14ac:dyDescent="0.3">
      <c r="A296" s="9" t="s">
        <v>2737</v>
      </c>
      <c r="B296" s="4">
        <v>1</v>
      </c>
    </row>
    <row r="297" spans="1:2" x14ac:dyDescent="0.3">
      <c r="A297" s="9" t="s">
        <v>2722</v>
      </c>
      <c r="B297" s="4">
        <v>1</v>
      </c>
    </row>
    <row r="298" spans="1:2" x14ac:dyDescent="0.3">
      <c r="A298" s="9" t="s">
        <v>1143</v>
      </c>
      <c r="B298" s="4">
        <v>1</v>
      </c>
    </row>
    <row r="299" spans="1:2" x14ac:dyDescent="0.3">
      <c r="A299" s="9" t="s">
        <v>1672</v>
      </c>
      <c r="B299" s="4">
        <v>1</v>
      </c>
    </row>
    <row r="300" spans="1:2" x14ac:dyDescent="0.3">
      <c r="A300" s="9" t="s">
        <v>1373</v>
      </c>
      <c r="B300" s="4">
        <v>1</v>
      </c>
    </row>
    <row r="301" spans="1:2" x14ac:dyDescent="0.3">
      <c r="A301" s="9" t="s">
        <v>1146</v>
      </c>
      <c r="B301" s="4">
        <v>1</v>
      </c>
    </row>
    <row r="302" spans="1:2" x14ac:dyDescent="0.3">
      <c r="A302" s="9" t="s">
        <v>1578</v>
      </c>
      <c r="B302" s="4">
        <v>1</v>
      </c>
    </row>
    <row r="303" spans="1:2" x14ac:dyDescent="0.3">
      <c r="A303" s="9" t="s">
        <v>1573</v>
      </c>
      <c r="B303" s="4">
        <v>1</v>
      </c>
    </row>
    <row r="304" spans="1:2" x14ac:dyDescent="0.3">
      <c r="A304" s="9" t="s">
        <v>919</v>
      </c>
      <c r="B304" s="4">
        <v>1</v>
      </c>
    </row>
    <row r="305" spans="1:2" x14ac:dyDescent="0.3">
      <c r="A305" s="9" t="s">
        <v>1657</v>
      </c>
      <c r="B305" s="4">
        <v>1</v>
      </c>
    </row>
    <row r="306" spans="1:2" x14ac:dyDescent="0.3">
      <c r="A306" s="9" t="s">
        <v>1330</v>
      </c>
      <c r="B306" s="4">
        <v>1</v>
      </c>
    </row>
    <row r="307" spans="1:2" x14ac:dyDescent="0.3">
      <c r="A307" s="9" t="s">
        <v>2062</v>
      </c>
      <c r="B307" s="4">
        <v>1</v>
      </c>
    </row>
    <row r="308" spans="1:2" x14ac:dyDescent="0.3">
      <c r="A308" s="9" t="s">
        <v>1596</v>
      </c>
      <c r="B308" s="4">
        <v>1</v>
      </c>
    </row>
    <row r="309" spans="1:2" x14ac:dyDescent="0.3">
      <c r="A309" s="9" t="s">
        <v>450</v>
      </c>
      <c r="B309" s="4">
        <v>1</v>
      </c>
    </row>
    <row r="310" spans="1:2" x14ac:dyDescent="0.3">
      <c r="A310" s="9" t="s">
        <v>1455</v>
      </c>
      <c r="B310" s="4">
        <v>3</v>
      </c>
    </row>
    <row r="311" spans="1:2" x14ac:dyDescent="0.3">
      <c r="A311" s="9" t="s">
        <v>2911</v>
      </c>
      <c r="B311" s="4">
        <v>1</v>
      </c>
    </row>
    <row r="312" spans="1:2" x14ac:dyDescent="0.3">
      <c r="A312" s="9" t="s">
        <v>2842</v>
      </c>
      <c r="B312" s="4">
        <v>2</v>
      </c>
    </row>
    <row r="313" spans="1:2" x14ac:dyDescent="0.3">
      <c r="A313" s="9" t="s">
        <v>2724</v>
      </c>
      <c r="B313" s="4">
        <v>5</v>
      </c>
    </row>
    <row r="314" spans="1:2" x14ac:dyDescent="0.3">
      <c r="A314" s="9" t="s">
        <v>2815</v>
      </c>
      <c r="B314" s="4">
        <v>3</v>
      </c>
    </row>
    <row r="315" spans="1:2" x14ac:dyDescent="0.3">
      <c r="A315" s="9" t="s">
        <v>381</v>
      </c>
      <c r="B315" s="4">
        <v>2</v>
      </c>
    </row>
    <row r="316" spans="1:2" x14ac:dyDescent="0.3">
      <c r="A316" s="9" t="s">
        <v>745</v>
      </c>
      <c r="B316" s="4">
        <v>2</v>
      </c>
    </row>
    <row r="317" spans="1:2" x14ac:dyDescent="0.3">
      <c r="A317" s="9" t="s">
        <v>1506</v>
      </c>
      <c r="B317" s="4">
        <v>1</v>
      </c>
    </row>
    <row r="318" spans="1:2" x14ac:dyDescent="0.3">
      <c r="A318" s="9" t="s">
        <v>1054</v>
      </c>
      <c r="B318" s="4">
        <v>1</v>
      </c>
    </row>
    <row r="319" spans="1:2" x14ac:dyDescent="0.3">
      <c r="A319" s="9" t="s">
        <v>528</v>
      </c>
      <c r="B319" s="4">
        <v>4</v>
      </c>
    </row>
    <row r="320" spans="1:2" x14ac:dyDescent="0.3">
      <c r="A320" s="9" t="s">
        <v>2706</v>
      </c>
      <c r="B320" s="4">
        <v>3</v>
      </c>
    </row>
    <row r="321" spans="1:2" x14ac:dyDescent="0.3">
      <c r="A321" s="9" t="s">
        <v>2742</v>
      </c>
      <c r="B321" s="4">
        <v>3</v>
      </c>
    </row>
    <row r="322" spans="1:2" x14ac:dyDescent="0.3">
      <c r="A322" s="9" t="s">
        <v>761</v>
      </c>
      <c r="B322" s="4">
        <v>5</v>
      </c>
    </row>
    <row r="323" spans="1:2" x14ac:dyDescent="0.3">
      <c r="A323" s="9" t="s">
        <v>1633</v>
      </c>
      <c r="B323" s="4">
        <v>1</v>
      </c>
    </row>
    <row r="324" spans="1:2" x14ac:dyDescent="0.3">
      <c r="A324" s="9" t="s">
        <v>2733</v>
      </c>
      <c r="B324" s="4">
        <v>2</v>
      </c>
    </row>
    <row r="325" spans="1:2" x14ac:dyDescent="0.3">
      <c r="A325" s="9" t="s">
        <v>1638</v>
      </c>
      <c r="B325" s="4">
        <v>1</v>
      </c>
    </row>
    <row r="326" spans="1:2" x14ac:dyDescent="0.3">
      <c r="A326" s="9" t="s">
        <v>2846</v>
      </c>
      <c r="B326" s="4">
        <v>1</v>
      </c>
    </row>
    <row r="327" spans="1:2" x14ac:dyDescent="0.3">
      <c r="A327" s="9" t="s">
        <v>1695</v>
      </c>
      <c r="B327" s="4">
        <v>2</v>
      </c>
    </row>
    <row r="328" spans="1:2" x14ac:dyDescent="0.3">
      <c r="A328" s="9" t="s">
        <v>1260</v>
      </c>
      <c r="B328" s="4">
        <v>1</v>
      </c>
    </row>
    <row r="329" spans="1:2" x14ac:dyDescent="0.3">
      <c r="A329" s="9" t="s">
        <v>1267</v>
      </c>
      <c r="B329" s="4">
        <v>2</v>
      </c>
    </row>
    <row r="330" spans="1:2" x14ac:dyDescent="0.3">
      <c r="A330" s="9" t="s">
        <v>1195</v>
      </c>
      <c r="B330" s="4">
        <v>1</v>
      </c>
    </row>
    <row r="331" spans="1:2" x14ac:dyDescent="0.3">
      <c r="A331" s="9" t="s">
        <v>1834</v>
      </c>
      <c r="B331" s="4">
        <v>1</v>
      </c>
    </row>
    <row r="332" spans="1:2" x14ac:dyDescent="0.3">
      <c r="A332" s="9" t="s">
        <v>336</v>
      </c>
      <c r="B332" s="4">
        <v>5</v>
      </c>
    </row>
    <row r="333" spans="1:2" x14ac:dyDescent="0.3">
      <c r="A333" s="9" t="s">
        <v>2074</v>
      </c>
      <c r="B333" s="4">
        <v>2</v>
      </c>
    </row>
    <row r="334" spans="1:2" x14ac:dyDescent="0.3">
      <c r="A334" s="9" t="s">
        <v>963</v>
      </c>
      <c r="B334" s="4">
        <v>1</v>
      </c>
    </row>
    <row r="335" spans="1:2" x14ac:dyDescent="0.3">
      <c r="A335" s="9" t="s">
        <v>1182</v>
      </c>
      <c r="B335" s="4">
        <v>1</v>
      </c>
    </row>
    <row r="336" spans="1:2" x14ac:dyDescent="0.3">
      <c r="A336" s="9" t="s">
        <v>1297</v>
      </c>
      <c r="B336" s="4">
        <v>2</v>
      </c>
    </row>
    <row r="337" spans="1:2" x14ac:dyDescent="0.3">
      <c r="A337" s="9" t="s">
        <v>601</v>
      </c>
      <c r="B337" s="4">
        <v>1</v>
      </c>
    </row>
    <row r="338" spans="1:2" x14ac:dyDescent="0.3">
      <c r="A338" s="9" t="s">
        <v>840</v>
      </c>
      <c r="B338" s="4">
        <v>1</v>
      </c>
    </row>
    <row r="339" spans="1:2" x14ac:dyDescent="0.3">
      <c r="A339" s="9" t="s">
        <v>2022</v>
      </c>
      <c r="B339" s="4">
        <v>1</v>
      </c>
    </row>
    <row r="340" spans="1:2" x14ac:dyDescent="0.3">
      <c r="A340" s="9" t="s">
        <v>1082</v>
      </c>
      <c r="B340" s="4">
        <v>1</v>
      </c>
    </row>
    <row r="341" spans="1:2" x14ac:dyDescent="0.3">
      <c r="A341" s="9" t="s">
        <v>2849</v>
      </c>
      <c r="B341" s="4">
        <v>1</v>
      </c>
    </row>
    <row r="342" spans="1:2" x14ac:dyDescent="0.3">
      <c r="A342" s="9" t="s">
        <v>2033</v>
      </c>
      <c r="B342" s="4">
        <v>1</v>
      </c>
    </row>
    <row r="343" spans="1:2" x14ac:dyDescent="0.3">
      <c r="A343" s="9" t="s">
        <v>1401</v>
      </c>
      <c r="B343" s="4">
        <v>4</v>
      </c>
    </row>
    <row r="344" spans="1:2" x14ac:dyDescent="0.3">
      <c r="A344" s="9" t="s">
        <v>849</v>
      </c>
      <c r="B344" s="4">
        <v>2</v>
      </c>
    </row>
    <row r="345" spans="1:2" x14ac:dyDescent="0.3">
      <c r="A345" s="9" t="s">
        <v>1315</v>
      </c>
      <c r="B345" s="4">
        <v>1</v>
      </c>
    </row>
    <row r="346" spans="1:2" x14ac:dyDescent="0.3">
      <c r="A346" s="9" t="s">
        <v>1670</v>
      </c>
      <c r="B346" s="4">
        <v>1</v>
      </c>
    </row>
    <row r="347" spans="1:2" x14ac:dyDescent="0.3">
      <c r="A347" s="9" t="s">
        <v>808</v>
      </c>
      <c r="B347" s="4">
        <v>1</v>
      </c>
    </row>
    <row r="348" spans="1:2" x14ac:dyDescent="0.3">
      <c r="A348" s="9" t="s">
        <v>1149</v>
      </c>
      <c r="B348" s="4">
        <v>6</v>
      </c>
    </row>
    <row r="349" spans="1:2" x14ac:dyDescent="0.3">
      <c r="A349" s="9" t="s">
        <v>489</v>
      </c>
      <c r="B349" s="4">
        <v>1</v>
      </c>
    </row>
    <row r="350" spans="1:2" x14ac:dyDescent="0.3">
      <c r="A350" s="9" t="s">
        <v>1471</v>
      </c>
      <c r="B350" s="4">
        <v>1</v>
      </c>
    </row>
    <row r="351" spans="1:2" x14ac:dyDescent="0.3">
      <c r="A351" s="9" t="s">
        <v>1675</v>
      </c>
      <c r="B351" s="4">
        <v>1</v>
      </c>
    </row>
    <row r="352" spans="1:2" x14ac:dyDescent="0.3">
      <c r="A352" s="9" t="s">
        <v>1947</v>
      </c>
      <c r="B352" s="4">
        <v>1</v>
      </c>
    </row>
    <row r="353" spans="1:2" x14ac:dyDescent="0.3">
      <c r="A353" s="9" t="s">
        <v>1832</v>
      </c>
      <c r="B353" s="4">
        <v>1</v>
      </c>
    </row>
    <row r="354" spans="1:2" x14ac:dyDescent="0.3">
      <c r="A354" s="9" t="s">
        <v>1021</v>
      </c>
      <c r="B354" s="4">
        <v>2</v>
      </c>
    </row>
    <row r="355" spans="1:2" x14ac:dyDescent="0.3">
      <c r="A355" s="9" t="s">
        <v>541</v>
      </c>
      <c r="B355" s="4">
        <v>7</v>
      </c>
    </row>
    <row r="356" spans="1:2" x14ac:dyDescent="0.3">
      <c r="A356" s="9" t="s">
        <v>1405</v>
      </c>
      <c r="B356" s="4">
        <v>1</v>
      </c>
    </row>
    <row r="357" spans="1:2" x14ac:dyDescent="0.3">
      <c r="A357" s="9" t="s">
        <v>443</v>
      </c>
      <c r="B357" s="4">
        <v>6</v>
      </c>
    </row>
    <row r="358" spans="1:2" x14ac:dyDescent="0.3">
      <c r="A358" s="9" t="s">
        <v>477</v>
      </c>
      <c r="B358" s="4">
        <v>1</v>
      </c>
    </row>
    <row r="359" spans="1:2" x14ac:dyDescent="0.3">
      <c r="A359" s="9" t="s">
        <v>1161</v>
      </c>
      <c r="B359" s="4">
        <v>1</v>
      </c>
    </row>
    <row r="360" spans="1:2" x14ac:dyDescent="0.3">
      <c r="A360" s="9" t="s">
        <v>2740</v>
      </c>
      <c r="B360" s="4">
        <v>2</v>
      </c>
    </row>
    <row r="361" spans="1:2" x14ac:dyDescent="0.3">
      <c r="A361" s="9" t="s">
        <v>329</v>
      </c>
      <c r="B361" s="4">
        <v>13</v>
      </c>
    </row>
    <row r="362" spans="1:2" x14ac:dyDescent="0.3">
      <c r="A362" s="9" t="s">
        <v>1213</v>
      </c>
      <c r="B362" s="4">
        <v>1</v>
      </c>
    </row>
    <row r="363" spans="1:2" x14ac:dyDescent="0.3">
      <c r="A363" s="9" t="s">
        <v>1664</v>
      </c>
      <c r="B363" s="4">
        <v>1</v>
      </c>
    </row>
    <row r="364" spans="1:2" x14ac:dyDescent="0.3">
      <c r="A364" s="9" t="s">
        <v>1652</v>
      </c>
      <c r="B364" s="4">
        <v>1</v>
      </c>
    </row>
    <row r="365" spans="1:2" x14ac:dyDescent="0.3">
      <c r="A365" s="9" t="s">
        <v>1611</v>
      </c>
      <c r="B365" s="4">
        <v>1</v>
      </c>
    </row>
    <row r="366" spans="1:2" x14ac:dyDescent="0.3">
      <c r="A366" s="9" t="s">
        <v>1762</v>
      </c>
      <c r="B366" s="4">
        <v>1</v>
      </c>
    </row>
    <row r="367" spans="1:2" x14ac:dyDescent="0.3">
      <c r="A367" s="9" t="s">
        <v>1837</v>
      </c>
      <c r="B367" s="4">
        <v>1</v>
      </c>
    </row>
    <row r="368" spans="1:2" x14ac:dyDescent="0.3">
      <c r="A368" s="9" t="s">
        <v>2850</v>
      </c>
      <c r="B368" s="4">
        <v>1</v>
      </c>
    </row>
    <row r="369" spans="1:2" x14ac:dyDescent="0.3">
      <c r="A369" s="9" t="s">
        <v>1603</v>
      </c>
      <c r="B369" s="4">
        <v>1</v>
      </c>
    </row>
    <row r="370" spans="1:2" x14ac:dyDescent="0.3">
      <c r="A370" s="9" t="s">
        <v>1310</v>
      </c>
      <c r="B370" s="4">
        <v>5</v>
      </c>
    </row>
    <row r="371" spans="1:2" x14ac:dyDescent="0.3">
      <c r="A371" s="9" t="s">
        <v>810</v>
      </c>
      <c r="B371" s="4">
        <v>1</v>
      </c>
    </row>
    <row r="372" spans="1:2" x14ac:dyDescent="0.3">
      <c r="A372" s="9" t="s">
        <v>991</v>
      </c>
      <c r="B372" s="4">
        <v>1</v>
      </c>
    </row>
    <row r="373" spans="1:2" x14ac:dyDescent="0.3">
      <c r="A373" s="9" t="s">
        <v>2629</v>
      </c>
      <c r="B373" s="4">
        <v>7</v>
      </c>
    </row>
    <row r="374" spans="1:2" x14ac:dyDescent="0.3">
      <c r="A374" s="9" t="s">
        <v>1109</v>
      </c>
      <c r="B374" s="4">
        <v>1</v>
      </c>
    </row>
    <row r="375" spans="1:2" x14ac:dyDescent="0.3">
      <c r="A375" s="9" t="s">
        <v>344</v>
      </c>
      <c r="B375" s="4">
        <v>37</v>
      </c>
    </row>
    <row r="376" spans="1:2" x14ac:dyDescent="0.3">
      <c r="A376" s="9" t="s">
        <v>1263</v>
      </c>
      <c r="B376" s="4">
        <v>1</v>
      </c>
    </row>
    <row r="377" spans="1:2" x14ac:dyDescent="0.3">
      <c r="A377" s="9" t="s">
        <v>2825</v>
      </c>
      <c r="B377" s="4">
        <v>2</v>
      </c>
    </row>
    <row r="378" spans="1:2" x14ac:dyDescent="0.3">
      <c r="A378" s="9" t="s">
        <v>1246</v>
      </c>
      <c r="B378" s="4">
        <v>1</v>
      </c>
    </row>
    <row r="379" spans="1:2" x14ac:dyDescent="0.3">
      <c r="A379" s="9" t="s">
        <v>1708</v>
      </c>
      <c r="B379" s="4">
        <v>1</v>
      </c>
    </row>
    <row r="380" spans="1:2" x14ac:dyDescent="0.3">
      <c r="A380" s="9" t="s">
        <v>2857</v>
      </c>
      <c r="B380" s="4">
        <v>1</v>
      </c>
    </row>
    <row r="381" spans="1:2" x14ac:dyDescent="0.3">
      <c r="A381" s="9" t="s">
        <v>2799</v>
      </c>
      <c r="B381" s="4">
        <v>1</v>
      </c>
    </row>
    <row r="382" spans="1:2" x14ac:dyDescent="0.3">
      <c r="A382" s="9" t="s">
        <v>2784</v>
      </c>
      <c r="B382" s="4">
        <v>1</v>
      </c>
    </row>
    <row r="383" spans="1:2" x14ac:dyDescent="0.3">
      <c r="A383" s="9" t="s">
        <v>2876</v>
      </c>
      <c r="B383" s="4">
        <v>1</v>
      </c>
    </row>
    <row r="384" spans="1:2" x14ac:dyDescent="0.3">
      <c r="A384" s="9" t="s">
        <v>2808</v>
      </c>
      <c r="B384" s="4">
        <v>1</v>
      </c>
    </row>
    <row r="385" spans="1:2" x14ac:dyDescent="0.3">
      <c r="A385" s="9" t="s">
        <v>1645</v>
      </c>
      <c r="B385" s="4">
        <v>1</v>
      </c>
    </row>
    <row r="386" spans="1:2" x14ac:dyDescent="0.3">
      <c r="A386" s="9" t="s">
        <v>1660</v>
      </c>
      <c r="B386" s="4">
        <v>1</v>
      </c>
    </row>
    <row r="387" spans="1:2" x14ac:dyDescent="0.3">
      <c r="A387" s="9" t="s">
        <v>2888</v>
      </c>
      <c r="B387" s="4">
        <v>1</v>
      </c>
    </row>
    <row r="388" spans="1:2" x14ac:dyDescent="0.3">
      <c r="A388" s="9" t="s">
        <v>2836</v>
      </c>
      <c r="B388" s="4">
        <v>1</v>
      </c>
    </row>
    <row r="389" spans="1:2" x14ac:dyDescent="0.3">
      <c r="A389" s="9" t="s">
        <v>1812</v>
      </c>
      <c r="B389" s="4">
        <v>1</v>
      </c>
    </row>
    <row r="390" spans="1:2" x14ac:dyDescent="0.3">
      <c r="A390" s="9" t="s">
        <v>1845</v>
      </c>
      <c r="B390" s="4">
        <v>1</v>
      </c>
    </row>
    <row r="391" spans="1:2" x14ac:dyDescent="0.3">
      <c r="A391" s="9" t="s">
        <v>1819</v>
      </c>
      <c r="B391" s="4">
        <v>1</v>
      </c>
    </row>
    <row r="392" spans="1:2" x14ac:dyDescent="0.3">
      <c r="A392" s="9" t="s">
        <v>2736</v>
      </c>
      <c r="B392" s="4">
        <v>1</v>
      </c>
    </row>
    <row r="393" spans="1:2" x14ac:dyDescent="0.3">
      <c r="A393" s="9" t="s">
        <v>1840</v>
      </c>
      <c r="B393" s="4">
        <v>2</v>
      </c>
    </row>
    <row r="394" spans="1:2" x14ac:dyDescent="0.3">
      <c r="A394" s="9" t="s">
        <v>2812</v>
      </c>
      <c r="B394" s="4">
        <v>1</v>
      </c>
    </row>
    <row r="395" spans="1:2" x14ac:dyDescent="0.3">
      <c r="A395" s="9" t="s">
        <v>1770</v>
      </c>
      <c r="B395" s="4">
        <v>1</v>
      </c>
    </row>
    <row r="396" spans="1:2" x14ac:dyDescent="0.3">
      <c r="A396" s="9" t="s">
        <v>2030</v>
      </c>
      <c r="B396" s="4">
        <v>1</v>
      </c>
    </row>
    <row r="397" spans="1:2" x14ac:dyDescent="0.3">
      <c r="A397" s="9" t="s">
        <v>1399</v>
      </c>
      <c r="B397" s="4">
        <v>1</v>
      </c>
    </row>
    <row r="398" spans="1:2" x14ac:dyDescent="0.3">
      <c r="A398" s="9" t="s">
        <v>1124</v>
      </c>
      <c r="B398" s="4">
        <v>1</v>
      </c>
    </row>
    <row r="399" spans="1:2" x14ac:dyDescent="0.3">
      <c r="A399" s="9" t="s">
        <v>1238</v>
      </c>
      <c r="B399" s="4">
        <v>1</v>
      </c>
    </row>
    <row r="400" spans="1:2" x14ac:dyDescent="0.3">
      <c r="A400" s="9" t="s">
        <v>1894</v>
      </c>
      <c r="B400" s="4">
        <v>1</v>
      </c>
    </row>
    <row r="401" spans="1:2" x14ac:dyDescent="0.3">
      <c r="A401" s="9" t="s">
        <v>364</v>
      </c>
      <c r="B401" s="4">
        <v>3</v>
      </c>
    </row>
    <row r="402" spans="1:2" x14ac:dyDescent="0.3">
      <c r="A402" s="9" t="s">
        <v>1072</v>
      </c>
      <c r="B402" s="4">
        <v>1</v>
      </c>
    </row>
    <row r="403" spans="1:2" x14ac:dyDescent="0.3">
      <c r="A403" s="9" t="s">
        <v>825</v>
      </c>
      <c r="B403" s="4">
        <v>1</v>
      </c>
    </row>
    <row r="404" spans="1:2" x14ac:dyDescent="0.3">
      <c r="A404" s="9" t="s">
        <v>842</v>
      </c>
      <c r="B404" s="4">
        <v>3</v>
      </c>
    </row>
    <row r="405" spans="1:2" x14ac:dyDescent="0.3">
      <c r="A405" s="9" t="s">
        <v>1734</v>
      </c>
      <c r="B405" s="4">
        <v>1</v>
      </c>
    </row>
    <row r="406" spans="1:2" x14ac:dyDescent="0.3">
      <c r="A406" s="9" t="s">
        <v>648</v>
      </c>
      <c r="B406" s="4">
        <v>1</v>
      </c>
    </row>
    <row r="407" spans="1:2" x14ac:dyDescent="0.3">
      <c r="A407" s="9" t="s">
        <v>776</v>
      </c>
      <c r="B407" s="4">
        <v>1</v>
      </c>
    </row>
    <row r="408" spans="1:2" x14ac:dyDescent="0.3">
      <c r="A408" s="9" t="s">
        <v>562</v>
      </c>
      <c r="B408" s="4">
        <v>1</v>
      </c>
    </row>
    <row r="409" spans="1:2" x14ac:dyDescent="0.3">
      <c r="A409" s="9" t="s">
        <v>2918</v>
      </c>
      <c r="B409" s="4">
        <v>762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22DC-DB1C-A648-BAB5-C757C3C24689}">
  <sheetPr codeName="Sheet1"/>
  <dimension ref="A1:P763"/>
  <sheetViews>
    <sheetView topLeftCell="A430" zoomScale="110" zoomScaleNormal="110" workbookViewId="0">
      <selection activeCell="B7" sqref="B7"/>
    </sheetView>
  </sheetViews>
  <sheetFormatPr defaultColWidth="11.19921875" defaultRowHeight="15.6" x14ac:dyDescent="0.3"/>
  <cols>
    <col min="1" max="1" width="10.296875" bestFit="1" customWidth="1"/>
    <col min="2" max="2" width="29.19921875" bestFit="1" customWidth="1"/>
    <col min="3" max="3" width="27" bestFit="1" customWidth="1"/>
    <col min="4" max="4" width="14.5" bestFit="1" customWidth="1"/>
    <col min="5" max="5" width="13.19921875" bestFit="1" customWidth="1"/>
    <col min="6" max="6" width="12.296875" hidden="1" customWidth="1"/>
    <col min="7" max="7" width="12.296875" customWidth="1"/>
    <col min="8" max="8" width="33.69921875" bestFit="1" customWidth="1"/>
    <col min="9" max="10" width="12" hidden="1" customWidth="1"/>
    <col min="11" max="11" width="10.19921875" bestFit="1" customWidth="1"/>
    <col min="12" max="12" width="65.5" bestFit="1" customWidth="1"/>
    <col min="13" max="13" width="30.19921875" customWidth="1"/>
    <col min="14" max="14" width="173.796875" hidden="1" customWidth="1"/>
    <col min="15" max="15" width="92.796875" bestFit="1" customWidth="1"/>
  </cols>
  <sheetData>
    <row r="1" spans="1:16" x14ac:dyDescent="0.3">
      <c r="A1" t="s">
        <v>313</v>
      </c>
      <c r="B1" t="s">
        <v>314</v>
      </c>
      <c r="C1" t="s">
        <v>315</v>
      </c>
      <c r="D1" t="s">
        <v>2676</v>
      </c>
      <c r="E1" t="s">
        <v>316</v>
      </c>
      <c r="F1" t="s">
        <v>317</v>
      </c>
      <c r="G1" t="s">
        <v>2627</v>
      </c>
      <c r="H1" t="s">
        <v>318</v>
      </c>
      <c r="I1" t="s">
        <v>319</v>
      </c>
      <c r="J1" t="s">
        <v>2624</v>
      </c>
      <c r="K1" t="s">
        <v>2726</v>
      </c>
      <c r="L1" t="s">
        <v>320</v>
      </c>
      <c r="M1" t="s">
        <v>321</v>
      </c>
      <c r="N1" t="s">
        <v>2625</v>
      </c>
      <c r="O1" t="s">
        <v>2626</v>
      </c>
      <c r="P1" t="s">
        <v>2637</v>
      </c>
    </row>
    <row r="2" spans="1:16" x14ac:dyDescent="0.3">
      <c r="A2">
        <v>468</v>
      </c>
      <c r="B2" t="s">
        <v>2095</v>
      </c>
      <c r="C2" t="s">
        <v>582</v>
      </c>
      <c r="D2" s="7">
        <f>IFERROR(VLOOKUP(Table2[[#This Row],[tune_meter]],Table1[#All],3,FALSE),"NONE")</f>
        <v>21</v>
      </c>
      <c r="F2" t="s">
        <v>324</v>
      </c>
      <c r="G2" t="str">
        <f>IF(Table2[[#This Row],[tune_book]]="LFTBs","Red Book","Green Book")</f>
        <v>Green Book</v>
      </c>
      <c r="H2" t="s">
        <v>348</v>
      </c>
      <c r="I2" t="s">
        <v>2096</v>
      </c>
      <c r="J2" t="str">
        <f>Table2[[#This Row],[file_name]]&amp;".mp3"</f>
        <v>468g.mid.mp3</v>
      </c>
      <c r="M2">
        <v>717</v>
      </c>
      <c r="N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 Little While (10.10.10.10.)" --artist="Ira D. Sankey" --comment="" --album="Green Book" --track="468" 468g.mid.mp3</v>
      </c>
      <c r="P2" s="4" t="e">
        <f ca="1">VLOOKUP(Table2[[#This Row],[mp3_file]],Table3[#All],3,FALSE)</f>
        <v>#NAME?</v>
      </c>
    </row>
    <row r="3" spans="1:16" x14ac:dyDescent="0.3">
      <c r="A3">
        <v>187</v>
      </c>
      <c r="B3" t="s">
        <v>1479</v>
      </c>
      <c r="C3" t="s">
        <v>913</v>
      </c>
      <c r="D3" s="7">
        <f>IFERROR(VLOOKUP(Table2[[#This Row],[tune_meter]],Table1[#All],3,FALSE),"NONE")</f>
        <v>43</v>
      </c>
      <c r="F3" t="s">
        <v>324</v>
      </c>
      <c r="G3" t="str">
        <f>IF(Table2[[#This Row],[tune_book]]="LFTBs","Red Book","Green Book")</f>
        <v>Green Book</v>
      </c>
      <c r="H3" t="s">
        <v>1480</v>
      </c>
      <c r="I3" t="s">
        <v>1481</v>
      </c>
      <c r="J3" t="str">
        <f>Table2[[#This Row],[file_name]]&amp;".mp3"</f>
        <v>187g.mid.mp3</v>
      </c>
      <c r="M3">
        <v>452</v>
      </c>
      <c r="N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--song="Abbott's Wood (6.6.6.5.6.6.6.5.)" --artist="Mrs. Dent" --comment="" --album="Green Book" --track="187" 187g.mid.mp3</v>
      </c>
      <c r="P3" s="4" t="e">
        <f ca="1">VLOOKUP(Table2[[#This Row],[mp3_file]],Table3[#All],3,FALSE)</f>
        <v>#NAME?</v>
      </c>
    </row>
    <row r="4" spans="1:16" x14ac:dyDescent="0.3">
      <c r="A4">
        <v>87</v>
      </c>
      <c r="B4" t="s">
        <v>1831</v>
      </c>
      <c r="C4" t="s">
        <v>516</v>
      </c>
      <c r="D4" s="7">
        <f>IFERROR(VLOOKUP(Table2[[#This Row],[tune_meter]],Table1[#All],3,FALSE),"NONE")</f>
        <v>16</v>
      </c>
      <c r="F4" t="s">
        <v>324</v>
      </c>
      <c r="G4" t="str">
        <f>IF(Table2[[#This Row],[tune_book]]="LFTBs","Red Book","Green Book")</f>
        <v>Green Book</v>
      </c>
      <c r="H4" t="s">
        <v>1832</v>
      </c>
      <c r="I4" t="s">
        <v>1833</v>
      </c>
      <c r="J4" t="str">
        <f>Table2[[#This Row],[file_name]]&amp;".mp3"</f>
        <v>87g.mid.mp3</v>
      </c>
      <c r="M4">
        <v>602</v>
      </c>
      <c r="N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--song="Abends (L.M.)" --artist="Sir Herbert S. Oakeley" --comment="" --album="Green Book" --track="87" 87g.mid.mp3</v>
      </c>
      <c r="P4" s="4" t="e">
        <f ca="1">VLOOKUP(Table2[[#This Row],[mp3_file]],Table3[#All],3,FALSE)</f>
        <v>#NAME?</v>
      </c>
    </row>
    <row r="5" spans="1:16" x14ac:dyDescent="0.3">
      <c r="A5">
        <v>67</v>
      </c>
      <c r="B5" t="s">
        <v>458</v>
      </c>
      <c r="C5" t="s">
        <v>446</v>
      </c>
      <c r="D5" s="7">
        <f>IFERROR(VLOOKUP(Table2[[#This Row],[tune_meter]],Table1[#All],3,FALSE),"NONE")</f>
        <v>44</v>
      </c>
      <c r="F5" t="s">
        <v>459</v>
      </c>
      <c r="G5" t="str">
        <f>IF(Table2[[#This Row],[tune_book]]="LFTBs","Red Book","Green Book")</f>
        <v>Red Book</v>
      </c>
      <c r="H5" t="s">
        <v>460</v>
      </c>
      <c r="I5" t="s">
        <v>461</v>
      </c>
      <c r="J5" t="str">
        <f>Table2[[#This Row],[file_name]]&amp;".mp3"</f>
        <v>67r.mid.mp3</v>
      </c>
      <c r="M5">
        <v>45</v>
      </c>
      <c r="N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--song="Abercorn (6.4.6.4.6.6.6.4.)" --artist="John Mason" --comment="" --album="Red Book" --track="67" 67r.mid.mp3</v>
      </c>
      <c r="P5" s="4" t="e">
        <f ca="1">VLOOKUP(Table2[[#This Row],[mp3_file]],Table3[#All],3,FALSE)</f>
        <v>#NAME?</v>
      </c>
    </row>
    <row r="6" spans="1:16" x14ac:dyDescent="0.3">
      <c r="A6">
        <v>78</v>
      </c>
      <c r="B6" t="s">
        <v>462</v>
      </c>
      <c r="C6" t="s">
        <v>463</v>
      </c>
      <c r="D6" s="7">
        <f>IFERROR(VLOOKUP(Table2[[#This Row],[tune_meter]],Table1[#All],3,FALSE),"NONE")</f>
        <v>90</v>
      </c>
      <c r="F6" t="s">
        <v>459</v>
      </c>
      <c r="G6" t="str">
        <f>IF(Table2[[#This Row],[tune_book]]="LFTBs","Red Book","Green Book")</f>
        <v>Red Book</v>
      </c>
      <c r="H6" t="s">
        <v>464</v>
      </c>
      <c r="I6" t="s">
        <v>465</v>
      </c>
      <c r="J6" t="str">
        <f>Table2[[#This Row],[file_name]]&amp;".mp3"</f>
        <v>78r.mid.mp3</v>
      </c>
      <c r="M6">
        <v>46</v>
      </c>
      <c r="N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--song="Abi-ezer (6.6.6.6.6.6.6.6.)" --artist="Miss E.C. Shanks" --comment="" --album="Red Book" --track="78" 78r.mid.mp3</v>
      </c>
      <c r="P6" s="4" t="e">
        <f ca="1">VLOOKUP(Table2[[#This Row],[mp3_file]],Table3[#All],3,FALSE)</f>
        <v>#NAME?</v>
      </c>
    </row>
    <row r="7" spans="1:16" x14ac:dyDescent="0.3">
      <c r="A7">
        <v>469</v>
      </c>
      <c r="B7" t="s">
        <v>2097</v>
      </c>
      <c r="C7" t="s">
        <v>582</v>
      </c>
      <c r="D7" s="7">
        <f>IFERROR(VLOOKUP(Table2[[#This Row],[tune_meter]],Table1[#All],3,FALSE),"NONE")</f>
        <v>21</v>
      </c>
      <c r="F7" t="s">
        <v>324</v>
      </c>
      <c r="G7" t="str">
        <f>IF(Table2[[#This Row],[tune_book]]="LFTBs","Red Book","Green Book")</f>
        <v>Green Book</v>
      </c>
      <c r="H7" t="s">
        <v>2719</v>
      </c>
      <c r="I7" t="s">
        <v>2098</v>
      </c>
      <c r="J7" t="str">
        <f>Table2[[#This Row],[file_name]]&amp;".mp3"</f>
        <v>469g.mid.mp3</v>
      </c>
      <c r="M7">
        <v>718</v>
      </c>
      <c r="N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--song="Abide With Me (10.10.10.10.)" --artist="F. C. Maker" --comment="" --album="Green Book" --track="469" 469g.mid.mp3</v>
      </c>
      <c r="P7" s="4" t="e">
        <f ca="1">VLOOKUP(Table2[[#This Row],[mp3_file]],Table3[#All],3,FALSE)</f>
        <v>#NAME?</v>
      </c>
    </row>
    <row r="8" spans="1:16" x14ac:dyDescent="0.3">
      <c r="A8">
        <v>453</v>
      </c>
      <c r="B8" t="s">
        <v>2710</v>
      </c>
      <c r="C8" t="s">
        <v>424</v>
      </c>
      <c r="D8" s="7">
        <f>IFERROR(VLOOKUP(Table2[[#This Row],[tune_meter]],Table1[#All],3,FALSE),"NONE")</f>
        <v>45</v>
      </c>
      <c r="F8" t="s">
        <v>324</v>
      </c>
      <c r="G8" t="str">
        <f>IF(Table2[[#This Row],[tune_book]]="LFTBs","Red Book","Green Book")</f>
        <v>Green Book</v>
      </c>
      <c r="H8" t="s">
        <v>2082</v>
      </c>
      <c r="I8" t="s">
        <v>2083</v>
      </c>
      <c r="J8" t="str">
        <f>Table2[[#This Row],[file_name]]&amp;".mp3"</f>
        <v>453g.mid.mp3</v>
      </c>
      <c r="K8" s="4">
        <v>1936</v>
      </c>
      <c r="M8">
        <v>711</v>
      </c>
      <c r="N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--song="Abington (10.4.10.4.10.10.)" --artist="E. Burgess" --comment="" --album="Green Book" --track="453" 453g.mid.mp3</v>
      </c>
      <c r="P8" s="4" t="e">
        <f ca="1">VLOOKUP(Table2[[#This Row],[mp3_file]],Table3[#All],3,FALSE)</f>
        <v>#NAME?</v>
      </c>
    </row>
    <row r="9" spans="1:16" x14ac:dyDescent="0.3">
      <c r="A9">
        <v>1</v>
      </c>
      <c r="B9" t="s">
        <v>1389</v>
      </c>
      <c r="C9" t="s">
        <v>486</v>
      </c>
      <c r="D9" s="7">
        <f>IFERROR(VLOOKUP(Table2[[#This Row],[tune_meter]],Table1[#All],3,FALSE),"NONE")</f>
        <v>19</v>
      </c>
      <c r="F9" t="s">
        <v>324</v>
      </c>
      <c r="G9" t="str">
        <f>IF(Table2[[#This Row],[tune_book]]="LFTBs","Red Book","Green Book")</f>
        <v>Green Book</v>
      </c>
      <c r="H9" t="s">
        <v>1390</v>
      </c>
      <c r="I9" t="s">
        <v>1391</v>
      </c>
      <c r="J9" t="str">
        <f>Table2[[#This Row],[file_name]]&amp;".mp3"</f>
        <v>1g.mid.mp3</v>
      </c>
      <c r="M9">
        <v>413</v>
      </c>
      <c r="N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--song="Abridge (C.M.)" --artist="Isaac Smith" --comment="" --album="Green Book" --track="1" 1g.mid.mp3</v>
      </c>
      <c r="P9" s="4" t="e">
        <f ca="1">VLOOKUP(Table2[[#This Row],[mp3_file]],Table3[#All],3,FALSE)</f>
        <v>#NAME?</v>
      </c>
    </row>
    <row r="10" spans="1:16" x14ac:dyDescent="0.3">
      <c r="A10">
        <v>2</v>
      </c>
      <c r="B10" t="s">
        <v>1392</v>
      </c>
      <c r="C10" t="s">
        <v>486</v>
      </c>
      <c r="D10" s="7">
        <f>IFERROR(VLOOKUP(Table2[[#This Row],[tune_meter]],Table1[#All],3,FALSE),"NONE")</f>
        <v>19</v>
      </c>
      <c r="F10" t="s">
        <v>324</v>
      </c>
      <c r="G10" t="str">
        <f>IF(Table2[[#This Row],[tune_book]]="LFTBs","Red Book","Green Book")</f>
        <v>Green Book</v>
      </c>
      <c r="H10" t="s">
        <v>2720</v>
      </c>
      <c r="I10" t="s">
        <v>1393</v>
      </c>
      <c r="J10" t="str">
        <f>Table2[[#This Row],[file_name]]&amp;".mp3"</f>
        <v>2g.mid.mp3</v>
      </c>
      <c r="M10">
        <v>414</v>
      </c>
      <c r="N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--song="Acton (C.M.)" --artist="F. H. Alden" --comment="" --album="Green Book" --track="2" 2g.mid.mp3</v>
      </c>
      <c r="P10" s="4" t="e">
        <f ca="1">VLOOKUP(Table2[[#This Row],[mp3_file]],Table3[#All],3,FALSE)</f>
        <v>#NAME?</v>
      </c>
    </row>
    <row r="11" spans="1:16" x14ac:dyDescent="0.3">
      <c r="A11">
        <v>97</v>
      </c>
      <c r="B11" t="s">
        <v>466</v>
      </c>
      <c r="C11" t="s">
        <v>467</v>
      </c>
      <c r="D11" s="7">
        <f>IFERROR(VLOOKUP(Table2[[#This Row],[tune_meter]],Table1[#All],3,FALSE),"NONE")</f>
        <v>34</v>
      </c>
      <c r="F11" t="s">
        <v>459</v>
      </c>
      <c r="G11" t="str">
        <f>IF(Table2[[#This Row],[tune_book]]="LFTBs","Red Book","Green Book")</f>
        <v>Red Book</v>
      </c>
      <c r="H11" t="s">
        <v>344</v>
      </c>
      <c r="I11" t="s">
        <v>468</v>
      </c>
      <c r="J11" t="str">
        <f>Table2[[#This Row],[file_name]]&amp;".mp3"</f>
        <v>97r.mid.mp3</v>
      </c>
      <c r="M11">
        <v>47</v>
      </c>
      <c r="N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--song="Adelaide (7.6.7.6.7.6.7.6.)" --artist="Unknown" --comment="" --album="Red Book" --track="97" 97r.mid.mp3</v>
      </c>
      <c r="P11" s="4" t="e">
        <f ca="1">VLOOKUP(Table2[[#This Row],[mp3_file]],Table3[#All],3,FALSE)</f>
        <v>#NAME?</v>
      </c>
    </row>
    <row r="12" spans="1:16" x14ac:dyDescent="0.3">
      <c r="A12">
        <v>171</v>
      </c>
      <c r="B12" t="s">
        <v>469</v>
      </c>
      <c r="C12" t="s">
        <v>470</v>
      </c>
      <c r="D12" s="7">
        <f>IFERROR(VLOOKUP(Table2[[#This Row],[tune_meter]],Table1[#All],3,FALSE),"NONE")</f>
        <v>50</v>
      </c>
      <c r="F12" t="s">
        <v>459</v>
      </c>
      <c r="G12" t="str">
        <f>IF(Table2[[#This Row],[tune_book]]="LFTBs","Red Book","Green Book")</f>
        <v>Red Book</v>
      </c>
      <c r="H12" t="s">
        <v>471</v>
      </c>
      <c r="I12" t="s">
        <v>472</v>
      </c>
      <c r="J12" t="str">
        <f>Table2[[#This Row],[file_name]]&amp;".mp3"</f>
        <v>171r.mid.mp3</v>
      </c>
      <c r="M12">
        <v>48</v>
      </c>
      <c r="N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--song="Adeney (8.7.8.7.4.7.)" --artist="John G. Deayton" --comment="" --album="Red Book" --track="171" 171r.mid.mp3</v>
      </c>
      <c r="P12" s="4" t="e">
        <f ca="1">VLOOKUP(Table2[[#This Row],[mp3_file]],Table3[#All],3,FALSE)</f>
        <v>#NAME?</v>
      </c>
    </row>
    <row r="13" spans="1:16" x14ac:dyDescent="0.3">
      <c r="A13">
        <v>428</v>
      </c>
      <c r="B13" t="s">
        <v>2712</v>
      </c>
      <c r="C13" t="s">
        <v>554</v>
      </c>
      <c r="D13" s="7">
        <f>IFERROR(VLOOKUP(Table2[[#This Row],[tune_meter]],Table1[#All],3,FALSE),"NONE")</f>
        <v>26</v>
      </c>
      <c r="F13" t="s">
        <v>324</v>
      </c>
      <c r="G13" t="str">
        <f>IF(Table2[[#This Row],[tune_book]]="LFTBs","Red Book","Green Book")</f>
        <v>Green Book</v>
      </c>
      <c r="H13" t="s">
        <v>329</v>
      </c>
      <c r="I13" t="s">
        <v>2046</v>
      </c>
      <c r="J13" t="str">
        <f>Table2[[#This Row],[file_name]]&amp;".mp3"</f>
        <v>428g.mid.mp3</v>
      </c>
      <c r="M13">
        <v>694</v>
      </c>
      <c r="N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--song="Adoration (Collins) (8.8.8.8.8.8.)" --artist="T. Collins" --comment="" --album="Green Book" --track="428" 428g.mid.mp3</v>
      </c>
      <c r="P13" s="4" t="e">
        <f ca="1">VLOOKUP(Table2[[#This Row],[mp3_file]],Table3[#All],3,FALSE)</f>
        <v>#NAME?</v>
      </c>
    </row>
    <row r="14" spans="1:16" x14ac:dyDescent="0.3">
      <c r="A14">
        <v>285</v>
      </c>
      <c r="B14" t="s">
        <v>2713</v>
      </c>
      <c r="C14" t="s">
        <v>473</v>
      </c>
      <c r="D14" s="7">
        <f>IFERROR(VLOOKUP(Table2[[#This Row],[tune_meter]],Table1[#All],3,FALSE),"NONE")</f>
        <v>48</v>
      </c>
      <c r="F14" t="s">
        <v>459</v>
      </c>
      <c r="G14" t="str">
        <f>IF(Table2[[#This Row],[tune_book]]="LFTBs","Red Book","Green Book")</f>
        <v>Red Book</v>
      </c>
      <c r="H14" t="s">
        <v>2721</v>
      </c>
      <c r="I14" t="s">
        <v>474</v>
      </c>
      <c r="J14" t="str">
        <f>Table2[[#This Row],[file_name]]&amp;".mp3"</f>
        <v>285r.mid.mp3</v>
      </c>
      <c r="M14">
        <v>49</v>
      </c>
      <c r="N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--song="Adoration (Righton) (12.13.12.10.)" --artist="J. H. Righton" --comment="" --album="Red Book" --track="285" 285r.mid.mp3</v>
      </c>
      <c r="P14" s="4" t="e">
        <f ca="1">VLOOKUP(Table2[[#This Row],[mp3_file]],Table3[#All],3,FALSE)</f>
        <v>#NAME?</v>
      </c>
    </row>
    <row r="15" spans="1:16" x14ac:dyDescent="0.3">
      <c r="A15">
        <v>88</v>
      </c>
      <c r="B15" t="s">
        <v>2711</v>
      </c>
      <c r="C15" t="s">
        <v>516</v>
      </c>
      <c r="D15" s="7">
        <f>IFERROR(VLOOKUP(Table2[[#This Row],[tune_meter]],Table1[#All],3,FALSE),"NONE")</f>
        <v>16</v>
      </c>
      <c r="F15" t="s">
        <v>324</v>
      </c>
      <c r="G15" t="str">
        <f>IF(Table2[[#This Row],[tune_book]]="LFTBs","Red Book","Green Book")</f>
        <v>Green Book</v>
      </c>
      <c r="H15" t="s">
        <v>1834</v>
      </c>
      <c r="I15" t="s">
        <v>1835</v>
      </c>
      <c r="J15" t="str">
        <f>Table2[[#This Row],[file_name]]&amp;".mp3"</f>
        <v>88g.mid.mp3</v>
      </c>
      <c r="K15" s="4">
        <v>1914</v>
      </c>
      <c r="M15">
        <v>603</v>
      </c>
      <c r="N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--song="Adoration (Thornton) (L.M.)" --artist="R. Thornton" --comment="" --album="Green Book" --track="88" 88g.mid.mp3</v>
      </c>
      <c r="P15" s="4" t="e">
        <f ca="1">VLOOKUP(Table2[[#This Row],[mp3_file]],Table3[#All],3,FALSE)</f>
        <v>#NAME?</v>
      </c>
    </row>
    <row r="16" spans="1:16" x14ac:dyDescent="0.3">
      <c r="A16">
        <v>181</v>
      </c>
      <c r="B16" t="s">
        <v>475</v>
      </c>
      <c r="C16" t="s">
        <v>476</v>
      </c>
      <c r="D16" s="7">
        <f>IFERROR(VLOOKUP(Table2[[#This Row],[tune_meter]],Table1[#All],3,FALSE),"NONE")</f>
        <v>25</v>
      </c>
      <c r="F16" t="s">
        <v>459</v>
      </c>
      <c r="G16" t="str">
        <f>IF(Table2[[#This Row],[tune_book]]="LFTBs","Red Book","Green Book")</f>
        <v>Red Book</v>
      </c>
      <c r="H16" t="s">
        <v>477</v>
      </c>
      <c r="I16" t="s">
        <v>478</v>
      </c>
      <c r="J16" t="str">
        <f>Table2[[#This Row],[file_name]]&amp;".mp3"</f>
        <v>181r.mid.mp3</v>
      </c>
      <c r="M16">
        <v>50</v>
      </c>
      <c r="N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--song="Adrian (8.7.8.7.8.7.8.7.)" --artist="Sir Robert P. Stewart" --comment="" --album="Red Book" --track="181" 181r.mid.mp3</v>
      </c>
      <c r="P16" s="4" t="e">
        <f ca="1">VLOOKUP(Table2[[#This Row],[mp3_file]],Table3[#All],3,FALSE)</f>
        <v>#NAME?</v>
      </c>
    </row>
    <row r="17" spans="1:16" x14ac:dyDescent="0.3">
      <c r="A17">
        <v>120</v>
      </c>
      <c r="B17" t="s">
        <v>479</v>
      </c>
      <c r="C17" t="s">
        <v>480</v>
      </c>
      <c r="D17" s="7">
        <f>IFERROR(VLOOKUP(Table2[[#This Row],[tune_meter]],Table1[#All],3,FALSE),"NONE")</f>
        <v>92</v>
      </c>
      <c r="F17" t="s">
        <v>459</v>
      </c>
      <c r="G17" t="str">
        <f>IF(Table2[[#This Row],[tune_book]]="LFTBs","Red Book","Green Book")</f>
        <v>Red Book</v>
      </c>
      <c r="H17" t="s">
        <v>464</v>
      </c>
      <c r="I17" t="s">
        <v>481</v>
      </c>
      <c r="J17" t="str">
        <f>Table2[[#This Row],[file_name]]&amp;".mp3"</f>
        <v>120r.mid.mp3</v>
      </c>
      <c r="M17">
        <v>51</v>
      </c>
      <c r="N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--song="Agabus (7.7.7.7.8.8.)" --artist="Miss E.C. Shanks" --comment="" --album="Red Book" --track="120" 120r.mid.mp3</v>
      </c>
      <c r="P17" s="4" t="e">
        <f ca="1">VLOOKUP(Table2[[#This Row],[mp3_file]],Table3[#All],3,FALSE)</f>
        <v>#NAME?</v>
      </c>
    </row>
    <row r="18" spans="1:16" x14ac:dyDescent="0.3">
      <c r="A18">
        <v>228</v>
      </c>
      <c r="B18" t="s">
        <v>1893</v>
      </c>
      <c r="C18" t="s">
        <v>467</v>
      </c>
      <c r="D18" s="7">
        <f>IFERROR(VLOOKUP(Table2[[#This Row],[tune_meter]],Table1[#All],3,FALSE),"NONE")</f>
        <v>34</v>
      </c>
      <c r="F18" t="s">
        <v>324</v>
      </c>
      <c r="G18" t="str">
        <f>IF(Table2[[#This Row],[tune_book]]="LFTBs","Red Book","Green Book")</f>
        <v>Green Book</v>
      </c>
      <c r="H18" t="s">
        <v>1894</v>
      </c>
      <c r="I18" t="s">
        <v>1895</v>
      </c>
      <c r="J18" t="str">
        <f>Table2[[#This Row],[file_name]]&amp;".mp3"</f>
        <v>228g.mid.mp3</v>
      </c>
      <c r="M18">
        <v>628</v>
      </c>
      <c r="N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--song="Ajeleth-Shahar (7.6.7.6.7.6.7.6.)" --artist="W.C. Fursland" --comment="" --album="Green Book" --track="228" 228g.mid.mp3</v>
      </c>
      <c r="P18" s="4" t="e">
        <f ca="1">VLOOKUP(Table2[[#This Row],[mp3_file]],Table3[#All],3,FALSE)</f>
        <v>#NAME?</v>
      </c>
    </row>
    <row r="19" spans="1:16" x14ac:dyDescent="0.3">
      <c r="A19">
        <v>313</v>
      </c>
      <c r="B19" t="s">
        <v>1959</v>
      </c>
      <c r="C19" t="s">
        <v>370</v>
      </c>
      <c r="D19" s="7">
        <f>IFERROR(VLOOKUP(Table2[[#This Row],[tune_meter]],Table1[#All],3,FALSE),"NONE")</f>
        <v>24</v>
      </c>
      <c r="F19" t="s">
        <v>324</v>
      </c>
      <c r="G19" t="str">
        <f>IF(Table2[[#This Row],[tune_book]]="LFTBs","Red Book","Green Book")</f>
        <v>Green Book</v>
      </c>
      <c r="H19" t="s">
        <v>351</v>
      </c>
      <c r="I19" t="s">
        <v>1960</v>
      </c>
      <c r="J19" t="str">
        <f>Table2[[#This Row],[file_name]]&amp;".mp3"</f>
        <v>313g.mid.mp3</v>
      </c>
      <c r="M19">
        <v>655</v>
      </c>
      <c r="N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--song="Alba (8.7.8.7.)" --artist="C. Leflaive" --comment="" --album="Green Book" --track="313" 313g.mid.mp3</v>
      </c>
      <c r="P19" s="4" t="e">
        <f ca="1">VLOOKUP(Table2[[#This Row],[mp3_file]],Table3[#All],3,FALSE)</f>
        <v>#NAME?</v>
      </c>
    </row>
    <row r="20" spans="1:16" x14ac:dyDescent="0.3">
      <c r="A20">
        <v>140</v>
      </c>
      <c r="B20" t="s">
        <v>482</v>
      </c>
      <c r="C20" t="s">
        <v>483</v>
      </c>
      <c r="D20" s="7">
        <f>IFERROR(VLOOKUP(Table2[[#This Row],[tune_meter]],Table1[#All],3,FALSE),"NONE")</f>
        <v>55</v>
      </c>
      <c r="F20" t="s">
        <v>459</v>
      </c>
      <c r="G20" t="str">
        <f>IF(Table2[[#This Row],[tune_book]]="LFTBs","Red Book","Green Book")</f>
        <v>Red Book</v>
      </c>
      <c r="H20" t="s">
        <v>2717</v>
      </c>
      <c r="I20" t="s">
        <v>484</v>
      </c>
      <c r="J20" t="str">
        <f>Table2[[#This Row],[file_name]]&amp;".mp3"</f>
        <v>140r.mid.mp3</v>
      </c>
      <c r="M20">
        <v>52</v>
      </c>
      <c r="N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--song="Albercroft (8.6.8.6.8.8.)" --artist="A. L. Bloomfield" --comment="" --album="Red Book" --track="140" 140r.mid.mp3</v>
      </c>
      <c r="P20" s="4" t="e">
        <f ca="1">VLOOKUP(Table2[[#This Row],[mp3_file]],Table3[#All],3,FALSE)</f>
        <v>#NAME?</v>
      </c>
    </row>
    <row r="21" spans="1:16" x14ac:dyDescent="0.3">
      <c r="A21">
        <v>396</v>
      </c>
      <c r="B21" t="s">
        <v>1346</v>
      </c>
      <c r="C21" t="s">
        <v>1114</v>
      </c>
      <c r="D21" s="7">
        <f>IFERROR(VLOOKUP(Table2[[#This Row],[tune_meter]],Table1[#All],3,FALSE),"NONE")</f>
        <v>66</v>
      </c>
      <c r="F21" t="s">
        <v>324</v>
      </c>
      <c r="G21" t="str">
        <f>IF(Table2[[#This Row],[tune_book]]="LFTBs","Red Book","Green Book")</f>
        <v>Green Book</v>
      </c>
      <c r="H21" t="s">
        <v>2718</v>
      </c>
      <c r="I21" t="s">
        <v>1347</v>
      </c>
      <c r="J21" t="str">
        <f>Table2[[#This Row],[file_name]]&amp;".mp3"</f>
        <v>396g.mid.mp3</v>
      </c>
      <c r="M21">
        <v>394</v>
      </c>
      <c r="N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--song="Aldwyn (8.7.8.7.8.7.8.7. Iambic)" --artist="G. C. Stebbins" --comment="" --album="Green Book" --track="396" 396g.mid.mp3</v>
      </c>
      <c r="P21" s="4" t="e">
        <f ca="1">VLOOKUP(Table2[[#This Row],[mp3_file]],Table3[#All],3,FALSE)</f>
        <v>#NAME?</v>
      </c>
    </row>
    <row r="22" spans="1:16" x14ac:dyDescent="0.3">
      <c r="A22">
        <v>229</v>
      </c>
      <c r="B22" t="s">
        <v>1896</v>
      </c>
      <c r="C22" t="s">
        <v>467</v>
      </c>
      <c r="D22" s="7">
        <f>IFERROR(VLOOKUP(Table2[[#This Row],[tune_meter]],Table1[#All],3,FALSE),"NONE")</f>
        <v>34</v>
      </c>
      <c r="F22" t="s">
        <v>324</v>
      </c>
      <c r="G22" t="str">
        <f>IF(Table2[[#This Row],[tune_book]]="LFTBs","Red Book","Green Book")</f>
        <v>Green Book</v>
      </c>
      <c r="H22" t="s">
        <v>2716</v>
      </c>
      <c r="I22" t="s">
        <v>1897</v>
      </c>
      <c r="J22" t="str">
        <f>Table2[[#This Row],[file_name]]&amp;".mp3"</f>
        <v>229g.mid.mp3</v>
      </c>
      <c r="M22">
        <v>629</v>
      </c>
      <c r="N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--song="Alford (7.6.7.6.7.6.7.6.)" --artist="Dr. J. B. Dykes" --comment="" --album="Green Book" --track="229" 229g.mid.mp3</v>
      </c>
      <c r="P22" s="4" t="e">
        <f ca="1">VLOOKUP(Table2[[#This Row],[mp3_file]],Table3[#All],3,FALSE)</f>
        <v>#NAME?</v>
      </c>
    </row>
    <row r="23" spans="1:16" x14ac:dyDescent="0.3">
      <c r="A23">
        <v>89</v>
      </c>
      <c r="B23" t="s">
        <v>1217</v>
      </c>
      <c r="C23" t="s">
        <v>516</v>
      </c>
      <c r="D23" s="7">
        <f>IFERROR(VLOOKUP(Table2[[#This Row],[tune_meter]],Table1[#All],3,FALSE),"NONE")</f>
        <v>16</v>
      </c>
      <c r="F23" t="s">
        <v>324</v>
      </c>
      <c r="G23" t="str">
        <f>IF(Table2[[#This Row],[tune_book]]="LFTBs","Red Book","Green Book")</f>
        <v>Green Book</v>
      </c>
      <c r="H23" t="s">
        <v>2723</v>
      </c>
      <c r="I23" t="s">
        <v>1218</v>
      </c>
      <c r="J23" t="str">
        <f>Table2[[#This Row],[file_name]]&amp;".mp3"</f>
        <v>89g.mid.mp3</v>
      </c>
      <c r="K23" s="4">
        <v>1921</v>
      </c>
      <c r="M23">
        <v>341</v>
      </c>
      <c r="N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--song="Alfriston (L.M.)" --artist="C. T. Lambert" --comment="" --album="Green Book" --track="89" 89g.mid.mp3</v>
      </c>
      <c r="P23" s="4" t="e">
        <f ca="1">VLOOKUP(Table2[[#This Row],[mp3_file]],Table3[#All],3,FALSE)</f>
        <v>#NAME?</v>
      </c>
    </row>
    <row r="24" spans="1:16" x14ac:dyDescent="0.3">
      <c r="A24">
        <v>314</v>
      </c>
      <c r="B24" t="s">
        <v>1961</v>
      </c>
      <c r="C24" t="s">
        <v>370</v>
      </c>
      <c r="D24" s="7">
        <f>IFERROR(VLOOKUP(Table2[[#This Row],[tune_meter]],Table1[#All],3,FALSE),"NONE")</f>
        <v>24</v>
      </c>
      <c r="F24" t="s">
        <v>324</v>
      </c>
      <c r="G24" t="str">
        <f>IF(Table2[[#This Row],[tune_book]]="LFTBs","Red Book","Green Book")</f>
        <v>Green Book</v>
      </c>
      <c r="H24" t="s">
        <v>541</v>
      </c>
      <c r="I24" t="s">
        <v>1962</v>
      </c>
      <c r="J24" t="str">
        <f>Table2[[#This Row],[file_name]]&amp;".mp3"</f>
        <v>314g.mid.mp3</v>
      </c>
      <c r="M24">
        <v>656</v>
      </c>
      <c r="N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 For Jesus (8.7.8.7.)" --artist="Sir John Stainer" --comment="" --album="Green Book" --track="314" 314g.mid.mp3</v>
      </c>
      <c r="P24" s="4" t="e">
        <f ca="1">VLOOKUP(Table2[[#This Row],[mp3_file]],Table3[#All],3,FALSE)</f>
        <v>#NAME?</v>
      </c>
    </row>
    <row r="25" spans="1:16" x14ac:dyDescent="0.3">
      <c r="A25">
        <v>1</v>
      </c>
      <c r="B25" t="s">
        <v>485</v>
      </c>
      <c r="C25" t="s">
        <v>486</v>
      </c>
      <c r="D25" s="7">
        <f>IFERROR(VLOOKUP(Table2[[#This Row],[tune_meter]],Table1[#All],3,FALSE),"NONE")</f>
        <v>19</v>
      </c>
      <c r="F25" t="s">
        <v>459</v>
      </c>
      <c r="G25" t="str">
        <f>IF(Table2[[#This Row],[tune_book]]="LFTBs","Red Book","Green Book")</f>
        <v>Red Book</v>
      </c>
      <c r="H25" t="s">
        <v>2722</v>
      </c>
      <c r="I25" t="s">
        <v>487</v>
      </c>
      <c r="J25" t="str">
        <f>Table2[[#This Row],[file_name]]&amp;".mp3"</f>
        <v>1r.mid.mp3</v>
      </c>
      <c r="M25">
        <v>53</v>
      </c>
      <c r="N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 Hail! (C.M.)" --artist="Mrs. J. H. Cuckney" --comment="" --album="Red Book" --track="1" 1r.mid.mp3</v>
      </c>
      <c r="P25" s="4" t="e">
        <f ca="1">VLOOKUP(Table2[[#This Row],[mp3_file]],Table3[#All],3,FALSE)</f>
        <v>#NAME?</v>
      </c>
    </row>
    <row r="26" spans="1:16" x14ac:dyDescent="0.3">
      <c r="A26">
        <v>61</v>
      </c>
      <c r="B26" t="s">
        <v>488</v>
      </c>
      <c r="C26" t="s">
        <v>360</v>
      </c>
      <c r="D26" s="7">
        <f>IFERROR(VLOOKUP(Table2[[#This Row],[tune_meter]],Table1[#All],3,FALSE),"NONE")</f>
        <v>32</v>
      </c>
      <c r="F26" t="s">
        <v>459</v>
      </c>
      <c r="G26" t="str">
        <f>IF(Table2[[#This Row],[tune_book]]="LFTBs","Red Book","Green Book")</f>
        <v>Red Book</v>
      </c>
      <c r="H26" t="s">
        <v>489</v>
      </c>
      <c r="I26" t="s">
        <v>490</v>
      </c>
      <c r="J26" t="str">
        <f>Table2[[#This Row],[file_name]]&amp;".mp3"</f>
        <v>61r.mid.mp3</v>
      </c>
      <c r="M26">
        <v>54</v>
      </c>
      <c r="N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 in All (6.4.6.4.6.4.6.4.)" --artist="Sir George C. Martin" --comment="" --album="Red Book" --track="61" 61r.mid.mp3</v>
      </c>
      <c r="P26" s="4" t="e">
        <f ca="1">VLOOKUP(Table2[[#This Row],[mp3_file]],Table3[#All],3,FALSE)</f>
        <v>#NAME?</v>
      </c>
    </row>
    <row r="27" spans="1:16" x14ac:dyDescent="0.3">
      <c r="A27">
        <v>286</v>
      </c>
      <c r="B27" t="s">
        <v>1931</v>
      </c>
      <c r="C27" t="s">
        <v>789</v>
      </c>
      <c r="D27" s="7">
        <f>IFERROR(VLOOKUP(Table2[[#This Row],[tune_meter]],Table1[#All],3,FALSE),"NONE")</f>
        <v>47</v>
      </c>
      <c r="F27" t="s">
        <v>324</v>
      </c>
      <c r="G27" t="str">
        <f>IF(Table2[[#This Row],[tune_book]]="LFTBs","Red Book","Green Book")</f>
        <v>Green Book</v>
      </c>
      <c r="H27" t="s">
        <v>344</v>
      </c>
      <c r="I27" t="s">
        <v>1932</v>
      </c>
      <c r="J27" t="str">
        <f>Table2[[#This Row],[file_name]]&amp;".mp3"</f>
        <v>286g.mid.mp3</v>
      </c>
      <c r="M27">
        <v>644</v>
      </c>
      <c r="N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 Is Well (8.4.8.4.8.8.8.4.)" --artist="Unknown" --comment="" --album="Green Book" --track="286" 286g.mid.mp3</v>
      </c>
      <c r="P27" s="4" t="e">
        <f ca="1">VLOOKUP(Table2[[#This Row],[mp3_file]],Table3[#All],3,FALSE)</f>
        <v>#NAME?</v>
      </c>
    </row>
    <row r="28" spans="1:16" x14ac:dyDescent="0.3">
      <c r="A28">
        <v>366</v>
      </c>
      <c r="B28" t="s">
        <v>1933</v>
      </c>
      <c r="C28" t="s">
        <v>498</v>
      </c>
      <c r="D28" s="7">
        <f>IFERROR(VLOOKUP(Table2[[#This Row],[tune_meter]],Table1[#All],3,FALSE),"NONE")</f>
        <v>77</v>
      </c>
      <c r="F28" t="s">
        <v>324</v>
      </c>
      <c r="G28" t="str">
        <f>IF(Table2[[#This Row],[tune_book]]="LFTBs","Red Book","Green Book")</f>
        <v>Green Book</v>
      </c>
      <c r="H28" t="s">
        <v>1934</v>
      </c>
      <c r="I28" t="s">
        <v>1935</v>
      </c>
      <c r="J28" t="str">
        <f>Table2[[#This Row],[file_name]]&amp;".mp3"</f>
        <v>366g.mid.mp3</v>
      </c>
      <c r="K28" s="4">
        <v>1698</v>
      </c>
      <c r="M28">
        <v>645</v>
      </c>
      <c r="N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 Saints (8.7.8.7.7.7.)" --artist="Geistreiches Gesangbuch" --comment="" --album="Green Book" --track="366" 366g.mid.mp3</v>
      </c>
      <c r="P28" s="4" t="e">
        <f ca="1">VLOOKUP(Table2[[#This Row],[mp3_file]],Table3[#All],3,FALSE)</f>
        <v>#NAME?</v>
      </c>
    </row>
    <row r="29" spans="1:16" x14ac:dyDescent="0.3">
      <c r="A29">
        <v>413</v>
      </c>
      <c r="B29" t="s">
        <v>322</v>
      </c>
      <c r="C29" t="s">
        <v>323</v>
      </c>
      <c r="D29" s="7">
        <f>IFERROR(VLOOKUP(Table2[[#This Row],[tune_meter]],Table1[#All],3,FALSE),"NONE")</f>
        <v>79</v>
      </c>
      <c r="F29" t="s">
        <v>324</v>
      </c>
      <c r="G29" t="str">
        <f>IF(Table2[[#This Row],[tune_book]]="LFTBs","Red Book","Green Book")</f>
        <v>Green Book</v>
      </c>
      <c r="H29" t="s">
        <v>325</v>
      </c>
      <c r="I29" t="s">
        <v>326</v>
      </c>
      <c r="J29" t="str">
        <f>Table2[[#This Row],[file_name]]&amp;".mp3"</f>
        <v>413.mid.mp3</v>
      </c>
      <c r="K29" s="4">
        <v>1931</v>
      </c>
      <c r="M29">
        <v>1</v>
      </c>
      <c r="N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--song="Allendale (8.8.7.7.)" --artist="Miss B. Joseph" --comment="" --album="Green Book" --track="413" 413.mid.mp3</v>
      </c>
      <c r="P29" s="4" t="e">
        <f ca="1">VLOOKUP(Table2[[#This Row],[mp3_file]],Table3[#All],3,FALSE)</f>
        <v>#NAME?</v>
      </c>
    </row>
    <row r="30" spans="1:16" x14ac:dyDescent="0.3">
      <c r="A30">
        <v>315</v>
      </c>
      <c r="B30" t="s">
        <v>1963</v>
      </c>
      <c r="C30" t="s">
        <v>370</v>
      </c>
      <c r="D30" s="7">
        <f>IFERROR(VLOOKUP(Table2[[#This Row],[tune_meter]],Table1[#All],3,FALSE),"NONE")</f>
        <v>24</v>
      </c>
      <c r="F30" t="s">
        <v>324</v>
      </c>
      <c r="G30" t="str">
        <f>IF(Table2[[#This Row],[tune_book]]="LFTBs","Red Book","Green Book")</f>
        <v>Green Book</v>
      </c>
      <c r="H30" t="s">
        <v>1401</v>
      </c>
      <c r="I30" t="s">
        <v>1964</v>
      </c>
      <c r="J30" t="str">
        <f>Table2[[#This Row],[file_name]]&amp;".mp3"</f>
        <v>315g.mid.mp3</v>
      </c>
      <c r="M30">
        <v>657</v>
      </c>
      <c r="N30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--song="Alma (8.7.8.7.)" --artist="S. Webbe" --comment="" --album="Green Book" --track="315" 315g.mid.mp3</v>
      </c>
      <c r="P30" s="4" t="e">
        <f>VLOOKUP(Table2[[#This Row],[mp3_file]],Table3[#All],3,FALSE)</f>
        <v>#N/A</v>
      </c>
    </row>
    <row r="31" spans="1:16" x14ac:dyDescent="0.3">
      <c r="A31">
        <v>450</v>
      </c>
      <c r="B31" t="s">
        <v>2076</v>
      </c>
      <c r="C31" t="s">
        <v>688</v>
      </c>
      <c r="D31" s="7">
        <f>IFERROR(VLOOKUP(Table2[[#This Row],[tune_meter]],Table1[#All],3,FALSE),"NONE")</f>
        <v>69</v>
      </c>
      <c r="F31" t="s">
        <v>324</v>
      </c>
      <c r="G31" t="str">
        <f>IF(Table2[[#This Row],[tune_book]]="LFTBs","Red Book","Green Book")</f>
        <v>Green Book</v>
      </c>
      <c r="H31" t="s">
        <v>2724</v>
      </c>
      <c r="I31" t="s">
        <v>2077</v>
      </c>
      <c r="J31" t="str">
        <f>Table2[[#This Row],[file_name]]&amp;".mp3"</f>
        <v>450g.mid.mp3</v>
      </c>
      <c r="M31">
        <v>708</v>
      </c>
      <c r="N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--song="Almost Persuaded (9.9.6.6.6.4.)" --artist="P. P. Bliss" --comment="" --album="Green Book" --track="450" 450g.mid.mp3</v>
      </c>
      <c r="P31" s="4" t="e">
        <f ca="1">VLOOKUP(Table2[[#This Row],[mp3_file]],Table3[#All],3,FALSE)</f>
        <v>#NAME?</v>
      </c>
    </row>
    <row r="32" spans="1:16" x14ac:dyDescent="0.3">
      <c r="A32">
        <v>219</v>
      </c>
      <c r="B32" t="s">
        <v>491</v>
      </c>
      <c r="C32" t="s">
        <v>492</v>
      </c>
      <c r="D32" s="7">
        <f>IFERROR(VLOOKUP(Table2[[#This Row],[tune_meter]],Table1[#All],3,FALSE),"NONE")</f>
        <v>35</v>
      </c>
      <c r="F32" t="s">
        <v>459</v>
      </c>
      <c r="G32" t="str">
        <f>IF(Table2[[#This Row],[tune_book]]="LFTBs","Red Book","Green Book")</f>
        <v>Red Book</v>
      </c>
      <c r="H32" t="s">
        <v>384</v>
      </c>
      <c r="I32" t="s">
        <v>493</v>
      </c>
      <c r="J32" t="str">
        <f>Table2[[#This Row],[file_name]]&amp;".mp3"</f>
        <v>219r.mid.mp3</v>
      </c>
      <c r="M32">
        <v>55</v>
      </c>
      <c r="N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--song="Alpha (9.8.9.8.)" --artist="E. Carren" --comment="" --album="Red Book" --track="219" 219r.mid.mp3</v>
      </c>
      <c r="P32" s="4" t="e">
        <f ca="1">VLOOKUP(Table2[[#This Row],[mp3_file]],Table3[#All],3,FALSE)</f>
        <v>#NAME?</v>
      </c>
    </row>
    <row r="33" spans="1:16" x14ac:dyDescent="0.3">
      <c r="A33">
        <v>90</v>
      </c>
      <c r="B33" t="s">
        <v>1219</v>
      </c>
      <c r="C33" t="s">
        <v>516</v>
      </c>
      <c r="D33" s="7">
        <f>IFERROR(VLOOKUP(Table2[[#This Row],[tune_meter]],Table1[#All],3,FALSE),"NONE")</f>
        <v>16</v>
      </c>
      <c r="F33" t="s">
        <v>324</v>
      </c>
      <c r="G33" t="str">
        <f>IF(Table2[[#This Row],[tune_book]]="LFTBs","Red Book","Green Book")</f>
        <v>Green Book</v>
      </c>
      <c r="H33" t="s">
        <v>2725</v>
      </c>
      <c r="I33" t="s">
        <v>1220</v>
      </c>
      <c r="J33" t="str">
        <f>Table2[[#This Row],[file_name]]&amp;".mp3"</f>
        <v>90g.mid.mp3</v>
      </c>
      <c r="M33">
        <v>342</v>
      </c>
      <c r="N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--song="Alstone (L.M.)" --artist="C. E. Willing" --comment="" --album="Green Book" --track="90" 90g.mid.mp3</v>
      </c>
      <c r="P33" s="4" t="e">
        <f ca="1">VLOOKUP(Table2[[#This Row],[mp3_file]],Table3[#All],3,FALSE)</f>
        <v>#NAME?</v>
      </c>
    </row>
    <row r="34" spans="1:16" x14ac:dyDescent="0.3">
      <c r="A34">
        <v>261</v>
      </c>
      <c r="B34" t="s">
        <v>494</v>
      </c>
      <c r="C34" t="s">
        <v>495</v>
      </c>
      <c r="D34" s="7">
        <f>IFERROR(VLOOKUP(Table2[[#This Row],[tune_meter]],Table1[#All],3,FALSE),"NONE")</f>
        <v>52</v>
      </c>
      <c r="F34" t="s">
        <v>459</v>
      </c>
      <c r="G34" t="str">
        <f>IF(Table2[[#This Row],[tune_book]]="LFTBs","Red Book","Green Book")</f>
        <v>Red Book</v>
      </c>
      <c r="H34" t="s">
        <v>443</v>
      </c>
      <c r="I34" t="s">
        <v>496</v>
      </c>
      <c r="J34" t="str">
        <f>Table2[[#This Row],[file_name]]&amp;".mp3"</f>
        <v>261r.mid.mp3</v>
      </c>
      <c r="M34">
        <v>56</v>
      </c>
      <c r="N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--song="Alverstoke (11.10.11.10.)" --artist="Sir Joseph Barnby" --comment="" --album="Red Book" --track="261" 261r.mid.mp3</v>
      </c>
      <c r="P34" s="4" t="e">
        <f ca="1">VLOOKUP(Table2[[#This Row],[mp3_file]],Table3[#All],3,FALSE)</f>
        <v>#NAME?</v>
      </c>
    </row>
    <row r="35" spans="1:16" x14ac:dyDescent="0.3">
      <c r="A35">
        <v>470</v>
      </c>
      <c r="B35" t="s">
        <v>2099</v>
      </c>
      <c r="C35" t="s">
        <v>582</v>
      </c>
      <c r="D35" s="7">
        <f>IFERROR(VLOOKUP(Table2[[#This Row],[tune_meter]],Table1[#All],3,FALSE),"NONE")</f>
        <v>21</v>
      </c>
      <c r="F35" t="s">
        <v>324</v>
      </c>
      <c r="G35" t="str">
        <f>IF(Table2[[#This Row],[tune_book]]="LFTBs","Red Book","Green Book")</f>
        <v>Green Book</v>
      </c>
      <c r="H35" t="s">
        <v>344</v>
      </c>
      <c r="I35" t="s">
        <v>2100</v>
      </c>
      <c r="J35" t="str">
        <f>Table2[[#This Row],[file_name]]&amp;".mp3"</f>
        <v>470g.mid.mp3</v>
      </c>
      <c r="M35">
        <v>719</v>
      </c>
      <c r="N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--song="Alvesta (10.10.10.10.)" --artist="Unknown" --comment="" --album="Green Book" --track="470" 470g.mid.mp3</v>
      </c>
      <c r="P35" s="4" t="e">
        <f ca="1">VLOOKUP(Table2[[#This Row],[mp3_file]],Table3[#All],3,FALSE)</f>
        <v>#NAME?</v>
      </c>
    </row>
    <row r="36" spans="1:16" x14ac:dyDescent="0.3">
      <c r="A36">
        <v>182</v>
      </c>
      <c r="B36" t="s">
        <v>327</v>
      </c>
      <c r="C36" t="s">
        <v>328</v>
      </c>
      <c r="D36" s="7">
        <f>IFERROR(VLOOKUP(Table2[[#This Row],[tune_meter]],Table1[#All],3,FALSE),"NONE")</f>
        <v>27</v>
      </c>
      <c r="F36" t="s">
        <v>324</v>
      </c>
      <c r="G36" t="str">
        <f>IF(Table2[[#This Row],[tune_book]]="LFTBs","Red Book","Green Book")</f>
        <v>Green Book</v>
      </c>
      <c r="H36" t="s">
        <v>329</v>
      </c>
      <c r="I36" t="s">
        <v>330</v>
      </c>
      <c r="J36" t="str">
        <f>Table2[[#This Row],[file_name]]&amp;".mp3"</f>
        <v>182g.mid.mp3</v>
      </c>
      <c r="M36">
        <v>2</v>
      </c>
      <c r="N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--song="Anameno (6.5.11.6.5.11.)" --artist="T. Collins" --comment="" --album="Green Book" --track="182" 182g.mid.mp3</v>
      </c>
      <c r="P36" s="4" t="e">
        <f ca="1">VLOOKUP(Table2[[#This Row],[mp3_file]],Table3[#All],3,FALSE)</f>
        <v>#NAME?</v>
      </c>
    </row>
    <row r="37" spans="1:16" x14ac:dyDescent="0.3">
      <c r="A37">
        <v>180</v>
      </c>
      <c r="B37" t="s">
        <v>497</v>
      </c>
      <c r="C37" t="s">
        <v>498</v>
      </c>
      <c r="D37" s="7">
        <f>IFERROR(VLOOKUP(Table2[[#This Row],[tune_meter]],Table1[#All],3,FALSE),"NONE")</f>
        <v>77</v>
      </c>
      <c r="E37" t="s">
        <v>499</v>
      </c>
      <c r="F37" t="s">
        <v>459</v>
      </c>
      <c r="G37" t="str">
        <f>IF(Table2[[#This Row],[tune_book]]="LFTBs","Red Book","Green Book")</f>
        <v>Red Book</v>
      </c>
      <c r="H37" t="s">
        <v>384</v>
      </c>
      <c r="I37" t="s">
        <v>500</v>
      </c>
      <c r="J37" t="str">
        <f>Table2[[#This Row],[file_name]]&amp;".mp3"</f>
        <v>180r.mid.mp3</v>
      </c>
      <c r="M37">
        <v>57</v>
      </c>
      <c r="N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--song="Anastasis (8.7.8.7.7.7.)" --artist="E. Carren" --comment="" --album="Red Book" --track="180" 180r.mid.mp3</v>
      </c>
      <c r="P37" s="4" t="e">
        <f ca="1">VLOOKUP(Table2[[#This Row],[mp3_file]],Table3[#All],3,FALSE)</f>
        <v>#NAME?</v>
      </c>
    </row>
    <row r="38" spans="1:16" x14ac:dyDescent="0.3">
      <c r="A38">
        <v>98</v>
      </c>
      <c r="B38" t="s">
        <v>501</v>
      </c>
      <c r="C38" t="s">
        <v>467</v>
      </c>
      <c r="D38" s="7">
        <f>IFERROR(VLOOKUP(Table2[[#This Row],[tune_meter]],Table1[#All],3,FALSE),"NONE")</f>
        <v>34</v>
      </c>
      <c r="F38" t="s">
        <v>459</v>
      </c>
      <c r="G38" t="str">
        <f>IF(Table2[[#This Row],[tune_book]]="LFTBs","Red Book","Green Book")</f>
        <v>Red Book</v>
      </c>
      <c r="H38" t="s">
        <v>502</v>
      </c>
      <c r="I38" t="s">
        <v>503</v>
      </c>
      <c r="J38" t="str">
        <f>Table2[[#This Row],[file_name]]&amp;".mp3"</f>
        <v>98r.mid.mp3</v>
      </c>
      <c r="M38">
        <v>58</v>
      </c>
      <c r="N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--song="Angel's Story (7.6.7.6.7.6.7.6.)" --artist="Dr. A.H. Mann" --comment="" --album="Red Book" --track="98" 98r.mid.mp3</v>
      </c>
      <c r="P38" s="4" t="e">
        <f ca="1">VLOOKUP(Table2[[#This Row],[mp3_file]],Table3[#All],3,FALSE)</f>
        <v>#NAME?</v>
      </c>
    </row>
    <row r="39" spans="1:16" x14ac:dyDescent="0.3">
      <c r="A39">
        <v>91</v>
      </c>
      <c r="B39" t="s">
        <v>1221</v>
      </c>
      <c r="C39" t="s">
        <v>516</v>
      </c>
      <c r="D39" s="7">
        <f>IFERROR(VLOOKUP(Table2[[#This Row],[tune_meter]],Table1[#All],3,FALSE),"NONE")</f>
        <v>16</v>
      </c>
      <c r="F39" t="s">
        <v>324</v>
      </c>
      <c r="G39" t="str">
        <f>IF(Table2[[#This Row],[tune_book]]="LFTBs","Red Book","Green Book")</f>
        <v>Green Book</v>
      </c>
      <c r="H39" t="s">
        <v>1222</v>
      </c>
      <c r="I39" t="s">
        <v>1223</v>
      </c>
      <c r="J39" t="str">
        <f>Table2[[#This Row],[file_name]]&amp;".mp3"</f>
        <v>91g.mid.mp3</v>
      </c>
      <c r="K39" s="4">
        <v>1657</v>
      </c>
      <c r="M39">
        <v>343</v>
      </c>
      <c r="N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--song="Angelus (L.M.)" --artist="G. Joseph" --comment="" --album="Green Book" --track="91" 91g.mid.mp3</v>
      </c>
      <c r="P39" s="4" t="e">
        <f ca="1">VLOOKUP(Table2[[#This Row],[mp3_file]],Table3[#All],3,FALSE)</f>
        <v>#NAME?</v>
      </c>
    </row>
    <row r="40" spans="1:16" x14ac:dyDescent="0.3">
      <c r="A40">
        <v>220</v>
      </c>
      <c r="B40" t="s">
        <v>504</v>
      </c>
      <c r="C40" t="s">
        <v>492</v>
      </c>
      <c r="D40" s="7">
        <f>IFERROR(VLOOKUP(Table2[[#This Row],[tune_meter]],Table1[#All],3,FALSE),"NONE")</f>
        <v>35</v>
      </c>
      <c r="F40" t="s">
        <v>459</v>
      </c>
      <c r="G40" t="str">
        <f>IF(Table2[[#This Row],[tune_book]]="LFTBs","Red Book","Green Book")</f>
        <v>Red Book</v>
      </c>
      <c r="H40" t="s">
        <v>505</v>
      </c>
      <c r="I40" t="s">
        <v>506</v>
      </c>
      <c r="J40" t="str">
        <f>Table2[[#This Row],[file_name]]&amp;".mp3"</f>
        <v>220r.mid.mp3</v>
      </c>
      <c r="M40">
        <v>59</v>
      </c>
      <c r="N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--song="Annabelle (9.8.9.8.)" --artist="John B. Parker" --comment="" --album="Red Book" --track="220" 220r.mid.mp3</v>
      </c>
      <c r="P40" s="4" t="e">
        <f ca="1">VLOOKUP(Table2[[#This Row],[mp3_file]],Table3[#All],3,FALSE)</f>
        <v>#NAME?</v>
      </c>
    </row>
    <row r="41" spans="1:16" x14ac:dyDescent="0.3">
      <c r="A41">
        <v>262</v>
      </c>
      <c r="B41" t="s">
        <v>507</v>
      </c>
      <c r="C41" t="s">
        <v>495</v>
      </c>
      <c r="D41" s="7">
        <f>IFERROR(VLOOKUP(Table2[[#This Row],[tune_meter]],Table1[#All],3,FALSE),"NONE")</f>
        <v>52</v>
      </c>
      <c r="F41" t="s">
        <v>459</v>
      </c>
      <c r="G41" t="str">
        <f>IF(Table2[[#This Row],[tune_book]]="LFTBs","Red Book","Green Book")</f>
        <v>Red Book</v>
      </c>
      <c r="H41" t="s">
        <v>367</v>
      </c>
      <c r="I41" t="s">
        <v>508</v>
      </c>
      <c r="J41" t="str">
        <f>Table2[[#This Row],[file_name]]&amp;".mp3"</f>
        <v>262r.mid.mp3</v>
      </c>
      <c r="M41">
        <v>60</v>
      </c>
      <c r="N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--song="Anticipation (11.10.11.10.)" --artist="Gordon Millar" --comment="" --album="Red Book" --track="262" 262r.mid.mp3</v>
      </c>
      <c r="P41" s="4" t="e">
        <f ca="1">VLOOKUP(Table2[[#This Row],[mp3_file]],Table3[#All],3,FALSE)</f>
        <v>#NAME?</v>
      </c>
    </row>
    <row r="42" spans="1:16" x14ac:dyDescent="0.3">
      <c r="A42">
        <v>278</v>
      </c>
      <c r="B42" t="s">
        <v>507</v>
      </c>
      <c r="C42" t="s">
        <v>509</v>
      </c>
      <c r="D42" s="7">
        <f>IFERROR(VLOOKUP(Table2[[#This Row],[tune_meter]],Table1[#All],3,FALSE),"NONE")</f>
        <v>64</v>
      </c>
      <c r="F42" t="s">
        <v>459</v>
      </c>
      <c r="G42" t="str">
        <f>IF(Table2[[#This Row],[tune_book]]="LFTBs","Red Book","Green Book")</f>
        <v>Red Book</v>
      </c>
      <c r="H42" t="s">
        <v>510</v>
      </c>
      <c r="I42" t="s">
        <v>511</v>
      </c>
      <c r="J42" t="str">
        <f>Table2[[#This Row],[file_name]]&amp;".mp3"</f>
        <v>278r.mid.mp3</v>
      </c>
      <c r="M42">
        <v>61</v>
      </c>
      <c r="N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--song="Anticipation (11.11.11.11. Trochaic)" --artist="D.A.J. Burling" --comment="" --album="Red Book" --track="278" 278r.mid.mp3</v>
      </c>
      <c r="P42" s="4" t="e">
        <f ca="1">VLOOKUP(Table2[[#This Row],[mp3_file]],Table3[#All],3,FALSE)</f>
        <v>#NAME?</v>
      </c>
    </row>
    <row r="43" spans="1:16" x14ac:dyDescent="0.3">
      <c r="A43">
        <v>2</v>
      </c>
      <c r="B43" t="s">
        <v>512</v>
      </c>
      <c r="C43" t="s">
        <v>486</v>
      </c>
      <c r="D43" s="7">
        <f>IFERROR(VLOOKUP(Table2[[#This Row],[tune_meter]],Table1[#All],3,FALSE),"NONE")</f>
        <v>19</v>
      </c>
      <c r="F43" t="s">
        <v>459</v>
      </c>
      <c r="G43" t="str">
        <f>IF(Table2[[#This Row],[tune_book]]="LFTBs","Red Book","Green Book")</f>
        <v>Red Book</v>
      </c>
      <c r="H43" t="s">
        <v>513</v>
      </c>
      <c r="I43" t="s">
        <v>514</v>
      </c>
      <c r="J43" t="str">
        <f>Table2[[#This Row],[file_name]]&amp;".mp3"</f>
        <v>2r.mid.mp3</v>
      </c>
      <c r="M43">
        <v>62</v>
      </c>
      <c r="N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--song="Ardingley (C.M.)" --artist="M. Colley" --comment="" --album="Red Book" --track="2" 2r.mid.mp3</v>
      </c>
      <c r="P43" s="4" t="e">
        <f ca="1">VLOOKUP(Table2[[#This Row],[mp3_file]],Table3[#All],3,FALSE)</f>
        <v>#NAME?</v>
      </c>
    </row>
    <row r="44" spans="1:16" x14ac:dyDescent="0.3">
      <c r="A44">
        <v>26</v>
      </c>
      <c r="B44" t="s">
        <v>515</v>
      </c>
      <c r="C44" t="s">
        <v>516</v>
      </c>
      <c r="D44" s="7">
        <f>IFERROR(VLOOKUP(Table2[[#This Row],[tune_meter]],Table1[#All],3,FALSE),"NONE")</f>
        <v>16</v>
      </c>
      <c r="F44" t="s">
        <v>459</v>
      </c>
      <c r="G44" t="str">
        <f>IF(Table2[[#This Row],[tune_book]]="LFTBs","Red Book","Green Book")</f>
        <v>Red Book</v>
      </c>
      <c r="H44" t="s">
        <v>517</v>
      </c>
      <c r="I44" t="s">
        <v>518</v>
      </c>
      <c r="J44" t="str">
        <f>Table2[[#This Row],[file_name]]&amp;".mp3"</f>
        <v>26r.mid.mp3</v>
      </c>
      <c r="M44">
        <v>63</v>
      </c>
      <c r="N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--song="Arizona (L.M.)" --artist="Dr. R.H. Earnshaw" --comment="" --album="Red Book" --track="26" 26r.mid.mp3</v>
      </c>
      <c r="P44" s="4" t="e">
        <f ca="1">VLOOKUP(Table2[[#This Row],[mp3_file]],Table3[#All],3,FALSE)</f>
        <v>#NAME?</v>
      </c>
    </row>
    <row r="45" spans="1:16" x14ac:dyDescent="0.3">
      <c r="A45">
        <v>3</v>
      </c>
      <c r="B45" t="s">
        <v>1188</v>
      </c>
      <c r="C45" t="s">
        <v>486</v>
      </c>
      <c r="D45" s="7">
        <f>IFERROR(VLOOKUP(Table2[[#This Row],[tune_meter]],Table1[#All],3,FALSE),"NONE")</f>
        <v>19</v>
      </c>
      <c r="F45" t="s">
        <v>324</v>
      </c>
      <c r="G45" t="str">
        <f>IF(Table2[[#This Row],[tune_book]]="LFTBs","Red Book","Green Book")</f>
        <v>Green Book</v>
      </c>
      <c r="H45" t="s">
        <v>1189</v>
      </c>
      <c r="I45" t="s">
        <v>1190</v>
      </c>
      <c r="J45" t="str">
        <f>Table2[[#This Row],[file_name]]&amp;".mp3"</f>
        <v>3g.mid.mp3</v>
      </c>
      <c r="M45">
        <v>331</v>
      </c>
      <c r="N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--song="Arlington (C.M.)" --artist="Dr. T. Arne" --comment="" --album="Green Book" --track="3" 3g.mid.mp3</v>
      </c>
      <c r="P45" s="4" t="e">
        <f ca="1">VLOOKUP(Table2[[#This Row],[mp3_file]],Table3[#All],3,FALSE)</f>
        <v>#NAME?</v>
      </c>
    </row>
    <row r="46" spans="1:16" x14ac:dyDescent="0.3">
      <c r="A46">
        <v>4</v>
      </c>
      <c r="B46" t="s">
        <v>1191</v>
      </c>
      <c r="C46" t="s">
        <v>486</v>
      </c>
      <c r="D46" s="7">
        <f>IFERROR(VLOOKUP(Table2[[#This Row],[tune_meter]],Table1[#All],3,FALSE),"NONE")</f>
        <v>19</v>
      </c>
      <c r="F46" t="s">
        <v>324</v>
      </c>
      <c r="G46" t="str">
        <f>IF(Table2[[#This Row],[tune_book]]="LFTBs","Red Book","Green Book")</f>
        <v>Green Book</v>
      </c>
      <c r="H46" t="s">
        <v>1192</v>
      </c>
      <c r="I46" t="s">
        <v>1193</v>
      </c>
      <c r="J46" t="str">
        <f>Table2[[#This Row],[file_name]]&amp;".mp3"</f>
        <v>4g.mid.mp3</v>
      </c>
      <c r="K46" s="4">
        <v>1791</v>
      </c>
      <c r="M46">
        <v>332</v>
      </c>
      <c r="N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--song="Arnold (C.M.)" --artist="Dr. S. Arnold" --comment="" --album="Green Book" --track="4" 4g.mid.mp3</v>
      </c>
      <c r="P46" s="4" t="e">
        <f ca="1">VLOOKUP(Table2[[#This Row],[mp3_file]],Table3[#All],3,FALSE)</f>
        <v>#NAME?</v>
      </c>
    </row>
    <row r="47" spans="1:16" x14ac:dyDescent="0.3">
      <c r="A47">
        <v>206</v>
      </c>
      <c r="B47" t="s">
        <v>519</v>
      </c>
      <c r="C47" t="s">
        <v>520</v>
      </c>
      <c r="D47" s="7">
        <f>IFERROR(VLOOKUP(Table2[[#This Row],[tune_meter]],Table1[#All],3,FALSE),"NONE")</f>
        <v>58</v>
      </c>
      <c r="F47" t="s">
        <v>459</v>
      </c>
      <c r="G47" t="str">
        <f>IF(Table2[[#This Row],[tune_book]]="LFTBs","Red Book","Green Book")</f>
        <v>Red Book</v>
      </c>
      <c r="H47" t="s">
        <v>2727</v>
      </c>
      <c r="I47" t="s">
        <v>521</v>
      </c>
      <c r="J47" t="str">
        <f>Table2[[#This Row],[file_name]]&amp;".mp3"</f>
        <v>206r.mid.mp3</v>
      </c>
      <c r="M47">
        <v>64</v>
      </c>
      <c r="N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--song="Arnon (8.8.8.8.6.)" --artist="D. R. C. McCorkell" --comment="" --album="Red Book" --track="206" 206r.mid.mp3</v>
      </c>
      <c r="P47" s="4" t="e">
        <f ca="1">VLOOKUP(Table2[[#This Row],[mp3_file]],Table3[#All],3,FALSE)</f>
        <v>#NAME?</v>
      </c>
    </row>
    <row r="48" spans="1:16" x14ac:dyDescent="0.3">
      <c r="A48">
        <v>125</v>
      </c>
      <c r="B48" t="s">
        <v>522</v>
      </c>
      <c r="C48" t="s">
        <v>523</v>
      </c>
      <c r="D48" s="7">
        <f>IFERROR(VLOOKUP(Table2[[#This Row],[tune_meter]],Table1[#All],3,FALSE),"NONE")</f>
        <v>53</v>
      </c>
      <c r="F48" t="s">
        <v>459</v>
      </c>
      <c r="G48" t="str">
        <f>IF(Table2[[#This Row],[tune_book]]="LFTBs","Red Book","Green Book")</f>
        <v>Red Book</v>
      </c>
      <c r="H48" t="s">
        <v>524</v>
      </c>
      <c r="I48" t="s">
        <v>525</v>
      </c>
      <c r="J48" t="str">
        <f>Table2[[#This Row],[file_name]]&amp;".mp3"</f>
        <v>125r.mid.mp3</v>
      </c>
      <c r="M48">
        <v>65</v>
      </c>
      <c r="N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--song="Arundel (8.5.8.3.)" --artist="K.D. Clarke" --comment="" --album="Red Book" --track="125" 125r.mid.mp3</v>
      </c>
      <c r="P48" s="4" t="e">
        <f ca="1">VLOOKUP(Table2[[#This Row],[mp3_file]],Table3[#All],3,FALSE)</f>
        <v>#NAME?</v>
      </c>
    </row>
    <row r="49" spans="1:16" x14ac:dyDescent="0.3">
      <c r="A49">
        <v>211</v>
      </c>
      <c r="B49" t="s">
        <v>331</v>
      </c>
      <c r="C49" t="s">
        <v>332</v>
      </c>
      <c r="D49" s="7">
        <f>IFERROR(VLOOKUP(Table2[[#This Row],[tune_meter]],Table1[#All],3,FALSE),"NONE")</f>
        <v>73</v>
      </c>
      <c r="F49" t="s">
        <v>324</v>
      </c>
      <c r="G49" t="str">
        <f>IF(Table2[[#This Row],[tune_book]]="LFTBs","Red Book","Green Book")</f>
        <v>Green Book</v>
      </c>
      <c r="H49" t="s">
        <v>333</v>
      </c>
      <c r="I49" t="s">
        <v>334</v>
      </c>
      <c r="J49" t="str">
        <f>Table2[[#This Row],[file_name]]&amp;".mp3"</f>
        <v>211.mid.mp3</v>
      </c>
      <c r="K49" s="4">
        <v>1842</v>
      </c>
      <c r="M49">
        <v>3</v>
      </c>
      <c r="N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--song="Ascalon (6.6.8.6.6.8.)" --artist="German Melody" --comment="" --album="Green Book" --track="211" 211.mid.mp3</v>
      </c>
      <c r="P49" s="4" t="e">
        <f ca="1">VLOOKUP(Table2[[#This Row],[mp3_file]],Table3[#All],3,FALSE)</f>
        <v>#NAME?</v>
      </c>
    </row>
    <row r="50" spans="1:16" x14ac:dyDescent="0.3">
      <c r="A50">
        <v>197</v>
      </c>
      <c r="B50" t="s">
        <v>526</v>
      </c>
      <c r="C50" t="s">
        <v>527</v>
      </c>
      <c r="D50" s="7">
        <f>IFERROR(VLOOKUP(Table2[[#This Row],[tune_meter]],Table1[#All],3,FALSE),"NONE")</f>
        <v>20</v>
      </c>
      <c r="F50" t="s">
        <v>459</v>
      </c>
      <c r="G50" t="str">
        <f>IF(Table2[[#This Row],[tune_book]]="LFTBs","Red Book","Green Book")</f>
        <v>Red Book</v>
      </c>
      <c r="H50" t="s">
        <v>528</v>
      </c>
      <c r="I50" t="s">
        <v>529</v>
      </c>
      <c r="J50" t="str">
        <f>Table2[[#This Row],[file_name]]&amp;".mp3"</f>
        <v>197r.mid.mp3</v>
      </c>
      <c r="M50">
        <v>66</v>
      </c>
      <c r="N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--song="Ascending (8.8.6.8.8.6.)" --artist="Peter Blanche" --comment="" --album="Red Book" --track="197" 197r.mid.mp3</v>
      </c>
      <c r="P50" s="4" t="e">
        <f ca="1">VLOOKUP(Table2[[#This Row],[mp3_file]],Table3[#All],3,FALSE)</f>
        <v>#NAME?</v>
      </c>
    </row>
    <row r="51" spans="1:16" x14ac:dyDescent="0.3">
      <c r="A51">
        <v>3</v>
      </c>
      <c r="B51" t="s">
        <v>530</v>
      </c>
      <c r="C51" t="s">
        <v>486</v>
      </c>
      <c r="D51" s="7">
        <f>IFERROR(VLOOKUP(Table2[[#This Row],[tune_meter]],Table1[#All],3,FALSE),"NONE")</f>
        <v>19</v>
      </c>
      <c r="F51" t="s">
        <v>459</v>
      </c>
      <c r="G51" t="str">
        <f>IF(Table2[[#This Row],[tune_book]]="LFTBs","Red Book","Green Book")</f>
        <v>Red Book</v>
      </c>
      <c r="H51" t="s">
        <v>531</v>
      </c>
      <c r="I51" t="s">
        <v>532</v>
      </c>
      <c r="J51" t="str">
        <f>Table2[[#This Row],[file_name]]&amp;".mp3"</f>
        <v>3r.mid.mp3</v>
      </c>
      <c r="M51">
        <v>67</v>
      </c>
      <c r="N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--song="Aser (C.M.)" --artist="A. Johannson" --comment="" --album="Red Book" --track="3" 3r.mid.mp3</v>
      </c>
      <c r="P51" s="4" t="e">
        <f ca="1">VLOOKUP(Table2[[#This Row],[mp3_file]],Table3[#All],3,FALSE)</f>
        <v>#NAME?</v>
      </c>
    </row>
    <row r="52" spans="1:16" x14ac:dyDescent="0.3">
      <c r="A52">
        <v>183</v>
      </c>
      <c r="B52" t="s">
        <v>335</v>
      </c>
      <c r="C52" t="s">
        <v>328</v>
      </c>
      <c r="D52" s="7">
        <f>IFERROR(VLOOKUP(Table2[[#This Row],[tune_meter]],Table1[#All],3,FALSE),"NONE")</f>
        <v>27</v>
      </c>
      <c r="F52" t="s">
        <v>324</v>
      </c>
      <c r="G52" t="str">
        <f>IF(Table2[[#This Row],[tune_book]]="LFTBs","Red Book","Green Book")</f>
        <v>Green Book</v>
      </c>
      <c r="H52" t="s">
        <v>2706</v>
      </c>
      <c r="I52" t="s">
        <v>337</v>
      </c>
      <c r="J52" t="str">
        <f>Table2[[#This Row],[file_name]]&amp;".mp3"</f>
        <v>183g.mid.mp3</v>
      </c>
      <c r="K52" s="4">
        <v>1936</v>
      </c>
      <c r="M52">
        <v>4</v>
      </c>
      <c r="N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--song="Ashcombe (6.5.11.6.5.11.)" --artist="R. A. Evershead" --comment="" --album="Green Book" --track="183" 183g.mid.mp3</v>
      </c>
      <c r="P52" s="4" t="e">
        <f ca="1">VLOOKUP(Table2[[#This Row],[mp3_file]],Table3[#All],3,FALSE)</f>
        <v>#NAME?</v>
      </c>
    </row>
    <row r="53" spans="1:16" x14ac:dyDescent="0.3">
      <c r="A53">
        <v>292</v>
      </c>
      <c r="B53" t="s">
        <v>533</v>
      </c>
      <c r="C53" t="s">
        <v>534</v>
      </c>
      <c r="D53" s="7">
        <f>IFERROR(VLOOKUP(Table2[[#This Row],[tune_meter]],Table1[#All],3,FALSE),"NONE")</f>
        <v>78</v>
      </c>
      <c r="F53" t="s">
        <v>459</v>
      </c>
      <c r="G53" t="str">
        <f>IF(Table2[[#This Row],[tune_book]]="LFTBs","Red Book","Green Book")</f>
        <v>Red Book</v>
      </c>
      <c r="H53" t="s">
        <v>2728</v>
      </c>
      <c r="I53" t="s">
        <v>535</v>
      </c>
      <c r="J53" t="str">
        <f>Table2[[#This Row],[file_name]]&amp;".mp3"</f>
        <v>292r.mid.mp3</v>
      </c>
      <c r="M53">
        <v>68</v>
      </c>
      <c r="N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--song="Asher (14.14.4.7.8.)" --artist="Miss E. C. Shanks" --comment="" --album="Red Book" --track="292" 292r.mid.mp3</v>
      </c>
      <c r="P53" s="4" t="e">
        <f ca="1">VLOOKUP(Table2[[#This Row],[mp3_file]],Table3[#All],3,FALSE)</f>
        <v>#NAME?</v>
      </c>
    </row>
    <row r="54" spans="1:16" x14ac:dyDescent="0.3">
      <c r="A54">
        <v>4</v>
      </c>
      <c r="B54" t="s">
        <v>536</v>
      </c>
      <c r="C54" t="s">
        <v>486</v>
      </c>
      <c r="D54" s="7">
        <f>IFERROR(VLOOKUP(Table2[[#This Row],[tune_meter]],Table1[#All],3,FALSE),"NONE")</f>
        <v>19</v>
      </c>
      <c r="F54" t="s">
        <v>459</v>
      </c>
      <c r="G54" t="str">
        <f>IF(Table2[[#This Row],[tune_book]]="LFTBs","Red Book","Green Book")</f>
        <v>Red Book</v>
      </c>
      <c r="H54" t="s">
        <v>537</v>
      </c>
      <c r="I54" t="s">
        <v>538</v>
      </c>
      <c r="J54" t="str">
        <f>Table2[[#This Row],[file_name]]&amp;".mp3"</f>
        <v>4r.mid.mp3</v>
      </c>
      <c r="M54">
        <v>69</v>
      </c>
      <c r="N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--song="Auckland (Rest) (C.M.)" --artist="Bishop Handley Moule" --comment="" --album="Red Book" --track="4" 4r.mid.mp3</v>
      </c>
      <c r="P54" s="4" t="e">
        <f ca="1">VLOOKUP(Table2[[#This Row],[mp3_file]],Table3[#All],3,FALSE)</f>
        <v>#NAME?</v>
      </c>
    </row>
    <row r="55" spans="1:16" x14ac:dyDescent="0.3">
      <c r="A55">
        <v>231</v>
      </c>
      <c r="B55" t="s">
        <v>1283</v>
      </c>
      <c r="C55" t="s">
        <v>467</v>
      </c>
      <c r="D55" s="7">
        <f>IFERROR(VLOOKUP(Table2[[#This Row],[tune_meter]],Table1[#All],3,FALSE),"NONE")</f>
        <v>34</v>
      </c>
      <c r="F55" t="s">
        <v>324</v>
      </c>
      <c r="G55" t="str">
        <f>IF(Table2[[#This Row],[tune_book]]="LFTBs","Red Book","Green Book")</f>
        <v>Green Book</v>
      </c>
      <c r="H55" t="s">
        <v>2731</v>
      </c>
      <c r="I55" t="s">
        <v>1284</v>
      </c>
      <c r="J55" t="str">
        <f>Table2[[#This Row],[file_name]]&amp;".mp3"</f>
        <v>231g.mid.mp3</v>
      </c>
      <c r="M55">
        <v>367</v>
      </c>
      <c r="N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--song="Aurelia (7.6.7.6.7.6.7.6.)" --artist="Dr. S. S. Wesley" --comment="" --album="Green Book" --track="231" 231g.mid.mp3</v>
      </c>
      <c r="P55" s="4" t="e">
        <f ca="1">VLOOKUP(Table2[[#This Row],[mp3_file]],Table3[#All],3,FALSE)</f>
        <v>#NAME?</v>
      </c>
    </row>
    <row r="56" spans="1:16" x14ac:dyDescent="0.3">
      <c r="A56">
        <v>130</v>
      </c>
      <c r="B56" t="s">
        <v>1690</v>
      </c>
      <c r="C56" t="s">
        <v>623</v>
      </c>
      <c r="D56" s="7">
        <f>IFERROR(VLOOKUP(Table2[[#This Row],[tune_meter]],Table1[#All],3,FALSE),"NONE")</f>
        <v>22</v>
      </c>
      <c r="F56" t="s">
        <v>324</v>
      </c>
      <c r="G56" t="str">
        <f>IF(Table2[[#This Row],[tune_book]]="LFTBs","Red Book","Green Book")</f>
        <v>Green Book</v>
      </c>
      <c r="H56" t="s">
        <v>2732</v>
      </c>
      <c r="I56" t="s">
        <v>1691</v>
      </c>
      <c r="J56" t="str">
        <f>Table2[[#This Row],[file_name]]&amp;".mp3"</f>
        <v>130g.mid.mp3</v>
      </c>
      <c r="M56">
        <v>544</v>
      </c>
      <c r="N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--song="Austin (S.M.)" --artist="A. E. Lord" --comment="" --album="Green Book" --track="130" 130g.mid.mp3</v>
      </c>
      <c r="P56" s="4" t="e">
        <f ca="1">VLOOKUP(Table2[[#This Row],[mp3_file]],Table3[#All],3,FALSE)</f>
        <v>#NAME?</v>
      </c>
    </row>
    <row r="57" spans="1:16" x14ac:dyDescent="0.3">
      <c r="A57">
        <v>372</v>
      </c>
      <c r="B57" t="s">
        <v>1984</v>
      </c>
      <c r="C57" t="s">
        <v>476</v>
      </c>
      <c r="D57" s="7">
        <f>IFERROR(VLOOKUP(Table2[[#This Row],[tune_meter]],Table1[#All],3,FALSE),"NONE")</f>
        <v>25</v>
      </c>
      <c r="F57" t="s">
        <v>324</v>
      </c>
      <c r="G57" t="str">
        <f>IF(Table2[[#This Row],[tune_book]]="LFTBs","Red Book","Green Book")</f>
        <v>Green Book</v>
      </c>
      <c r="H57" t="s">
        <v>1482</v>
      </c>
      <c r="I57" t="s">
        <v>1985</v>
      </c>
      <c r="J57" t="str">
        <f>Table2[[#This Row],[file_name]]&amp;".mp3"</f>
        <v>372g.mid.mp3</v>
      </c>
      <c r="M57">
        <v>666</v>
      </c>
      <c r="N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--song="Austria (8.7.8.7.8.7.8.7.)" --artist="From Haydn" --comment="" --album="Green Book" --track="372" 372g.mid.mp3</v>
      </c>
      <c r="P57" s="4" t="e">
        <f ca="1">VLOOKUP(Table2[[#This Row],[mp3_file]],Table3[#All],3,FALSE)</f>
        <v>#NAME?</v>
      </c>
    </row>
    <row r="58" spans="1:16" x14ac:dyDescent="0.3">
      <c r="A58">
        <v>80</v>
      </c>
      <c r="B58" t="s">
        <v>539</v>
      </c>
      <c r="C58" t="s">
        <v>540</v>
      </c>
      <c r="D58" s="7">
        <f>IFERROR(VLOOKUP(Table2[[#This Row],[tune_meter]],Table1[#All],3,FALSE),"NONE")</f>
        <v>51</v>
      </c>
      <c r="F58" t="s">
        <v>459</v>
      </c>
      <c r="G58" t="str">
        <f>IF(Table2[[#This Row],[tune_book]]="LFTBs","Red Book","Green Book")</f>
        <v>Red Book</v>
      </c>
      <c r="H58" t="s">
        <v>541</v>
      </c>
      <c r="I58" t="s">
        <v>542</v>
      </c>
      <c r="J58" t="str">
        <f>Table2[[#This Row],[file_name]]&amp;".mp3"</f>
        <v>80r.mid.mp3</v>
      </c>
      <c r="M58">
        <v>70</v>
      </c>
      <c r="N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--song="Author of Life (6.6.6.6.8.8.)" --artist="Sir John Stainer" --comment="" --album="Red Book" --track="80" 80r.mid.mp3</v>
      </c>
      <c r="P58" s="4" t="e">
        <f ca="1">VLOOKUP(Table2[[#This Row],[mp3_file]],Table3[#All],3,FALSE)</f>
        <v>#NAME?</v>
      </c>
    </row>
    <row r="59" spans="1:16" x14ac:dyDescent="0.3">
      <c r="A59">
        <v>471</v>
      </c>
      <c r="B59" t="s">
        <v>2101</v>
      </c>
      <c r="C59" t="s">
        <v>582</v>
      </c>
      <c r="D59" s="7">
        <f>IFERROR(VLOOKUP(Table2[[#This Row],[tune_meter]],Table1[#All],3,FALSE),"NONE")</f>
        <v>21</v>
      </c>
      <c r="F59" t="s">
        <v>324</v>
      </c>
      <c r="G59" t="str">
        <f>IF(Table2[[#This Row],[tune_book]]="LFTBs","Red Book","Green Book")</f>
        <v>Green Book</v>
      </c>
      <c r="H59" t="s">
        <v>1249</v>
      </c>
      <c r="I59" t="s">
        <v>2102</v>
      </c>
      <c r="J59" t="str">
        <f>Table2[[#This Row],[file_name]]&amp;".mp3"</f>
        <v>471g.mid.mp3</v>
      </c>
      <c r="M59">
        <v>720</v>
      </c>
      <c r="N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--song="Autumn (10.10.10.10.)" --artist="F. Duckworth" --comment="" --album="Green Book" --track="471" 471g.mid.mp3</v>
      </c>
      <c r="P59" s="4" t="e">
        <f ca="1">VLOOKUP(Table2[[#This Row],[mp3_file]],Table3[#All],3,FALSE)</f>
        <v>#NAME?</v>
      </c>
    </row>
    <row r="60" spans="1:16" x14ac:dyDescent="0.3">
      <c r="A60">
        <v>268</v>
      </c>
      <c r="B60" t="s">
        <v>2714</v>
      </c>
      <c r="C60" t="s">
        <v>543</v>
      </c>
      <c r="D60" s="7">
        <f>IFERROR(VLOOKUP(Table2[[#This Row],[tune_meter]],Table1[#All],3,FALSE),"NONE")</f>
        <v>17</v>
      </c>
      <c r="F60" t="s">
        <v>459</v>
      </c>
      <c r="G60" t="str">
        <f>IF(Table2[[#This Row],[tune_book]]="LFTBs","Red Book","Green Book")</f>
        <v>Red Book</v>
      </c>
      <c r="H60" t="s">
        <v>544</v>
      </c>
      <c r="I60" t="s">
        <v>545</v>
      </c>
      <c r="J60" t="str">
        <f>Table2[[#This Row],[file_name]]&amp;".mp3"</f>
        <v>268r.mid.mp3</v>
      </c>
      <c r="M60">
        <v>71</v>
      </c>
      <c r="N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--song="Avoca (Parkes) (11.10.11.10. Dactylic)" --artist="F.H. Parkes" --comment="" --album="Red Book" --track="268" 268r.mid.mp3</v>
      </c>
      <c r="P60" s="4" t="e">
        <f ca="1">VLOOKUP(Table2[[#This Row],[mp3_file]],Table3[#All],3,FALSE)</f>
        <v>#NAME?</v>
      </c>
    </row>
    <row r="61" spans="1:16" x14ac:dyDescent="0.3">
      <c r="A61">
        <v>472</v>
      </c>
      <c r="B61" t="s">
        <v>2103</v>
      </c>
      <c r="C61" t="s">
        <v>582</v>
      </c>
      <c r="D61" s="7">
        <f>IFERROR(VLOOKUP(Table2[[#This Row],[tune_meter]],Table1[#All],3,FALSE),"NONE")</f>
        <v>21</v>
      </c>
      <c r="F61" t="s">
        <v>324</v>
      </c>
      <c r="G61" t="str">
        <f>IF(Table2[[#This Row],[tune_book]]="LFTBs","Red Book","Green Book")</f>
        <v>Green Book</v>
      </c>
      <c r="H61" t="s">
        <v>329</v>
      </c>
      <c r="I61" t="s">
        <v>2104</v>
      </c>
      <c r="J61" t="str">
        <f>Table2[[#This Row],[file_name]]&amp;".mp3"</f>
        <v>472g.mid.mp3</v>
      </c>
      <c r="M61">
        <v>721</v>
      </c>
      <c r="N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--song="Aziel (10.10.10.10.)" --artist="T. Collins" --comment="" --album="Green Book" --track="472" 472g.mid.mp3</v>
      </c>
      <c r="P61" s="4" t="e">
        <f ca="1">VLOOKUP(Table2[[#This Row],[mp3_file]],Table3[#All],3,FALSE)</f>
        <v>#NAME?</v>
      </c>
    </row>
    <row r="62" spans="1:16" x14ac:dyDescent="0.3">
      <c r="A62">
        <v>305</v>
      </c>
      <c r="B62" t="s">
        <v>1306</v>
      </c>
      <c r="C62" t="s">
        <v>483</v>
      </c>
      <c r="D62" s="7">
        <f>IFERROR(VLOOKUP(Table2[[#This Row],[tune_meter]],Table1[#All],3,FALSE),"NONE")</f>
        <v>55</v>
      </c>
      <c r="F62" t="s">
        <v>324</v>
      </c>
      <c r="G62" t="str">
        <f>IF(Table2[[#This Row],[tune_book]]="LFTBs","Red Book","Green Book")</f>
        <v>Green Book</v>
      </c>
      <c r="H62" t="s">
        <v>1307</v>
      </c>
      <c r="I62" t="s">
        <v>1308</v>
      </c>
      <c r="J62" t="str">
        <f>Table2[[#This Row],[file_name]]&amp;".mp3"</f>
        <v>305g.mid.mp3</v>
      </c>
      <c r="M62">
        <v>377</v>
      </c>
      <c r="N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--song="Baden (8.6.8.6.8.8.)" --artist="From Spohr" --comment="" --album="Green Book" --track="305" 305g.mid.mp3</v>
      </c>
      <c r="P62" s="4" t="e">
        <f ca="1">VLOOKUP(Table2[[#This Row],[mp3_file]],Table3[#All],3,FALSE)</f>
        <v>#NAME?</v>
      </c>
    </row>
    <row r="63" spans="1:16" x14ac:dyDescent="0.3">
      <c r="A63">
        <v>6</v>
      </c>
      <c r="B63" t="s">
        <v>1194</v>
      </c>
      <c r="C63" t="s">
        <v>486</v>
      </c>
      <c r="D63" s="7">
        <f>IFERROR(VLOOKUP(Table2[[#This Row],[tune_meter]],Table1[#All],3,FALSE),"NONE")</f>
        <v>19</v>
      </c>
      <c r="F63" t="s">
        <v>324</v>
      </c>
      <c r="G63" t="str">
        <f>IF(Table2[[#This Row],[tune_book]]="LFTBs","Red Book","Green Book")</f>
        <v>Green Book</v>
      </c>
      <c r="H63" t="s">
        <v>1195</v>
      </c>
      <c r="I63" t="s">
        <v>1196</v>
      </c>
      <c r="J63" t="str">
        <f>Table2[[#This Row],[file_name]]&amp;".mp3"</f>
        <v>6g.mid.mp3</v>
      </c>
      <c r="M63">
        <v>333</v>
      </c>
      <c r="N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--song="Ballerma (C.M.)" --artist="R. Simpson" --comment="" --album="Green Book" --track="6" 6g.mid.mp3</v>
      </c>
      <c r="P63" s="4" t="e">
        <f ca="1">VLOOKUP(Table2[[#This Row],[mp3_file]],Table3[#All],3,FALSE)</f>
        <v>#NAME?</v>
      </c>
    </row>
    <row r="64" spans="1:16" x14ac:dyDescent="0.3">
      <c r="A64">
        <v>473</v>
      </c>
      <c r="B64" t="s">
        <v>2105</v>
      </c>
      <c r="C64" t="s">
        <v>582</v>
      </c>
      <c r="D64" s="7">
        <f>IFERROR(VLOOKUP(Table2[[#This Row],[tune_meter]],Table1[#All],3,FALSE),"NONE")</f>
        <v>21</v>
      </c>
      <c r="F64" t="s">
        <v>324</v>
      </c>
      <c r="G64" t="str">
        <f>IF(Table2[[#This Row],[tune_book]]="LFTBs","Red Book","Green Book")</f>
        <v>Green Book</v>
      </c>
      <c r="H64" t="s">
        <v>329</v>
      </c>
      <c r="I64" t="s">
        <v>2106</v>
      </c>
      <c r="J64" t="str">
        <f>Table2[[#This Row],[file_name]]&amp;".mp3"</f>
        <v>473g.mid.mp3</v>
      </c>
      <c r="M64">
        <v>722</v>
      </c>
      <c r="N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--song="Ballyclare (10.10.10.10.)" --artist="T. Collins" --comment="" --album="Green Book" --track="473" 473g.mid.mp3</v>
      </c>
      <c r="P64" s="4" t="e">
        <f ca="1">VLOOKUP(Table2[[#This Row],[mp3_file]],Table3[#All],3,FALSE)</f>
        <v>#NAME?</v>
      </c>
    </row>
    <row r="65" spans="1:16" x14ac:dyDescent="0.3">
      <c r="A65">
        <v>27</v>
      </c>
      <c r="B65" t="s">
        <v>546</v>
      </c>
      <c r="C65" t="s">
        <v>516</v>
      </c>
      <c r="D65" s="7">
        <f>IFERROR(VLOOKUP(Table2[[#This Row],[tune_meter]],Table1[#All],3,FALSE),"NONE")</f>
        <v>16</v>
      </c>
      <c r="F65" t="s">
        <v>459</v>
      </c>
      <c r="G65" t="str">
        <f>IF(Table2[[#This Row],[tune_book]]="LFTBs","Red Book","Green Book")</f>
        <v>Red Book</v>
      </c>
      <c r="H65" t="s">
        <v>2733</v>
      </c>
      <c r="I65" t="s">
        <v>547</v>
      </c>
      <c r="J65" t="str">
        <f>Table2[[#This Row],[file_name]]&amp;".mp3"</f>
        <v>27r.mid.mp3</v>
      </c>
      <c r="M65">
        <v>72</v>
      </c>
      <c r="N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--song="Bangor (L.M.)" --artist="R. E. Frizelle" --comment="" --album="Red Book" --track="27" 27r.mid.mp3</v>
      </c>
      <c r="P65" s="4" t="e">
        <f ca="1">VLOOKUP(Table2[[#This Row],[mp3_file]],Table3[#All],3,FALSE)</f>
        <v>#NAME?</v>
      </c>
    </row>
    <row r="66" spans="1:16" x14ac:dyDescent="0.3">
      <c r="A66">
        <v>141</v>
      </c>
      <c r="B66" t="s">
        <v>548</v>
      </c>
      <c r="C66" t="s">
        <v>483</v>
      </c>
      <c r="D66" s="7">
        <f>IFERROR(VLOOKUP(Table2[[#This Row],[tune_meter]],Table1[#All],3,FALSE),"NONE")</f>
        <v>55</v>
      </c>
      <c r="F66" t="s">
        <v>459</v>
      </c>
      <c r="G66" t="str">
        <f>IF(Table2[[#This Row],[tune_book]]="LFTBs","Red Book","Green Book")</f>
        <v>Red Book</v>
      </c>
      <c r="H66" t="s">
        <v>2730</v>
      </c>
      <c r="I66" t="s">
        <v>550</v>
      </c>
      <c r="J66" t="str">
        <f>Table2[[#This Row],[file_name]]&amp;".mp3"</f>
        <v>141r.mid.mp3</v>
      </c>
      <c r="M66">
        <v>73</v>
      </c>
      <c r="N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--song="Barnet (8.6.8.6.8.8.)" --artist="E. J. Judd" --comment="" --album="Red Book" --track="141" 141r.mid.mp3</v>
      </c>
      <c r="P66" s="4" t="e">
        <f ca="1">VLOOKUP(Table2[[#This Row],[mp3_file]],Table3[#All],3,FALSE)</f>
        <v>#NAME?</v>
      </c>
    </row>
    <row r="67" spans="1:16" x14ac:dyDescent="0.3">
      <c r="A67">
        <v>7</v>
      </c>
      <c r="B67" t="s">
        <v>1394</v>
      </c>
      <c r="C67" t="s">
        <v>486</v>
      </c>
      <c r="D67" s="7">
        <f>IFERROR(VLOOKUP(Table2[[#This Row],[tune_meter]],Table1[#All],3,FALSE),"NONE")</f>
        <v>19</v>
      </c>
      <c r="F67" t="s">
        <v>324</v>
      </c>
      <c r="G67" t="str">
        <f>IF(Table2[[#This Row],[tune_book]]="LFTBs","Red Book","Green Book")</f>
        <v>Green Book</v>
      </c>
      <c r="H67" t="s">
        <v>340</v>
      </c>
      <c r="I67" t="s">
        <v>1395</v>
      </c>
      <c r="J67" t="str">
        <f>Table2[[#This Row],[file_name]]&amp;".mp3"</f>
        <v>7g.mid.mp3</v>
      </c>
      <c r="M67">
        <v>415</v>
      </c>
      <c r="N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--song="Barrow (C.M.)" --artist="American" --comment="" --album="Green Book" --track="7" 7g.mid.mp3</v>
      </c>
      <c r="P67" s="4" t="e">
        <f ca="1">VLOOKUP(Table2[[#This Row],[mp3_file]],Table3[#All],3,FALSE)</f>
        <v>#NAME?</v>
      </c>
    </row>
    <row r="68" spans="1:16" x14ac:dyDescent="0.3">
      <c r="A68">
        <v>243</v>
      </c>
      <c r="B68" t="s">
        <v>551</v>
      </c>
      <c r="C68" t="s">
        <v>424</v>
      </c>
      <c r="D68" s="7">
        <f>IFERROR(VLOOKUP(Table2[[#This Row],[tune_meter]],Table1[#All],3,FALSE),"NONE")</f>
        <v>45</v>
      </c>
      <c r="F68" t="s">
        <v>459</v>
      </c>
      <c r="G68" t="str">
        <f>IF(Table2[[#This Row],[tune_book]]="LFTBs","Red Book","Green Book")</f>
        <v>Red Book</v>
      </c>
      <c r="H68" t="s">
        <v>2729</v>
      </c>
      <c r="I68" t="s">
        <v>552</v>
      </c>
      <c r="J68" t="str">
        <f>Table2[[#This Row],[file_name]]&amp;".mp3"</f>
        <v>243r.mid.mp3</v>
      </c>
      <c r="M68">
        <v>74</v>
      </c>
      <c r="N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--song="Barton (10.4.10.4.10.10.)" --artist="J. T. Lightwood" --comment="" --album="Red Book" --track="243" 243r.mid.mp3</v>
      </c>
      <c r="P68" s="4" t="e">
        <f ca="1">VLOOKUP(Table2[[#This Row],[mp3_file]],Table3[#All],3,FALSE)</f>
        <v>#NAME?</v>
      </c>
    </row>
    <row r="69" spans="1:16" x14ac:dyDescent="0.3">
      <c r="A69">
        <v>211</v>
      </c>
      <c r="B69" t="s">
        <v>553</v>
      </c>
      <c r="C69" t="s">
        <v>554</v>
      </c>
      <c r="D69" s="7">
        <f>IFERROR(VLOOKUP(Table2[[#This Row],[tune_meter]],Table1[#All],3,FALSE),"NONE")</f>
        <v>26</v>
      </c>
      <c r="F69" t="s">
        <v>459</v>
      </c>
      <c r="G69" t="str">
        <f>IF(Table2[[#This Row],[tune_book]]="LFTBs","Red Book","Green Book")</f>
        <v>Red Book</v>
      </c>
      <c r="H69" t="s">
        <v>384</v>
      </c>
      <c r="I69" t="s">
        <v>555</v>
      </c>
      <c r="J69" t="str">
        <f>Table2[[#This Row],[file_name]]&amp;".mp3"</f>
        <v>211r.mid.mp3</v>
      </c>
      <c r="M69">
        <v>75</v>
      </c>
      <c r="N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--song="Basileos (8.8.8.8.8.8.)" --artist="E. Carren" --comment="" --album="Red Book" --track="211" 211r.mid.mp3</v>
      </c>
      <c r="P69" s="4" t="e">
        <f ca="1">VLOOKUP(Table2[[#This Row],[mp3_file]],Table3[#All],3,FALSE)</f>
        <v>#NAME?</v>
      </c>
    </row>
    <row r="70" spans="1:16" x14ac:dyDescent="0.3">
      <c r="A70">
        <v>81</v>
      </c>
      <c r="B70" t="s">
        <v>556</v>
      </c>
      <c r="C70" t="s">
        <v>540</v>
      </c>
      <c r="D70" s="7">
        <f>IFERROR(VLOOKUP(Table2[[#This Row],[tune_meter]],Table1[#All],3,FALSE),"NONE")</f>
        <v>51</v>
      </c>
      <c r="F70" t="s">
        <v>459</v>
      </c>
      <c r="G70" t="str">
        <f>IF(Table2[[#This Row],[tune_book]]="LFTBs","Red Book","Green Book")</f>
        <v>Red Book</v>
      </c>
      <c r="H70" t="s">
        <v>2728</v>
      </c>
      <c r="I70" t="s">
        <v>557</v>
      </c>
      <c r="J70" t="str">
        <f>Table2[[#This Row],[file_name]]&amp;".mp3"</f>
        <v>81r.mid.mp3</v>
      </c>
      <c r="M70">
        <v>76</v>
      </c>
      <c r="N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--song="Bath-Barah (6.6.6.6.8.8.)" --artist="Miss E. C. Shanks" --comment="" --album="Red Book" --track="81" 81r.mid.mp3</v>
      </c>
      <c r="P70" s="4" t="e">
        <f ca="1">VLOOKUP(Table2[[#This Row],[mp3_file]],Table3[#All],3,FALSE)</f>
        <v>#NAME?</v>
      </c>
    </row>
    <row r="71" spans="1:16" x14ac:dyDescent="0.3">
      <c r="A71">
        <v>8</v>
      </c>
      <c r="B71" t="s">
        <v>1396</v>
      </c>
      <c r="C71" t="s">
        <v>486</v>
      </c>
      <c r="D71" s="7">
        <f>IFERROR(VLOOKUP(Table2[[#This Row],[tune_meter]],Table1[#All],3,FALSE),"NONE")</f>
        <v>19</v>
      </c>
      <c r="F71" t="s">
        <v>324</v>
      </c>
      <c r="G71" t="str">
        <f>IF(Table2[[#This Row],[tune_book]]="LFTBs","Red Book","Green Book")</f>
        <v>Green Book</v>
      </c>
      <c r="H71" t="s">
        <v>2716</v>
      </c>
      <c r="I71" t="s">
        <v>1397</v>
      </c>
      <c r="J71" t="str">
        <f>Table2[[#This Row],[file_name]]&amp;".mp3"</f>
        <v>8g.mid.mp3</v>
      </c>
      <c r="M71">
        <v>416</v>
      </c>
      <c r="N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--song="Beatitudo (C.M.)" --artist="Dr. J. B. Dykes" --comment="" --album="Green Book" --track="8" 8g.mid.mp3</v>
      </c>
      <c r="P71" s="4" t="e">
        <f ca="1">VLOOKUP(Table2[[#This Row],[mp3_file]],Table3[#All],3,FALSE)</f>
        <v>#NAME?</v>
      </c>
    </row>
    <row r="72" spans="1:16" x14ac:dyDescent="0.3">
      <c r="A72">
        <v>316</v>
      </c>
      <c r="B72" t="s">
        <v>1965</v>
      </c>
      <c r="C72" t="s">
        <v>370</v>
      </c>
      <c r="D72" s="7">
        <f>IFERROR(VLOOKUP(Table2[[#This Row],[tune_meter]],Table1[#All],3,FALSE),"NONE")</f>
        <v>24</v>
      </c>
      <c r="F72" t="s">
        <v>324</v>
      </c>
      <c r="G72" t="str">
        <f>IF(Table2[[#This Row],[tune_book]]="LFTBs","Red Book","Green Book")</f>
        <v>Green Book</v>
      </c>
      <c r="H72" t="s">
        <v>344</v>
      </c>
      <c r="I72" t="s">
        <v>1966</v>
      </c>
      <c r="J72" t="str">
        <f>Table2[[#This Row],[file_name]]&amp;".mp3"</f>
        <v>316g.mid.mp3</v>
      </c>
      <c r="M72">
        <v>658</v>
      </c>
      <c r="N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--song="Beaumaris (8.7.8.7.)" --artist="Unknown" --comment="" --album="Green Book" --track="316" 316g.mid.mp3</v>
      </c>
      <c r="P72" s="4" t="e">
        <f ca="1">VLOOKUP(Table2[[#This Row],[mp3_file]],Table3[#All],3,FALSE)</f>
        <v>#NAME?</v>
      </c>
    </row>
    <row r="73" spans="1:16" x14ac:dyDescent="0.3">
      <c r="A73">
        <v>9</v>
      </c>
      <c r="B73" t="s">
        <v>1398</v>
      </c>
      <c r="C73" t="s">
        <v>486</v>
      </c>
      <c r="D73" s="7">
        <f>IFERROR(VLOOKUP(Table2[[#This Row],[tune_meter]],Table1[#All],3,FALSE),"NONE")</f>
        <v>19</v>
      </c>
      <c r="F73" t="s">
        <v>324</v>
      </c>
      <c r="G73" t="str">
        <f>IF(Table2[[#This Row],[tune_book]]="LFTBs","Red Book","Green Book")</f>
        <v>Green Book</v>
      </c>
      <c r="H73" t="s">
        <v>1399</v>
      </c>
      <c r="I73" t="s">
        <v>1400</v>
      </c>
      <c r="J73" t="str">
        <f>Table2[[#This Row],[file_name]]&amp;".mp3"</f>
        <v>9g.mid.mp3</v>
      </c>
      <c r="M73">
        <v>417</v>
      </c>
      <c r="N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--song="Bedford (C.M.)" --artist="W. Wheale" --comment="" --album="Green Book" --track="9" 9g.mid.mp3</v>
      </c>
      <c r="P73" s="4" t="e">
        <f ca="1">VLOOKUP(Table2[[#This Row],[mp3_file]],Table3[#All],3,FALSE)</f>
        <v>#NAME?</v>
      </c>
    </row>
    <row r="74" spans="1:16" x14ac:dyDescent="0.3">
      <c r="A74">
        <v>221</v>
      </c>
      <c r="B74" t="s">
        <v>558</v>
      </c>
      <c r="C74" t="s">
        <v>492</v>
      </c>
      <c r="D74" s="7">
        <f>IFERROR(VLOOKUP(Table2[[#This Row],[tune_meter]],Table1[#All],3,FALSE),"NONE")</f>
        <v>35</v>
      </c>
      <c r="F74" t="s">
        <v>459</v>
      </c>
      <c r="G74" t="str">
        <f>IF(Table2[[#This Row],[tune_book]]="LFTBs","Red Book","Green Book")</f>
        <v>Red Book</v>
      </c>
      <c r="H74" t="s">
        <v>559</v>
      </c>
      <c r="I74" t="s">
        <v>560</v>
      </c>
      <c r="J74" t="str">
        <f>Table2[[#This Row],[file_name]]&amp;".mp3"</f>
        <v>221r.mid.mp3</v>
      </c>
      <c r="M74">
        <v>77</v>
      </c>
      <c r="N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--song="Beechknowe (9.8.9.8.)" --artist="H. de la Haye Blackith" --comment="" --album="Red Book" --track="221" 221r.mid.mp3</v>
      </c>
      <c r="P74" s="4" t="e">
        <f ca="1">VLOOKUP(Table2[[#This Row],[mp3_file]],Table3[#All],3,FALSE)</f>
        <v>#NAME?</v>
      </c>
    </row>
    <row r="75" spans="1:16" x14ac:dyDescent="0.3">
      <c r="A75">
        <v>474</v>
      </c>
      <c r="B75" t="s">
        <v>2107</v>
      </c>
      <c r="C75" t="s">
        <v>582</v>
      </c>
      <c r="D75" s="7">
        <f>IFERROR(VLOOKUP(Table2[[#This Row],[tune_meter]],Table1[#All],3,FALSE),"NONE")</f>
        <v>21</v>
      </c>
      <c r="F75" t="s">
        <v>324</v>
      </c>
      <c r="G75" t="str">
        <f>IF(Table2[[#This Row],[tune_book]]="LFTBs","Red Book","Green Book")</f>
        <v>Green Book</v>
      </c>
      <c r="H75" t="s">
        <v>2733</v>
      </c>
      <c r="I75" t="s">
        <v>2108</v>
      </c>
      <c r="J75" t="str">
        <f>Table2[[#This Row],[file_name]]&amp;".mp3"</f>
        <v>474g.mid.mp3</v>
      </c>
      <c r="M75">
        <v>723</v>
      </c>
      <c r="N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--song="Belfast (10.10.10.10.)" --artist="R. E. Frizelle" --comment="" --album="Green Book" --track="474" 474g.mid.mp3</v>
      </c>
      <c r="P75" s="4" t="e">
        <f ca="1">VLOOKUP(Table2[[#This Row],[mp3_file]],Table3[#All],3,FALSE)</f>
        <v>#NAME?</v>
      </c>
    </row>
    <row r="76" spans="1:16" x14ac:dyDescent="0.3">
      <c r="A76">
        <v>5</v>
      </c>
      <c r="B76" t="s">
        <v>561</v>
      </c>
      <c r="C76" t="s">
        <v>486</v>
      </c>
      <c r="D76" s="7">
        <f>IFERROR(VLOOKUP(Table2[[#This Row],[tune_meter]],Table1[#All],3,FALSE),"NONE")</f>
        <v>19</v>
      </c>
      <c r="F76" t="s">
        <v>459</v>
      </c>
      <c r="G76" t="str">
        <f>IF(Table2[[#This Row],[tune_book]]="LFTBs","Red Book","Green Book")</f>
        <v>Red Book</v>
      </c>
      <c r="H76" t="s">
        <v>562</v>
      </c>
      <c r="I76" t="s">
        <v>563</v>
      </c>
      <c r="J76" t="str">
        <f>Table2[[#This Row],[file_name]]&amp;".mp3"</f>
        <v>5r.mid.mp3</v>
      </c>
      <c r="M76">
        <v>78</v>
      </c>
      <c r="N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--song="Belgrave (C.M.)" --artist="William Horsley" --comment="" --album="Red Book" --track="5" 5r.mid.mp3</v>
      </c>
      <c r="P76" s="4" t="e">
        <f ca="1">VLOOKUP(Table2[[#This Row],[mp3_file]],Table3[#All],3,FALSE)</f>
        <v>#NAME?</v>
      </c>
    </row>
    <row r="77" spans="1:16" x14ac:dyDescent="0.3">
      <c r="A77">
        <v>188</v>
      </c>
      <c r="B77" t="s">
        <v>2691</v>
      </c>
      <c r="C77" t="s">
        <v>913</v>
      </c>
      <c r="D77" s="7">
        <f>IFERROR(VLOOKUP(Table2[[#This Row],[tune_meter]],Table1[#All],3,FALSE),"NONE")</f>
        <v>43</v>
      </c>
      <c r="F77" t="s">
        <v>324</v>
      </c>
      <c r="G77" t="str">
        <f>IF(Table2[[#This Row],[tune_book]]="LFTBs","Red Book","Green Book")</f>
        <v>Green Book</v>
      </c>
      <c r="H77" t="s">
        <v>1482</v>
      </c>
      <c r="I77" t="s">
        <v>1483</v>
      </c>
      <c r="J77" t="str">
        <f>Table2[[#This Row],[file_name]]&amp;".mp3"</f>
        <v>188g.mid.mp3</v>
      </c>
      <c r="M77">
        <v>453</v>
      </c>
      <c r="N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--song="Belmont (Haydn) (6.6.6.5.6.6.6.5.)" --artist="From Haydn" --comment="" --album="Green Book" --track="188" 188g.mid.mp3</v>
      </c>
      <c r="P77" s="4" t="e">
        <f ca="1">VLOOKUP(Table2[[#This Row],[mp3_file]],Table3[#All],3,FALSE)</f>
        <v>#NAME?</v>
      </c>
    </row>
    <row r="78" spans="1:16" x14ac:dyDescent="0.3">
      <c r="A78">
        <v>10</v>
      </c>
      <c r="B78" t="s">
        <v>2690</v>
      </c>
      <c r="C78" t="s">
        <v>486</v>
      </c>
      <c r="D78" s="7">
        <f>IFERROR(VLOOKUP(Table2[[#This Row],[tune_meter]],Table1[#All],3,FALSE),"NONE")</f>
        <v>19</v>
      </c>
      <c r="F78" t="s">
        <v>324</v>
      </c>
      <c r="G78" t="str">
        <f>IF(Table2[[#This Row],[tune_book]]="LFTBs","Red Book","Green Book")</f>
        <v>Green Book</v>
      </c>
      <c r="H78" t="s">
        <v>1401</v>
      </c>
      <c r="I78" t="s">
        <v>1402</v>
      </c>
      <c r="J78" t="str">
        <f>Table2[[#This Row],[file_name]]&amp;".mp3"</f>
        <v>10g.mid.mp3</v>
      </c>
      <c r="M78">
        <v>418</v>
      </c>
      <c r="N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--song="Belmont (Webbe) (C.M.)" --artist="S. Webbe" --comment="" --album="Green Book" --track="10" 10g.mid.mp3</v>
      </c>
      <c r="P78" s="4" t="e">
        <f ca="1">VLOOKUP(Table2[[#This Row],[mp3_file]],Table3[#All],3,FALSE)</f>
        <v>#NAME?</v>
      </c>
    </row>
    <row r="79" spans="1:16" x14ac:dyDescent="0.3">
      <c r="A79">
        <v>373</v>
      </c>
      <c r="B79" t="s">
        <v>1986</v>
      </c>
      <c r="C79" t="s">
        <v>476</v>
      </c>
      <c r="D79" s="7">
        <f>IFERROR(VLOOKUP(Table2[[#This Row],[tune_meter]],Table1[#All],3,FALSE),"NONE")</f>
        <v>25</v>
      </c>
      <c r="F79" t="s">
        <v>324</v>
      </c>
      <c r="G79" t="str">
        <f>IF(Table2[[#This Row],[tune_book]]="LFTBs","Red Book","Green Book")</f>
        <v>Green Book</v>
      </c>
      <c r="H79" t="s">
        <v>1401</v>
      </c>
      <c r="I79" t="s">
        <v>1987</v>
      </c>
      <c r="J79" t="str">
        <f>Table2[[#This Row],[file_name]]&amp;".mp3"</f>
        <v>373g.mid.mp3</v>
      </c>
      <c r="M79">
        <v>667</v>
      </c>
      <c r="N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--song="Benediction (8.7.8.7.8.7.8.7.)" --artist="S. Webbe" --comment="" --album="Green Book" --track="373" 373g.mid.mp3</v>
      </c>
      <c r="P79" s="4" t="e">
        <f ca="1">VLOOKUP(Table2[[#This Row],[mp3_file]],Table3[#All],3,FALSE)</f>
        <v>#NAME?</v>
      </c>
    </row>
    <row r="80" spans="1:16" x14ac:dyDescent="0.3">
      <c r="A80">
        <v>126</v>
      </c>
      <c r="B80" t="s">
        <v>564</v>
      </c>
      <c r="C80" t="s">
        <v>523</v>
      </c>
      <c r="D80" s="7">
        <f>IFERROR(VLOOKUP(Table2[[#This Row],[tune_meter]],Table1[#All],3,FALSE),"NONE")</f>
        <v>53</v>
      </c>
      <c r="F80" t="s">
        <v>459</v>
      </c>
      <c r="G80" t="str">
        <f>IF(Table2[[#This Row],[tune_book]]="LFTBs","Red Book","Green Book")</f>
        <v>Red Book</v>
      </c>
      <c r="H80" t="s">
        <v>384</v>
      </c>
      <c r="I80" t="s">
        <v>565</v>
      </c>
      <c r="J80" t="str">
        <f>Table2[[#This Row],[file_name]]&amp;".mp3"</f>
        <v>126r.mid.mp3</v>
      </c>
      <c r="M80">
        <v>79</v>
      </c>
      <c r="N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--song="Berea (8.5.8.3.)" --artist="E. Carren" --comment="" --album="Red Book" --track="126" 126r.mid.mp3</v>
      </c>
      <c r="P80" s="4" t="e">
        <f ca="1">VLOOKUP(Table2[[#This Row],[mp3_file]],Table3[#All],3,FALSE)</f>
        <v>#NAME?</v>
      </c>
    </row>
    <row r="81" spans="1:16" x14ac:dyDescent="0.3">
      <c r="A81">
        <v>317</v>
      </c>
      <c r="B81" t="s">
        <v>1575</v>
      </c>
      <c r="C81" t="s">
        <v>370</v>
      </c>
      <c r="D81" s="7">
        <f>IFERROR(VLOOKUP(Table2[[#This Row],[tune_meter]],Table1[#All],3,FALSE),"NONE")</f>
        <v>24</v>
      </c>
      <c r="F81" t="s">
        <v>324</v>
      </c>
      <c r="G81" t="str">
        <f>IF(Table2[[#This Row],[tune_book]]="LFTBs","Red Book","Green Book")</f>
        <v>Green Book</v>
      </c>
      <c r="H81" t="s">
        <v>329</v>
      </c>
      <c r="I81" t="s">
        <v>1576</v>
      </c>
      <c r="J81" t="str">
        <f>Table2[[#This Row],[file_name]]&amp;".mp3"</f>
        <v>317g.mid.mp3</v>
      </c>
      <c r="M81">
        <v>493</v>
      </c>
      <c r="N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--song="Berechiah (8.7.8.7.)" --artist="T. Collins" --comment="" --album="Green Book" --track="317" 317g.mid.mp3</v>
      </c>
      <c r="P81" s="4" t="e">
        <f ca="1">VLOOKUP(Table2[[#This Row],[mp3_file]],Table3[#All],3,FALSE)</f>
        <v>#NAME?</v>
      </c>
    </row>
    <row r="82" spans="1:16" x14ac:dyDescent="0.3">
      <c r="A82">
        <v>516</v>
      </c>
      <c r="B82" t="s">
        <v>1375</v>
      </c>
      <c r="C82" t="s">
        <v>495</v>
      </c>
      <c r="D82" s="7">
        <f>IFERROR(VLOOKUP(Table2[[#This Row],[tune_meter]],Table1[#All],3,FALSE),"NONE")</f>
        <v>52</v>
      </c>
      <c r="F82" t="s">
        <v>324</v>
      </c>
      <c r="G82" t="str">
        <f>IF(Table2[[#This Row],[tune_book]]="LFTBs","Red Book","Green Book")</f>
        <v>Green Book</v>
      </c>
      <c r="H82" t="s">
        <v>1207</v>
      </c>
      <c r="I82" t="s">
        <v>1376</v>
      </c>
      <c r="J82" t="str">
        <f>Table2[[#This Row],[file_name]]&amp;".mp3"</f>
        <v>516g.mid.mp3</v>
      </c>
      <c r="M82">
        <v>407</v>
      </c>
      <c r="N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--song="Berlin (11.10.11.10.)" --artist="From Mendelssohn" --comment="" --album="Green Book" --track="516" 516g.mid.mp3</v>
      </c>
      <c r="P82" s="4" t="e">
        <f ca="1">VLOOKUP(Table2[[#This Row],[mp3_file]],Table3[#All],3,FALSE)</f>
        <v>#NAME?</v>
      </c>
    </row>
    <row r="83" spans="1:16" x14ac:dyDescent="0.3">
      <c r="A83">
        <v>28</v>
      </c>
      <c r="B83" t="s">
        <v>566</v>
      </c>
      <c r="C83" t="s">
        <v>516</v>
      </c>
      <c r="D83" s="7">
        <f>IFERROR(VLOOKUP(Table2[[#This Row],[tune_meter]],Table1[#All],3,FALSE),"NONE")</f>
        <v>16</v>
      </c>
      <c r="F83" t="s">
        <v>459</v>
      </c>
      <c r="G83" t="str">
        <f>IF(Table2[[#This Row],[tune_book]]="LFTBs","Red Book","Green Book")</f>
        <v>Red Book</v>
      </c>
      <c r="H83" t="s">
        <v>2728</v>
      </c>
      <c r="I83" t="s">
        <v>567</v>
      </c>
      <c r="J83" t="str">
        <f>Table2[[#This Row],[file_name]]&amp;".mp3"</f>
        <v>28r.mid.mp3</v>
      </c>
      <c r="M83">
        <v>80</v>
      </c>
      <c r="N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--song="Beth-Aven (L.M.)" --artist="Miss E. C. Shanks" --comment="" --album="Red Book" --track="28" 28r.mid.mp3</v>
      </c>
      <c r="P83" s="4" t="e">
        <f ca="1">VLOOKUP(Table2[[#This Row],[mp3_file]],Table3[#All],3,FALSE)</f>
        <v>#NAME?</v>
      </c>
    </row>
    <row r="84" spans="1:16" x14ac:dyDescent="0.3">
      <c r="A84">
        <v>176</v>
      </c>
      <c r="B84" t="s">
        <v>2689</v>
      </c>
      <c r="C84" t="s">
        <v>446</v>
      </c>
      <c r="D84" s="7">
        <f>IFERROR(VLOOKUP(Table2[[#This Row],[tune_meter]],Table1[#All],3,FALSE),"NONE")</f>
        <v>44</v>
      </c>
      <c r="F84" t="s">
        <v>324</v>
      </c>
      <c r="G84" t="str">
        <f>IF(Table2[[#This Row],[tune_book]]="LFTBs","Red Book","Green Book")</f>
        <v>Green Book</v>
      </c>
      <c r="H84" t="s">
        <v>410</v>
      </c>
      <c r="I84" t="s">
        <v>1265</v>
      </c>
      <c r="J84" t="str">
        <f>Table2[[#This Row],[file_name]]&amp;".mp3"</f>
        <v>176g.mid.mp3</v>
      </c>
      <c r="M84">
        <v>359</v>
      </c>
      <c r="N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--song="Bethany (Mason) (6.4.6.4.6.6.6.4.)" --artist="Dr. Lowell Mason" --comment="" --album="Green Book" --track="176" 176g.mid.mp3</v>
      </c>
      <c r="P84" s="4" t="e">
        <f ca="1">VLOOKUP(Table2[[#This Row],[mp3_file]],Table3[#All],3,FALSE)</f>
        <v>#NAME?</v>
      </c>
    </row>
    <row r="85" spans="1:16" x14ac:dyDescent="0.3">
      <c r="A85">
        <v>374</v>
      </c>
      <c r="B85" t="s">
        <v>2688</v>
      </c>
      <c r="C85" t="s">
        <v>476</v>
      </c>
      <c r="D85" s="7">
        <f>IFERROR(VLOOKUP(Table2[[#This Row],[tune_meter]],Table1[#All],3,FALSE),"NONE")</f>
        <v>25</v>
      </c>
      <c r="F85" t="s">
        <v>324</v>
      </c>
      <c r="G85" t="str">
        <f>IF(Table2[[#This Row],[tune_book]]="LFTBs","Red Book","Green Book")</f>
        <v>Green Book</v>
      </c>
      <c r="H85" t="s">
        <v>2734</v>
      </c>
      <c r="I85" t="s">
        <v>1621</v>
      </c>
      <c r="J85" t="str">
        <f>Table2[[#This Row],[file_name]]&amp;".mp3"</f>
        <v>374g.mid.mp3</v>
      </c>
      <c r="M85">
        <v>513</v>
      </c>
      <c r="N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--song="Bethany (Smart) (8.7.8.7.8.7.8.7.)" --artist="H. T. Smart" --comment="" --album="Green Book" --track="374" 374g.mid.mp3</v>
      </c>
      <c r="P85" s="4" t="e">
        <f ca="1">VLOOKUP(Table2[[#This Row],[mp3_file]],Table3[#All],3,FALSE)</f>
        <v>#NAME?</v>
      </c>
    </row>
    <row r="86" spans="1:16" x14ac:dyDescent="0.3">
      <c r="A86">
        <v>475</v>
      </c>
      <c r="B86" t="s">
        <v>2109</v>
      </c>
      <c r="C86" t="s">
        <v>582</v>
      </c>
      <c r="D86" s="7">
        <f>IFERROR(VLOOKUP(Table2[[#This Row],[tune_meter]],Table1[#All],3,FALSE),"NONE")</f>
        <v>21</v>
      </c>
      <c r="F86" t="s">
        <v>324</v>
      </c>
      <c r="G86" t="str">
        <f>IF(Table2[[#This Row],[tune_book]]="LFTBs","Red Book","Green Book")</f>
        <v>Green Book</v>
      </c>
      <c r="H86" t="s">
        <v>2735</v>
      </c>
      <c r="I86" t="s">
        <v>2110</v>
      </c>
      <c r="J86" t="str">
        <f>Table2[[#This Row],[file_name]]&amp;".mp3"</f>
        <v>475g.mid.mp3</v>
      </c>
      <c r="K86" s="4">
        <v>1938</v>
      </c>
      <c r="M86">
        <v>724</v>
      </c>
      <c r="N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--song="Beverley (10.10.10.10.)" --artist="C. T. McCorkell" --comment="" --album="Green Book" --track="475" 475g.mid.mp3</v>
      </c>
      <c r="P86" s="4" t="e">
        <f ca="1">VLOOKUP(Table2[[#This Row],[mp3_file]],Table3[#All],3,FALSE)</f>
        <v>#NAME?</v>
      </c>
    </row>
    <row r="87" spans="1:16" x14ac:dyDescent="0.3">
      <c r="A87">
        <v>131</v>
      </c>
      <c r="B87" t="s">
        <v>1692</v>
      </c>
      <c r="C87" t="s">
        <v>623</v>
      </c>
      <c r="D87" s="7">
        <f>IFERROR(VLOOKUP(Table2[[#This Row],[tune_meter]],Table1[#All],3,FALSE),"NONE")</f>
        <v>22</v>
      </c>
      <c r="F87" t="s">
        <v>324</v>
      </c>
      <c r="G87" t="str">
        <f>IF(Table2[[#This Row],[tune_book]]="LFTBs","Red Book","Green Book")</f>
        <v>Green Book</v>
      </c>
      <c r="H87" t="s">
        <v>1693</v>
      </c>
      <c r="I87" t="s">
        <v>1694</v>
      </c>
      <c r="J87" t="str">
        <f>Table2[[#This Row],[file_name]]&amp;".mp3"</f>
        <v>131g.mid.mp3</v>
      </c>
      <c r="M87">
        <v>545</v>
      </c>
      <c r="N87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--song="Bexhill (S.M.)" --artist="From Swedish" --comment="" --album="Green Book" --track="131" 131g.mid.mp3</v>
      </c>
      <c r="P87" s="4" t="e">
        <f>VLOOKUP(Table2[[#This Row],[mp3_file]],Table3[#All],3,FALSE)</f>
        <v>#N/A</v>
      </c>
    </row>
    <row r="88" spans="1:16" x14ac:dyDescent="0.3">
      <c r="A88">
        <v>476</v>
      </c>
      <c r="B88" t="s">
        <v>2111</v>
      </c>
      <c r="C88" t="s">
        <v>582</v>
      </c>
      <c r="D88" s="7">
        <f>IFERROR(VLOOKUP(Table2[[#This Row],[tune_meter]],Table1[#All],3,FALSE),"NONE")</f>
        <v>21</v>
      </c>
      <c r="F88" t="s">
        <v>324</v>
      </c>
      <c r="G88" t="str">
        <f>IF(Table2[[#This Row],[tune_book]]="LFTBs","Red Book","Green Book")</f>
        <v>Green Book</v>
      </c>
      <c r="H88" t="s">
        <v>2723</v>
      </c>
      <c r="I88" t="s">
        <v>2112</v>
      </c>
      <c r="J88" t="str">
        <f>Table2[[#This Row],[file_name]]&amp;".mp3"</f>
        <v>476g.mid.mp3</v>
      </c>
      <c r="K88" s="4">
        <v>1932</v>
      </c>
      <c r="M88">
        <v>725</v>
      </c>
      <c r="N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--song="Bexley (10.10.10.10.)" --artist="C. T. Lambert" --comment="" --album="Green Book" --track="476" 476g.mid.mp3</v>
      </c>
      <c r="P88" s="4" t="e">
        <f ca="1">VLOOKUP(Table2[[#This Row],[mp3_file]],Table3[#All],3,FALSE)</f>
        <v>#NAME?</v>
      </c>
    </row>
    <row r="89" spans="1:16" x14ac:dyDescent="0.3">
      <c r="A89">
        <v>477</v>
      </c>
      <c r="B89" t="s">
        <v>2113</v>
      </c>
      <c r="C89" t="s">
        <v>582</v>
      </c>
      <c r="D89" s="7">
        <f>IFERROR(VLOOKUP(Table2[[#This Row],[tune_meter]],Table1[#All],3,FALSE),"NONE")</f>
        <v>21</v>
      </c>
      <c r="F89" t="s">
        <v>324</v>
      </c>
      <c r="G89" t="str">
        <f>IF(Table2[[#This Row],[tune_book]]="LFTBs","Red Book","Green Book")</f>
        <v>Green Book</v>
      </c>
      <c r="H89" t="s">
        <v>2114</v>
      </c>
      <c r="I89" t="s">
        <v>2115</v>
      </c>
      <c r="J89" t="str">
        <f>Table2[[#This Row],[file_name]]&amp;".mp3"</f>
        <v>477g.mid.mp3</v>
      </c>
      <c r="K89" s="4">
        <v>1834</v>
      </c>
      <c r="M89">
        <v>726</v>
      </c>
      <c r="N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--song="Birmingham (10.10.10.10.)" --artist="From 'A Selection of Psalm Tunes'" --comment="" --album="Green Book" --track="477" 477g.mid.mp3</v>
      </c>
      <c r="P89" s="4" t="e">
        <f ca="1">VLOOKUP(Table2[[#This Row],[mp3_file]],Table3[#All],3,FALSE)</f>
        <v>#NAME?</v>
      </c>
    </row>
    <row r="90" spans="1:16" x14ac:dyDescent="0.3">
      <c r="A90">
        <v>284</v>
      </c>
      <c r="B90" t="s">
        <v>1544</v>
      </c>
      <c r="C90" t="s">
        <v>1064</v>
      </c>
      <c r="D90" s="7">
        <f>IFERROR(VLOOKUP(Table2[[#This Row],[tune_meter]],Table1[#All],3,FALSE),"NONE")</f>
        <v>82</v>
      </c>
      <c r="F90" t="s">
        <v>324</v>
      </c>
      <c r="G90" t="str">
        <f>IF(Table2[[#This Row],[tune_book]]="LFTBs","Red Book","Green Book")</f>
        <v>Green Book</v>
      </c>
      <c r="H90" t="s">
        <v>1149</v>
      </c>
      <c r="I90" t="s">
        <v>1545</v>
      </c>
      <c r="J90" t="str">
        <f>Table2[[#This Row],[file_name]]&amp;".mp3"</f>
        <v>284g.mid.mp3</v>
      </c>
      <c r="M90">
        <v>480</v>
      </c>
      <c r="N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--song="Bishopgarth (7.7.8.7.7.7.8.7.)" --artist="Sir Arthur S. Sullivan" --comment="" --album="Green Book" --track="284" 284g.mid.mp3</v>
      </c>
      <c r="P90" s="4" t="e">
        <f ca="1">VLOOKUP(Table2[[#This Row],[mp3_file]],Table3[#All],3,FALSE)</f>
        <v>#NAME?</v>
      </c>
    </row>
    <row r="91" spans="1:16" x14ac:dyDescent="0.3">
      <c r="A91">
        <v>6</v>
      </c>
      <c r="B91" t="s">
        <v>568</v>
      </c>
      <c r="C91" t="s">
        <v>486</v>
      </c>
      <c r="D91" s="7">
        <f>IFERROR(VLOOKUP(Table2[[#This Row],[tune_meter]],Table1[#All],3,FALSE),"NONE")</f>
        <v>19</v>
      </c>
      <c r="F91" t="s">
        <v>459</v>
      </c>
      <c r="G91" t="str">
        <f>IF(Table2[[#This Row],[tune_book]]="LFTBs","Red Book","Green Book")</f>
        <v>Red Book</v>
      </c>
      <c r="H91" t="s">
        <v>569</v>
      </c>
      <c r="I91" t="s">
        <v>570</v>
      </c>
      <c r="J91" t="str">
        <f>Table2[[#This Row],[file_name]]&amp;".mp3"</f>
        <v>6r.mid.mp3</v>
      </c>
      <c r="M91">
        <v>81</v>
      </c>
      <c r="N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--song="Bishopthorpe (C.M.)" --artist="Jeremiah Clark" --comment="" --album="Red Book" --track="6" 6r.mid.mp3</v>
      </c>
      <c r="P91" s="4" t="e">
        <f ca="1">VLOOKUP(Table2[[#This Row],[mp3_file]],Table3[#All],3,FALSE)</f>
        <v>#NAME?</v>
      </c>
    </row>
    <row r="92" spans="1:16" x14ac:dyDescent="0.3">
      <c r="A92">
        <v>151</v>
      </c>
      <c r="B92" t="s">
        <v>571</v>
      </c>
      <c r="C92" t="s">
        <v>370</v>
      </c>
      <c r="D92" s="7">
        <f>IFERROR(VLOOKUP(Table2[[#This Row],[tune_meter]],Table1[#All],3,FALSE),"NONE")</f>
        <v>24</v>
      </c>
      <c r="F92" t="s">
        <v>459</v>
      </c>
      <c r="G92" t="str">
        <f>IF(Table2[[#This Row],[tune_book]]="LFTBs","Red Book","Green Book")</f>
        <v>Red Book</v>
      </c>
      <c r="H92" t="s">
        <v>572</v>
      </c>
      <c r="I92" t="s">
        <v>573</v>
      </c>
      <c r="J92" t="str">
        <f>Table2[[#This Row],[file_name]]&amp;".mp3"</f>
        <v>151r.mid.mp3</v>
      </c>
      <c r="M92">
        <v>82</v>
      </c>
      <c r="N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--song="Blackwood (8.7.8.7.)" --artist="Miss. E.C. Shanks" --comment="" --album="Red Book" --track="151" 151r.mid.mp3</v>
      </c>
      <c r="P92" s="4" t="e">
        <f ca="1">VLOOKUP(Table2[[#This Row],[mp3_file]],Table3[#All],3,FALSE)</f>
        <v>#NAME?</v>
      </c>
    </row>
    <row r="93" spans="1:16" x14ac:dyDescent="0.3">
      <c r="A93">
        <v>375</v>
      </c>
      <c r="B93" t="s">
        <v>1622</v>
      </c>
      <c r="C93" t="s">
        <v>476</v>
      </c>
      <c r="D93" s="7">
        <f>IFERROR(VLOOKUP(Table2[[#This Row],[tune_meter]],Table1[#All],3,FALSE),"NONE")</f>
        <v>25</v>
      </c>
      <c r="F93" t="s">
        <v>324</v>
      </c>
      <c r="G93" t="str">
        <f>IF(Table2[[#This Row],[tune_book]]="LFTBs","Red Book","Green Book")</f>
        <v>Green Book</v>
      </c>
      <c r="H93" t="s">
        <v>2736</v>
      </c>
      <c r="I93" t="s">
        <v>1623</v>
      </c>
      <c r="J93" t="str">
        <f>Table2[[#This Row],[file_name]]&amp;".mp3"</f>
        <v>375g.mid.mp3</v>
      </c>
      <c r="M93">
        <v>514</v>
      </c>
      <c r="N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--song="Blaenwern (8.7.8.7.8.7.8.7.)" --artist="W. P. Rowlands" --comment="" --album="Green Book" --track="375" 375g.mid.mp3</v>
      </c>
      <c r="P93" s="4" t="e">
        <f ca="1">VLOOKUP(Table2[[#This Row],[mp3_file]],Table3[#All],3,FALSE)</f>
        <v>#NAME?</v>
      </c>
    </row>
    <row r="94" spans="1:16" x14ac:dyDescent="0.3">
      <c r="A94">
        <v>99</v>
      </c>
      <c r="B94" t="s">
        <v>574</v>
      </c>
      <c r="C94" t="s">
        <v>467</v>
      </c>
      <c r="D94" s="7">
        <f>IFERROR(VLOOKUP(Table2[[#This Row],[tune_meter]],Table1[#All],3,FALSE),"NONE")</f>
        <v>34</v>
      </c>
      <c r="F94" t="s">
        <v>459</v>
      </c>
      <c r="G94" t="str">
        <f>IF(Table2[[#This Row],[tune_book]]="LFTBs","Red Book","Green Book")</f>
        <v>Red Book</v>
      </c>
      <c r="H94" t="s">
        <v>2716</v>
      </c>
      <c r="I94" t="s">
        <v>576</v>
      </c>
      <c r="J94" t="str">
        <f>Table2[[#This Row],[file_name]]&amp;".mp3"</f>
        <v>99r.mid.mp3</v>
      </c>
      <c r="M94">
        <v>83</v>
      </c>
      <c r="N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--song="Blairgowrie (7.6.7.6.7.6.7.6.)" --artist="Dr. J. B. Dykes" --comment="" --album="Red Book" --track="99" 99r.mid.mp3</v>
      </c>
      <c r="P94" s="4" t="e">
        <f ca="1">VLOOKUP(Table2[[#This Row],[mp3_file]],Table3[#All],3,FALSE)</f>
        <v>#NAME?</v>
      </c>
    </row>
    <row r="95" spans="1:16" x14ac:dyDescent="0.3">
      <c r="A95">
        <v>129</v>
      </c>
      <c r="B95" t="s">
        <v>1433</v>
      </c>
      <c r="C95" t="s">
        <v>1434</v>
      </c>
      <c r="D95" s="7" t="str">
        <f>IFERROR(VLOOKUP(Table2[[#This Row],[tune_meter]],Table1[#All],3,FALSE),"NONE")</f>
        <v>NONE</v>
      </c>
      <c r="F95" t="s">
        <v>324</v>
      </c>
      <c r="G95" t="str">
        <f>IF(Table2[[#This Row],[tune_book]]="LFTBs","Red Book","Green Book")</f>
        <v>Green Book</v>
      </c>
      <c r="H95" t="s">
        <v>2737</v>
      </c>
      <c r="I95" t="s">
        <v>1435</v>
      </c>
      <c r="J95" t="str">
        <f>Table2[[#This Row],[file_name]]&amp;".mp3"</f>
        <v>129g.mid.mp3</v>
      </c>
      <c r="M95">
        <v>433</v>
      </c>
      <c r="N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--song="Blessed Assurance (P.M.)" --artist="Mrs. J. F. Knapp" --comment="" --album="Green Book" --track="129" 129g.mid.mp3</v>
      </c>
      <c r="P95" s="4" t="e">
        <f ca="1">VLOOKUP(Table2[[#This Row],[mp3_file]],Table3[#All],3,FALSE)</f>
        <v>#NAME?</v>
      </c>
    </row>
    <row r="96" spans="1:16" x14ac:dyDescent="0.3">
      <c r="A96">
        <v>169</v>
      </c>
      <c r="B96" t="s">
        <v>338</v>
      </c>
      <c r="C96" t="s">
        <v>339</v>
      </c>
      <c r="D96" s="7">
        <f>IFERROR(VLOOKUP(Table2[[#This Row],[tune_meter]],Table1[#All],3,FALSE),"NONE")</f>
        <v>62</v>
      </c>
      <c r="F96" t="s">
        <v>324</v>
      </c>
      <c r="G96" t="str">
        <f>IF(Table2[[#This Row],[tune_book]]="LFTBs","Red Book","Green Book")</f>
        <v>Green Book</v>
      </c>
      <c r="H96" t="s">
        <v>340</v>
      </c>
      <c r="I96" t="s">
        <v>341</v>
      </c>
      <c r="J96" t="str">
        <f>Table2[[#This Row],[file_name]]&amp;".mp3"</f>
        <v>169g.mid.mp3</v>
      </c>
      <c r="M96">
        <v>5</v>
      </c>
      <c r="N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--song="Blessed Hope (6.4.6.4.)" --artist="American" --comment="" --album="Green Book" --track="169" 169g.mid.mp3</v>
      </c>
      <c r="P96" s="4" t="e">
        <f ca="1">VLOOKUP(Table2[[#This Row],[mp3_file]],Table3[#All],3,FALSE)</f>
        <v>#NAME?</v>
      </c>
    </row>
    <row r="97" spans="1:16" x14ac:dyDescent="0.3">
      <c r="A97">
        <v>21</v>
      </c>
      <c r="B97" t="s">
        <v>577</v>
      </c>
      <c r="C97" t="s">
        <v>578</v>
      </c>
      <c r="D97" s="7">
        <f>IFERROR(VLOOKUP(Table2[[#This Row],[tune_meter]],Table1[#All],3,FALSE),"NONE")</f>
        <v>61</v>
      </c>
      <c r="F97" t="s">
        <v>459</v>
      </c>
      <c r="G97" t="str">
        <f>IF(Table2[[#This Row],[tune_book]]="LFTBs","Red Book","Green Book")</f>
        <v>Red Book</v>
      </c>
      <c r="H97" t="s">
        <v>579</v>
      </c>
      <c r="I97" t="s">
        <v>580</v>
      </c>
      <c r="J97" t="str">
        <f>Table2[[#This Row],[file_name]]&amp;".mp3"</f>
        <v>21r.mid.mp3</v>
      </c>
      <c r="M97">
        <v>84</v>
      </c>
      <c r="N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--song="Bodewan (C.M.D.)" --artist="A.G. Bagnall" --comment="" --album="Red Book" --track="21" 21r.mid.mp3</v>
      </c>
      <c r="P97" s="4" t="e">
        <f ca="1">VLOOKUP(Table2[[#This Row],[mp3_file]],Table3[#All],3,FALSE)</f>
        <v>#NAME?</v>
      </c>
    </row>
    <row r="98" spans="1:16" x14ac:dyDescent="0.3">
      <c r="A98">
        <v>532</v>
      </c>
      <c r="B98" t="s">
        <v>1630</v>
      </c>
      <c r="C98" t="s">
        <v>669</v>
      </c>
      <c r="D98" s="7">
        <f>IFERROR(VLOOKUP(Table2[[#This Row],[tune_meter]],Table1[#All],3,FALSE),"NONE")</f>
        <v>31</v>
      </c>
      <c r="F98" t="s">
        <v>324</v>
      </c>
      <c r="G98" t="str">
        <f>IF(Table2[[#This Row],[tune_book]]="LFTBs","Red Book","Green Book")</f>
        <v>Green Book</v>
      </c>
      <c r="H98" t="s">
        <v>2738</v>
      </c>
      <c r="I98" t="s">
        <v>1631</v>
      </c>
      <c r="J98" t="str">
        <f>Table2[[#This Row],[file_name]]&amp;".mp3"</f>
        <v>532g.mid.mp3</v>
      </c>
      <c r="M98">
        <v>518</v>
      </c>
      <c r="N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--song="Bow Street (11.11.11.11.)" --artist="I. E. Rummery" --comment="" --album="Green Book" --track="532" 532g.mid.mp3</v>
      </c>
      <c r="P98" s="4" t="e">
        <f ca="1">VLOOKUP(Table2[[#This Row],[mp3_file]],Table3[#All],3,FALSE)</f>
        <v>#NAME?</v>
      </c>
    </row>
    <row r="99" spans="1:16" x14ac:dyDescent="0.3">
      <c r="A99">
        <v>429</v>
      </c>
      <c r="B99" t="s">
        <v>2047</v>
      </c>
      <c r="C99" t="s">
        <v>554</v>
      </c>
      <c r="D99" s="7">
        <f>IFERROR(VLOOKUP(Table2[[#This Row],[tune_meter]],Table1[#All],3,FALSE),"NONE")</f>
        <v>26</v>
      </c>
      <c r="F99" t="s">
        <v>324</v>
      </c>
      <c r="G99" t="str">
        <f>IF(Table2[[#This Row],[tune_book]]="LFTBs","Red Book","Green Book")</f>
        <v>Green Book</v>
      </c>
      <c r="H99" t="s">
        <v>633</v>
      </c>
      <c r="I99" t="s">
        <v>2048</v>
      </c>
      <c r="J99" t="str">
        <f>Table2[[#This Row],[file_name]]&amp;".mp3"</f>
        <v>429g.mid.mp3</v>
      </c>
      <c r="M99">
        <v>695</v>
      </c>
      <c r="N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--song="Bowmanville (8.8.8.8.8.8.)" --artist="Miss La Thangue" --comment="" --album="Green Book" --track="429" 429g.mid.mp3</v>
      </c>
      <c r="P99" s="4" t="e">
        <f ca="1">VLOOKUP(Table2[[#This Row],[mp3_file]],Table3[#All],3,FALSE)</f>
        <v>#NAME?</v>
      </c>
    </row>
    <row r="100" spans="1:16" x14ac:dyDescent="0.3">
      <c r="A100">
        <v>522</v>
      </c>
      <c r="B100" t="s">
        <v>1377</v>
      </c>
      <c r="C100" t="s">
        <v>543</v>
      </c>
      <c r="D100" s="7">
        <f>IFERROR(VLOOKUP(Table2[[#This Row],[tune_meter]],Table1[#All],3,FALSE),"NONE")</f>
        <v>17</v>
      </c>
      <c r="F100" t="s">
        <v>324</v>
      </c>
      <c r="G100" t="str">
        <f>IF(Table2[[#This Row],[tune_book]]="LFTBs","Red Book","Green Book")</f>
        <v>Green Book</v>
      </c>
      <c r="H100" t="s">
        <v>1378</v>
      </c>
      <c r="I100" t="s">
        <v>1379</v>
      </c>
      <c r="J100" t="str">
        <f>Table2[[#This Row],[file_name]]&amp;".mp3"</f>
        <v>522g.mid.mp3</v>
      </c>
      <c r="K100" s="4">
        <v>1932</v>
      </c>
      <c r="M100">
        <v>408</v>
      </c>
      <c r="N1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--song="Boyle Street (11.10.11.10. Dactylic)" --artist="Mrs. E. Ellis" --comment="" --album="Green Book" --track="522" 522g.mid.mp3</v>
      </c>
      <c r="P100" s="4" t="e">
        <f ca="1">VLOOKUP(Table2[[#This Row],[mp3_file]],Table3[#All],3,FALSE)</f>
        <v>#NAME?</v>
      </c>
    </row>
    <row r="101" spans="1:16" x14ac:dyDescent="0.3">
      <c r="A101">
        <v>454</v>
      </c>
      <c r="B101" t="s">
        <v>1357</v>
      </c>
      <c r="C101" t="s">
        <v>424</v>
      </c>
      <c r="D101" s="7">
        <f>IFERROR(VLOOKUP(Table2[[#This Row],[tune_meter]],Table1[#All],3,FALSE),"NONE")</f>
        <v>45</v>
      </c>
      <c r="F101" t="s">
        <v>324</v>
      </c>
      <c r="G101" t="str">
        <f>IF(Table2[[#This Row],[tune_book]]="LFTBs","Red Book","Green Book")</f>
        <v>Green Book</v>
      </c>
      <c r="H101" t="s">
        <v>1358</v>
      </c>
      <c r="I101" t="s">
        <v>1359</v>
      </c>
      <c r="J101" t="str">
        <f>Table2[[#This Row],[file_name]]&amp;".mp3"</f>
        <v>454g.mid.mp3</v>
      </c>
      <c r="K101" s="4">
        <v>1940</v>
      </c>
      <c r="M101">
        <v>399</v>
      </c>
      <c r="N1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--song="Brackley (10.4.10.4.10.10.)" --artist="Miss M. Grugeon" --comment="" --album="Green Book" --track="454" 454g.mid.mp3</v>
      </c>
      <c r="P101" s="4" t="e">
        <f ca="1">VLOOKUP(Table2[[#This Row],[mp3_file]],Table3[#All],3,FALSE)</f>
        <v>#NAME?</v>
      </c>
    </row>
    <row r="102" spans="1:16" x14ac:dyDescent="0.3">
      <c r="A102">
        <v>248</v>
      </c>
      <c r="B102" t="s">
        <v>581</v>
      </c>
      <c r="C102" t="s">
        <v>582</v>
      </c>
      <c r="D102" s="7">
        <f>IFERROR(VLOOKUP(Table2[[#This Row],[tune_meter]],Table1[#All],3,FALSE),"NONE")</f>
        <v>21</v>
      </c>
      <c r="F102" t="s">
        <v>459</v>
      </c>
      <c r="G102" t="str">
        <f>IF(Table2[[#This Row],[tune_book]]="LFTBs","Red Book","Green Book")</f>
        <v>Red Book</v>
      </c>
      <c r="H102" t="s">
        <v>2758</v>
      </c>
      <c r="I102" t="s">
        <v>583</v>
      </c>
      <c r="J102" t="str">
        <f>Table2[[#This Row],[file_name]]&amp;".mp3"</f>
        <v>248r.mid.mp3</v>
      </c>
      <c r="K102" s="4">
        <v>1963</v>
      </c>
      <c r="M102">
        <v>85</v>
      </c>
      <c r="N1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--song="Bradford (10.10.10.10.)" --artist="Michael Lewis" --comment="" --album="Red Book" --track="248" 248r.mid.mp3</v>
      </c>
      <c r="P102" s="4" t="e">
        <f ca="1">VLOOKUP(Table2[[#This Row],[mp3_file]],Table3[#All],3,FALSE)</f>
        <v>#NAME?</v>
      </c>
    </row>
    <row r="103" spans="1:16" x14ac:dyDescent="0.3">
      <c r="A103">
        <v>265</v>
      </c>
      <c r="B103" t="s">
        <v>1292</v>
      </c>
      <c r="C103" t="s">
        <v>786</v>
      </c>
      <c r="D103" s="7">
        <f>IFERROR(VLOOKUP(Table2[[#This Row],[tune_meter]],Table1[#All],3,FALSE),"NONE")</f>
        <v>29</v>
      </c>
      <c r="F103" t="s">
        <v>324</v>
      </c>
      <c r="G103" t="str">
        <f>IF(Table2[[#This Row],[tune_book]]="LFTBs","Red Book","Green Book")</f>
        <v>Green Book</v>
      </c>
      <c r="H103" t="s">
        <v>333</v>
      </c>
      <c r="I103" t="s">
        <v>1293</v>
      </c>
      <c r="J103" t="str">
        <f>Table2[[#This Row],[file_name]]&amp;".mp3"</f>
        <v>265g.mid.mp3</v>
      </c>
      <c r="M103">
        <v>371</v>
      </c>
      <c r="N1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--song="Brandenburg (7.7.7.7.)" --artist="German Melody" --comment="" --album="Green Book" --track="265" 265g.mid.mp3</v>
      </c>
      <c r="P103" s="4" t="e">
        <f ca="1">VLOOKUP(Table2[[#This Row],[mp3_file]],Table3[#All],3,FALSE)</f>
        <v>#NAME?</v>
      </c>
    </row>
    <row r="104" spans="1:16" x14ac:dyDescent="0.3">
      <c r="A104">
        <v>289</v>
      </c>
      <c r="B104" t="s">
        <v>1551</v>
      </c>
      <c r="C104" t="s">
        <v>523</v>
      </c>
      <c r="D104" s="7">
        <f>IFERROR(VLOOKUP(Table2[[#This Row],[tune_meter]],Table1[#All],3,FALSE),"NONE")</f>
        <v>53</v>
      </c>
      <c r="F104" t="s">
        <v>324</v>
      </c>
      <c r="G104" t="str">
        <f>IF(Table2[[#This Row],[tune_book]]="LFTBs","Red Book","Green Book")</f>
        <v>Green Book</v>
      </c>
      <c r="H104" t="s">
        <v>1552</v>
      </c>
      <c r="I104" t="s">
        <v>1553</v>
      </c>
      <c r="J104" t="str">
        <f>Table2[[#This Row],[file_name]]&amp;".mp3"</f>
        <v>289g.mid.mp3</v>
      </c>
      <c r="M104">
        <v>483</v>
      </c>
      <c r="N1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--song="Bredbury (8.5.8.3.)" --artist="J. Page" --comment="" --album="Green Book" --track="289" 289g.mid.mp3</v>
      </c>
      <c r="P104" s="4" t="e">
        <f ca="1">VLOOKUP(Table2[[#This Row],[mp3_file]],Table3[#All],3,FALSE)</f>
        <v>#NAME?</v>
      </c>
    </row>
    <row r="105" spans="1:16" x14ac:dyDescent="0.3">
      <c r="A105">
        <v>318</v>
      </c>
      <c r="B105" t="s">
        <v>1577</v>
      </c>
      <c r="C105" t="s">
        <v>370</v>
      </c>
      <c r="D105" s="7">
        <f>IFERROR(VLOOKUP(Table2[[#This Row],[tune_meter]],Table1[#All],3,FALSE),"NONE")</f>
        <v>24</v>
      </c>
      <c r="F105" t="s">
        <v>324</v>
      </c>
      <c r="G105" t="str">
        <f>IF(Table2[[#This Row],[tune_book]]="LFTBs","Red Book","Green Book")</f>
        <v>Green Book</v>
      </c>
      <c r="H105" t="s">
        <v>1578</v>
      </c>
      <c r="I105" t="s">
        <v>1579</v>
      </c>
      <c r="J105" t="str">
        <f>Table2[[#This Row],[file_name]]&amp;".mp3"</f>
        <v>318g.mid.mp3</v>
      </c>
      <c r="K105" s="4">
        <v>1945</v>
      </c>
      <c r="M105">
        <v>494</v>
      </c>
      <c r="N1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--song="Brightness (8.7.8.7.)" --artist="Mrs. W. Jones" --comment="" --album="Green Book" --track="318" 318g.mid.mp3</v>
      </c>
      <c r="P105" s="4" t="e">
        <f ca="1">VLOOKUP(Table2[[#This Row],[mp3_file]],Table3[#All],3,FALSE)</f>
        <v>#NAME?</v>
      </c>
    </row>
    <row r="106" spans="1:16" x14ac:dyDescent="0.3">
      <c r="A106">
        <v>354</v>
      </c>
      <c r="B106" t="s">
        <v>1602</v>
      </c>
      <c r="C106" t="s">
        <v>652</v>
      </c>
      <c r="D106" s="7">
        <f>IFERROR(VLOOKUP(Table2[[#This Row],[tune_meter]],Table1[#All],3,FALSE),"NONE")</f>
        <v>94</v>
      </c>
      <c r="F106" t="s">
        <v>324</v>
      </c>
      <c r="G106" t="str">
        <f>IF(Table2[[#This Row],[tune_book]]="LFTBs","Red Book","Green Book")</f>
        <v>Green Book</v>
      </c>
      <c r="H106" t="s">
        <v>1603</v>
      </c>
      <c r="I106" t="s">
        <v>1604</v>
      </c>
      <c r="J106" t="str">
        <f>Table2[[#This Row],[file_name]]&amp;".mp3"</f>
        <v>354g.mid.mp3</v>
      </c>
      <c r="K106" s="4">
        <v>1932</v>
      </c>
      <c r="M106">
        <v>505</v>
      </c>
      <c r="N1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--song="Brisbane (8.7.8.7. Iambic)" --artist="T. Walford Rofe" --comment="" --album="Green Book" --track="354" 354g.mid.mp3</v>
      </c>
      <c r="P106" s="4" t="e">
        <f ca="1">VLOOKUP(Table2[[#This Row],[mp3_file]],Table3[#All],3,FALSE)</f>
        <v>#NAME?</v>
      </c>
    </row>
    <row r="107" spans="1:16" x14ac:dyDescent="0.3">
      <c r="A107">
        <v>22</v>
      </c>
      <c r="B107" t="s">
        <v>584</v>
      </c>
      <c r="C107" t="s">
        <v>578</v>
      </c>
      <c r="D107" s="7">
        <f>IFERROR(VLOOKUP(Table2[[#This Row],[tune_meter]],Table1[#All],3,FALSE),"NONE")</f>
        <v>61</v>
      </c>
      <c r="F107" t="s">
        <v>459</v>
      </c>
      <c r="G107" t="str">
        <f>IF(Table2[[#This Row],[tune_book]]="LFTBs","Red Book","Green Book")</f>
        <v>Red Book</v>
      </c>
      <c r="H107" t="s">
        <v>585</v>
      </c>
      <c r="I107" t="s">
        <v>586</v>
      </c>
      <c r="J107" t="str">
        <f>Table2[[#This Row],[file_name]]&amp;".mp3"</f>
        <v>22r.mid.mp3</v>
      </c>
      <c r="M107">
        <v>86</v>
      </c>
      <c r="N1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--song="Broadmead (C.M.D.)" --artist="Eric Burgess" --comment="" --album="Red Book" --track="22" 22r.mid.mp3</v>
      </c>
      <c r="P107" s="4" t="e">
        <f ca="1">VLOOKUP(Table2[[#This Row],[mp3_file]],Table3[#All],3,FALSE)</f>
        <v>#NAME?</v>
      </c>
    </row>
    <row r="108" spans="1:16" x14ac:dyDescent="0.3">
      <c r="A108">
        <v>294</v>
      </c>
      <c r="B108" t="s">
        <v>587</v>
      </c>
      <c r="C108" t="s">
        <v>588</v>
      </c>
      <c r="D108" s="7">
        <f>IFERROR(VLOOKUP(Table2[[#This Row],[tune_meter]],Table1[#All],3,FALSE),"NONE")</f>
        <v>85</v>
      </c>
      <c r="F108" t="s">
        <v>459</v>
      </c>
      <c r="G108" t="str">
        <f>IF(Table2[[#This Row],[tune_book]]="LFTBs","Red Book","Green Book")</f>
        <v>Red Book</v>
      </c>
      <c r="H108" t="s">
        <v>2739</v>
      </c>
      <c r="I108" t="s">
        <v>589</v>
      </c>
      <c r="J108" t="str">
        <f>Table2[[#This Row],[file_name]]&amp;".mp3"</f>
        <v>294r.mid.mp3</v>
      </c>
      <c r="M108">
        <v>87</v>
      </c>
      <c r="N1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--song="Broadwaters (14.14.14.14.)" --artist="F. H. Parkes" --comment="" --album="Red Book" --track="294" 294r.mid.mp3</v>
      </c>
      <c r="P108" s="4" t="e">
        <f ca="1">VLOOKUP(Table2[[#This Row],[mp3_file]],Table3[#All],3,FALSE)</f>
        <v>#NAME?</v>
      </c>
    </row>
    <row r="109" spans="1:16" x14ac:dyDescent="0.3">
      <c r="A109">
        <v>94</v>
      </c>
      <c r="B109" t="s">
        <v>1224</v>
      </c>
      <c r="C109" t="s">
        <v>516</v>
      </c>
      <c r="D109" s="7">
        <f>IFERROR(VLOOKUP(Table2[[#This Row],[tune_meter]],Table1[#All],3,FALSE),"NONE")</f>
        <v>16</v>
      </c>
      <c r="F109" t="s">
        <v>324</v>
      </c>
      <c r="G109" t="str">
        <f>IF(Table2[[#This Row],[tune_book]]="LFTBs","Red Book","Green Book")</f>
        <v>Green Book</v>
      </c>
      <c r="H109" t="s">
        <v>2740</v>
      </c>
      <c r="I109" t="s">
        <v>1225</v>
      </c>
      <c r="J109" t="str">
        <f>Table2[[#This Row],[file_name]]&amp;".mp3"</f>
        <v>94g.mid.mp3</v>
      </c>
      <c r="M109">
        <v>344</v>
      </c>
      <c r="N1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--song="Brookfield (L.M.)" --artist="T. B. Southgate" --comment="" --album="Green Book" --track="94" 94g.mid.mp3</v>
      </c>
      <c r="P109" s="4" t="e">
        <f ca="1">VLOOKUP(Table2[[#This Row],[mp3_file]],Table3[#All],3,FALSE)</f>
        <v>#NAME?</v>
      </c>
    </row>
    <row r="110" spans="1:16" x14ac:dyDescent="0.3">
      <c r="A110">
        <v>279</v>
      </c>
      <c r="B110" t="s">
        <v>590</v>
      </c>
      <c r="C110" t="s">
        <v>509</v>
      </c>
      <c r="D110" s="7">
        <f>IFERROR(VLOOKUP(Table2[[#This Row],[tune_meter]],Table1[#All],3,FALSE),"NONE")</f>
        <v>64</v>
      </c>
      <c r="F110" t="s">
        <v>459</v>
      </c>
      <c r="G110" t="str">
        <f>IF(Table2[[#This Row],[tune_book]]="LFTBs","Red Book","Green Book")</f>
        <v>Red Book</v>
      </c>
      <c r="H110" t="s">
        <v>367</v>
      </c>
      <c r="I110" t="s">
        <v>591</v>
      </c>
      <c r="J110" t="str">
        <f>Table2[[#This Row],[file_name]]&amp;".mp3"</f>
        <v>279r.mid.mp3</v>
      </c>
      <c r="M110">
        <v>88</v>
      </c>
      <c r="N1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--song="Brooksby (11.11.11.11. Trochaic)" --artist="Gordon Millar" --comment="" --album="Red Book" --track="279" 279r.mid.mp3</v>
      </c>
      <c r="P110" s="4" t="e">
        <f ca="1">VLOOKUP(Table2[[#This Row],[mp3_file]],Table3[#All],3,FALSE)</f>
        <v>#NAME?</v>
      </c>
    </row>
    <row r="111" spans="1:16" x14ac:dyDescent="0.3">
      <c r="A111">
        <v>204</v>
      </c>
      <c r="B111" t="s">
        <v>592</v>
      </c>
      <c r="C111" t="s">
        <v>383</v>
      </c>
      <c r="D111" s="7">
        <f>IFERROR(VLOOKUP(Table2[[#This Row],[tune_meter]],Table1[#All],3,FALSE),"NONE")</f>
        <v>75</v>
      </c>
      <c r="F111" t="s">
        <v>459</v>
      </c>
      <c r="G111" t="str">
        <f>IF(Table2[[#This Row],[tune_book]]="LFTBs","Red Book","Green Book")</f>
        <v>Red Book</v>
      </c>
      <c r="H111" t="s">
        <v>367</v>
      </c>
      <c r="I111" t="s">
        <v>593</v>
      </c>
      <c r="J111" t="str">
        <f>Table2[[#This Row],[file_name]]&amp;".mp3"</f>
        <v>204r.mid.mp3</v>
      </c>
      <c r="M111">
        <v>89</v>
      </c>
      <c r="N1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--song="Brunton Street (8.8.8.8.4.4.6.)" --artist="Gordon Millar" --comment="" --album="Red Book" --track="204" 204r.mid.mp3</v>
      </c>
      <c r="P111" s="4" t="e">
        <f ca="1">VLOOKUP(Table2[[#This Row],[mp3_file]],Table3[#All],3,FALSE)</f>
        <v>#NAME?</v>
      </c>
    </row>
    <row r="112" spans="1:16" x14ac:dyDescent="0.3">
      <c r="A112">
        <v>266</v>
      </c>
      <c r="B112" t="s">
        <v>1294</v>
      </c>
      <c r="C112" t="s">
        <v>786</v>
      </c>
      <c r="D112" s="7">
        <f>IFERROR(VLOOKUP(Table2[[#This Row],[tune_meter]],Table1[#All],3,FALSE),"NONE")</f>
        <v>29</v>
      </c>
      <c r="F112" t="s">
        <v>324</v>
      </c>
      <c r="G112" t="str">
        <f>IF(Table2[[#This Row],[tune_book]]="LFTBs","Red Book","Green Book")</f>
        <v>Green Book</v>
      </c>
      <c r="H112" t="s">
        <v>2741</v>
      </c>
      <c r="I112" t="s">
        <v>1295</v>
      </c>
      <c r="J112" t="str">
        <f>Table2[[#This Row],[file_name]]&amp;".mp3"</f>
        <v>266g.mid.mp3</v>
      </c>
      <c r="M112">
        <v>372</v>
      </c>
      <c r="N1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--song="Buckland (7.7.7.7.)" --artist="Dr. L. G. Hayne" --comment="" --album="Green Book" --track="266" 266g.mid.mp3</v>
      </c>
      <c r="P112" s="4" t="e">
        <f ca="1">VLOOKUP(Table2[[#This Row],[mp3_file]],Table3[#All],3,FALSE)</f>
        <v>#NAME?</v>
      </c>
    </row>
    <row r="113" spans="1:16" x14ac:dyDescent="0.3">
      <c r="A113">
        <v>192</v>
      </c>
      <c r="B113" t="s">
        <v>594</v>
      </c>
      <c r="C113" t="s">
        <v>595</v>
      </c>
      <c r="D113" s="7">
        <f>IFERROR(VLOOKUP(Table2[[#This Row],[tune_meter]],Table1[#All],3,FALSE),"NONE")</f>
        <v>68</v>
      </c>
      <c r="F113" t="s">
        <v>459</v>
      </c>
      <c r="G113" t="str">
        <f>IF(Table2[[#This Row],[tune_book]]="LFTBs","Red Book","Green Book")</f>
        <v>Red Book</v>
      </c>
      <c r="H113" t="s">
        <v>524</v>
      </c>
      <c r="I113" t="s">
        <v>596</v>
      </c>
      <c r="J113" t="str">
        <f>Table2[[#This Row],[file_name]]&amp;".mp3"</f>
        <v>192r.mid.mp3</v>
      </c>
      <c r="M113">
        <v>90</v>
      </c>
      <c r="N1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--song="Bude (8.7.8.7.8.7.8.7.7.7.)" --artist="K.D. Clarke" --comment="" --album="Red Book" --track="192" 192r.mid.mp3</v>
      </c>
      <c r="P113" s="4" t="e">
        <f ca="1">VLOOKUP(Table2[[#This Row],[mp3_file]],Table3[#All],3,FALSE)</f>
        <v>#NAME?</v>
      </c>
    </row>
    <row r="114" spans="1:16" x14ac:dyDescent="0.3">
      <c r="A114">
        <v>68</v>
      </c>
      <c r="B114" t="s">
        <v>597</v>
      </c>
      <c r="C114" t="s">
        <v>446</v>
      </c>
      <c r="D114" s="7">
        <f>IFERROR(VLOOKUP(Table2[[#This Row],[tune_meter]],Table1[#All],3,FALSE),"NONE")</f>
        <v>44</v>
      </c>
      <c r="F114" t="s">
        <v>459</v>
      </c>
      <c r="G114" t="str">
        <f>IF(Table2[[#This Row],[tune_book]]="LFTBs","Red Book","Green Book")</f>
        <v>Red Book</v>
      </c>
      <c r="H114" t="s">
        <v>598</v>
      </c>
      <c r="I114" t="s">
        <v>599</v>
      </c>
      <c r="J114" t="str">
        <f>Table2[[#This Row],[file_name]]&amp;".mp3"</f>
        <v>68r.mid.mp3</v>
      </c>
      <c r="M114">
        <v>91</v>
      </c>
      <c r="N1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--song="Builth (6.4.6.4.6.6.6.4.)" --artist="D. Jenkins" --comment="" --album="Red Book" --track="68" 68r.mid.mp3</v>
      </c>
      <c r="P114" s="4" t="e">
        <f ca="1">VLOOKUP(Table2[[#This Row],[mp3_file]],Table3[#All],3,FALSE)</f>
        <v>#NAME?</v>
      </c>
    </row>
    <row r="115" spans="1:16" x14ac:dyDescent="0.3">
      <c r="A115">
        <v>290</v>
      </c>
      <c r="B115" t="s">
        <v>1554</v>
      </c>
      <c r="C115" t="s">
        <v>523</v>
      </c>
      <c r="D115" s="7">
        <f>IFERROR(VLOOKUP(Table2[[#This Row],[tune_meter]],Table1[#All],3,FALSE),"NONE")</f>
        <v>53</v>
      </c>
      <c r="F115" t="s">
        <v>324</v>
      </c>
      <c r="G115" t="str">
        <f>IF(Table2[[#This Row],[tune_book]]="LFTBs","Red Book","Green Book")</f>
        <v>Green Book</v>
      </c>
      <c r="H115" t="s">
        <v>1555</v>
      </c>
      <c r="I115" t="s">
        <v>1556</v>
      </c>
      <c r="J115" t="str">
        <f>Table2[[#This Row],[file_name]]&amp;".mp3"</f>
        <v>290g.mid.mp3</v>
      </c>
      <c r="M115">
        <v>484</v>
      </c>
      <c r="N1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--song="Bullinger (8.5.8.3.)" --artist="Dr. E. W. Bullinger" --comment="" --album="Green Book" --track="290" 290g.mid.mp3</v>
      </c>
      <c r="P115" s="4" t="e">
        <f ca="1">VLOOKUP(Table2[[#This Row],[mp3_file]],Table3[#All],3,FALSE)</f>
        <v>#NAME?</v>
      </c>
    </row>
    <row r="116" spans="1:16" x14ac:dyDescent="0.3">
      <c r="A116">
        <v>533</v>
      </c>
      <c r="B116" t="s">
        <v>1383</v>
      </c>
      <c r="C116" t="s">
        <v>669</v>
      </c>
      <c r="D116" s="7">
        <f>IFERROR(VLOOKUP(Table2[[#This Row],[tune_meter]],Table1[#All],3,FALSE),"NONE")</f>
        <v>31</v>
      </c>
      <c r="F116" t="s">
        <v>324</v>
      </c>
      <c r="G116" t="str">
        <f>IF(Table2[[#This Row],[tune_book]]="LFTBs","Red Book","Green Book")</f>
        <v>Green Book</v>
      </c>
      <c r="H116" t="s">
        <v>2724</v>
      </c>
      <c r="I116" t="s">
        <v>1384</v>
      </c>
      <c r="J116" t="str">
        <f>Table2[[#This Row],[file_name]]&amp;".mp3"</f>
        <v>533g.mid.mp3</v>
      </c>
      <c r="M116">
        <v>410</v>
      </c>
      <c r="N1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--song="Bury Thy Sorrow (11.11.11.11.)" --artist="P. P. Bliss" --comment="" --album="Green Book" --track="533" 533g.mid.mp3</v>
      </c>
      <c r="P116" s="4" t="e">
        <f ca="1">VLOOKUP(Table2[[#This Row],[mp3_file]],Table3[#All],3,FALSE)</f>
        <v>#NAME?</v>
      </c>
    </row>
    <row r="117" spans="1:16" x14ac:dyDescent="0.3">
      <c r="A117">
        <v>172</v>
      </c>
      <c r="B117" t="s">
        <v>600</v>
      </c>
      <c r="C117" t="s">
        <v>470</v>
      </c>
      <c r="D117" s="7">
        <f>IFERROR(VLOOKUP(Table2[[#This Row],[tune_meter]],Table1[#All],3,FALSE),"NONE")</f>
        <v>50</v>
      </c>
      <c r="F117" t="s">
        <v>459</v>
      </c>
      <c r="G117" t="str">
        <f>IF(Table2[[#This Row],[tune_book]]="LFTBs","Red Book","Green Book")</f>
        <v>Red Book</v>
      </c>
      <c r="H117" t="s">
        <v>601</v>
      </c>
      <c r="I117" t="s">
        <v>602</v>
      </c>
      <c r="J117" t="str">
        <f>Table2[[#This Row],[file_name]]&amp;".mp3"</f>
        <v>172r.mid.mp3</v>
      </c>
      <c r="L117" t="s">
        <v>603</v>
      </c>
      <c r="M117">
        <v>92</v>
      </c>
      <c r="N1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--song="Caersalem (8.7.8.7.4.7.)" --artist="Robert Edwards" --comment="Repeat 5th line of each verse 3 times" --album="Red Book" --track="172" 172r.mid.mp3</v>
      </c>
      <c r="P117" s="4" t="e">
        <f ca="1">VLOOKUP(Table2[[#This Row],[mp3_file]],Table3[#All],3,FALSE)</f>
        <v>#NAME?</v>
      </c>
    </row>
    <row r="118" spans="1:16" x14ac:dyDescent="0.3">
      <c r="A118">
        <v>291</v>
      </c>
      <c r="B118" t="s">
        <v>1941</v>
      </c>
      <c r="C118" t="s">
        <v>523</v>
      </c>
      <c r="D118" s="7">
        <f>IFERROR(VLOOKUP(Table2[[#This Row],[tune_meter]],Table1[#All],3,FALSE),"NONE")</f>
        <v>53</v>
      </c>
      <c r="F118" t="s">
        <v>324</v>
      </c>
      <c r="G118" t="str">
        <f>IF(Table2[[#This Row],[tune_book]]="LFTBs","Red Book","Green Book")</f>
        <v>Green Book</v>
      </c>
      <c r="H118" t="s">
        <v>1942</v>
      </c>
      <c r="I118" t="s">
        <v>1943</v>
      </c>
      <c r="J118" t="str">
        <f>Table2[[#This Row],[file_name]]&amp;".mp3"</f>
        <v>291g.mid.mp3</v>
      </c>
      <c r="M118">
        <v>648</v>
      </c>
      <c r="N1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--song="Cairnbrook (8.5.8.3.)" --artist="Dr. E. Prout" --comment="" --album="Green Book" --track="291" 291g.mid.mp3</v>
      </c>
      <c r="P118" s="4" t="e">
        <f ca="1">VLOOKUP(Table2[[#This Row],[mp3_file]],Table3[#All],3,FALSE)</f>
        <v>#NAME?</v>
      </c>
    </row>
    <row r="119" spans="1:16" x14ac:dyDescent="0.3">
      <c r="A119">
        <v>376</v>
      </c>
      <c r="B119" t="s">
        <v>1988</v>
      </c>
      <c r="C119" t="s">
        <v>476</v>
      </c>
      <c r="D119" s="7">
        <f>IFERROR(VLOOKUP(Table2[[#This Row],[tune_meter]],Table1[#All],3,FALSE),"NONE")</f>
        <v>25</v>
      </c>
      <c r="F119" t="s">
        <v>324</v>
      </c>
      <c r="G119" t="str">
        <f>IF(Table2[[#This Row],[tune_book]]="LFTBs","Red Book","Green Book")</f>
        <v>Green Book</v>
      </c>
      <c r="H119" t="s">
        <v>348</v>
      </c>
      <c r="I119" t="s">
        <v>1989</v>
      </c>
      <c r="J119" t="str">
        <f>Table2[[#This Row],[file_name]]&amp;".mp3"</f>
        <v>376g.mid.mp3</v>
      </c>
      <c r="M119">
        <v>668</v>
      </c>
      <c r="N1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--song="Call Them In (8.7.8.7.8.7.8.7.)" --artist="Ira D. Sankey" --comment="" --album="Green Book" --track="376" 376g.mid.mp3</v>
      </c>
      <c r="P119" s="4" t="e">
        <f ca="1">VLOOKUP(Table2[[#This Row],[mp3_file]],Table3[#All],3,FALSE)</f>
        <v>#NAME?</v>
      </c>
    </row>
    <row r="120" spans="1:16" x14ac:dyDescent="0.3">
      <c r="A120">
        <v>170</v>
      </c>
      <c r="B120" t="s">
        <v>604</v>
      </c>
      <c r="C120" t="s">
        <v>403</v>
      </c>
      <c r="D120" s="7">
        <f>IFERROR(VLOOKUP(Table2[[#This Row],[tune_meter]],Table1[#All],3,FALSE),"NONE")</f>
        <v>76</v>
      </c>
      <c r="F120" t="s">
        <v>459</v>
      </c>
      <c r="G120" t="str">
        <f>IF(Table2[[#This Row],[tune_book]]="LFTBs","Red Book","Green Book")</f>
        <v>Red Book</v>
      </c>
      <c r="H120" t="s">
        <v>670</v>
      </c>
      <c r="I120" t="s">
        <v>605</v>
      </c>
      <c r="J120" t="str">
        <f>Table2[[#This Row],[file_name]]&amp;".mp3"</f>
        <v>170r.mid.mp3</v>
      </c>
      <c r="K120" s="4">
        <v>1954</v>
      </c>
      <c r="M120">
        <v>93</v>
      </c>
      <c r="N1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--song="Callum (8.7.8.7.4.4.7. Iambic)" --artist="John F. Harvey" --comment="" --album="Red Book" --track="170" 170r.mid.mp3</v>
      </c>
      <c r="P120" s="4" t="e">
        <f ca="1">VLOOKUP(Table2[[#This Row],[mp3_file]],Table3[#All],3,FALSE)</f>
        <v>#NAME?</v>
      </c>
    </row>
    <row r="121" spans="1:16" x14ac:dyDescent="0.3">
      <c r="A121">
        <v>132</v>
      </c>
      <c r="B121" t="s">
        <v>2705</v>
      </c>
      <c r="C121" t="s">
        <v>623</v>
      </c>
      <c r="D121" s="7">
        <f>IFERROR(VLOOKUP(Table2[[#This Row],[tune_meter]],Table1[#All],3,FALSE),"NONE")</f>
        <v>22</v>
      </c>
      <c r="F121" t="s">
        <v>324</v>
      </c>
      <c r="G121" t="str">
        <f>IF(Table2[[#This Row],[tune_book]]="LFTBs","Red Book","Green Book")</f>
        <v>Green Book</v>
      </c>
      <c r="H121" t="s">
        <v>1695</v>
      </c>
      <c r="I121" t="s">
        <v>1696</v>
      </c>
      <c r="J121" t="str">
        <f>Table2[[#This Row],[file_name]]&amp;".mp3"</f>
        <v>132g.mid.mp3</v>
      </c>
      <c r="M121">
        <v>546</v>
      </c>
      <c r="N1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--song="Cambridge (Harrison) (S.M.)" --artist="R. Harrison" --comment="" --album="Green Book" --track="132" 132g.mid.mp3</v>
      </c>
      <c r="P121" s="4" t="e">
        <f ca="1">VLOOKUP(Table2[[#This Row],[mp3_file]],Table3[#All],3,FALSE)</f>
        <v>#NAME?</v>
      </c>
    </row>
    <row r="122" spans="1:16" x14ac:dyDescent="0.3">
      <c r="A122">
        <v>222</v>
      </c>
      <c r="B122" t="s">
        <v>606</v>
      </c>
      <c r="C122" t="s">
        <v>492</v>
      </c>
      <c r="D122" s="7">
        <f>IFERROR(VLOOKUP(Table2[[#This Row],[tune_meter]],Table1[#All],3,FALSE),"NONE")</f>
        <v>35</v>
      </c>
      <c r="F122" t="s">
        <v>459</v>
      </c>
      <c r="G122" t="str">
        <f>IF(Table2[[#This Row],[tune_book]]="LFTBs","Red Book","Green Book")</f>
        <v>Red Book</v>
      </c>
      <c r="H122" t="s">
        <v>2706</v>
      </c>
      <c r="I122" t="s">
        <v>607</v>
      </c>
      <c r="J122" t="str">
        <f>Table2[[#This Row],[file_name]]&amp;".mp3"</f>
        <v>222r.mid.mp3</v>
      </c>
      <c r="M122">
        <v>94</v>
      </c>
      <c r="N1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--song="Camlet (9.8.9.8.)" --artist="R. A. Evershead" --comment="" --album="Red Book" --track="222" 222r.mid.mp3</v>
      </c>
      <c r="P122" s="4" t="e">
        <f ca="1">VLOOKUP(Table2[[#This Row],[mp3_file]],Table3[#All],3,FALSE)</f>
        <v>#NAME?</v>
      </c>
    </row>
    <row r="123" spans="1:16" x14ac:dyDescent="0.3">
      <c r="A123">
        <v>23</v>
      </c>
      <c r="B123" t="s">
        <v>608</v>
      </c>
      <c r="C123" t="s">
        <v>578</v>
      </c>
      <c r="D123" s="7">
        <f>IFERROR(VLOOKUP(Table2[[#This Row],[tune_meter]],Table1[#All],3,FALSE),"NONE")</f>
        <v>61</v>
      </c>
      <c r="F123" t="s">
        <v>459</v>
      </c>
      <c r="G123" t="str">
        <f>IF(Table2[[#This Row],[tune_book]]="LFTBs","Red Book","Green Book")</f>
        <v>Red Book</v>
      </c>
      <c r="H123" t="s">
        <v>2707</v>
      </c>
      <c r="I123" t="s">
        <v>609</v>
      </c>
      <c r="J123" t="str">
        <f>Table2[[#This Row],[file_name]]&amp;".mp3"</f>
        <v>23r.mid.mp3</v>
      </c>
      <c r="M123">
        <v>95</v>
      </c>
      <c r="N1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--song="Cana (C.M.D.)" --artist="L. O. Emerson" --comment="" --album="Red Book" --track="23" 23r.mid.mp3</v>
      </c>
      <c r="P123" s="4" t="e">
        <f ca="1">VLOOKUP(Table2[[#This Row],[mp3_file]],Table3[#All],3,FALSE)</f>
        <v>#NAME?</v>
      </c>
    </row>
    <row r="124" spans="1:16" x14ac:dyDescent="0.3">
      <c r="A124">
        <v>95</v>
      </c>
      <c r="B124" t="s">
        <v>1226</v>
      </c>
      <c r="C124" t="s">
        <v>516</v>
      </c>
      <c r="D124" s="7">
        <f>IFERROR(VLOOKUP(Table2[[#This Row],[tune_meter]],Table1[#All],3,FALSE),"NONE")</f>
        <v>16</v>
      </c>
      <c r="F124" t="s">
        <v>324</v>
      </c>
      <c r="G124" t="str">
        <f>IF(Table2[[#This Row],[tune_book]]="LFTBs","Red Book","Green Book")</f>
        <v>Green Book</v>
      </c>
      <c r="H124" t="s">
        <v>1227</v>
      </c>
      <c r="I124" t="s">
        <v>1228</v>
      </c>
      <c r="J124" t="str">
        <f>Table2[[#This Row],[file_name]]&amp;".mp3"</f>
        <v>95g.mid.mp3</v>
      </c>
      <c r="M124">
        <v>345</v>
      </c>
      <c r="N1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--song="Carey's (L.M.)" --artist="Henry Carey" --comment="" --album="Green Book" --track="95" 95g.mid.mp3</v>
      </c>
      <c r="P124" s="4" t="e">
        <f ca="1">VLOOKUP(Table2[[#This Row],[mp3_file]],Table3[#All],3,FALSE)</f>
        <v>#NAME?</v>
      </c>
    </row>
    <row r="125" spans="1:16" x14ac:dyDescent="0.3">
      <c r="A125">
        <v>133</v>
      </c>
      <c r="B125" t="s">
        <v>1697</v>
      </c>
      <c r="C125" t="s">
        <v>623</v>
      </c>
      <c r="D125" s="7">
        <f>IFERROR(VLOOKUP(Table2[[#This Row],[tune_meter]],Table1[#All],3,FALSE),"NONE")</f>
        <v>22</v>
      </c>
      <c r="F125" t="s">
        <v>324</v>
      </c>
      <c r="G125" t="str">
        <f>IF(Table2[[#This Row],[tune_book]]="LFTBs","Red Book","Green Book")</f>
        <v>Green Book</v>
      </c>
      <c r="H125" t="s">
        <v>1698</v>
      </c>
      <c r="I125" t="s">
        <v>1699</v>
      </c>
      <c r="J125" t="str">
        <f>Table2[[#This Row],[file_name]]&amp;".mp3"</f>
        <v>133g.mid.mp3</v>
      </c>
      <c r="M125">
        <v>547</v>
      </c>
      <c r="N1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--song="Carlisle (S.M.)" --artist="C. Lockhart" --comment="" --album="Green Book" --track="133" 133g.mid.mp3</v>
      </c>
      <c r="P125" s="4" t="e">
        <f ca="1">VLOOKUP(Table2[[#This Row],[mp3_file]],Table3[#All],3,FALSE)</f>
        <v>#NAME?</v>
      </c>
    </row>
    <row r="126" spans="1:16" x14ac:dyDescent="0.3">
      <c r="A126">
        <v>134</v>
      </c>
      <c r="B126" t="s">
        <v>610</v>
      </c>
      <c r="C126" t="s">
        <v>611</v>
      </c>
      <c r="D126" s="7">
        <f>IFERROR(VLOOKUP(Table2[[#This Row],[tune_meter]],Table1[#All],3,FALSE),"NONE")</f>
        <v>72</v>
      </c>
      <c r="F126" t="s">
        <v>459</v>
      </c>
      <c r="G126" t="str">
        <f>IF(Table2[[#This Row],[tune_book]]="LFTBs","Red Book","Green Book")</f>
        <v>Red Book</v>
      </c>
      <c r="H126" t="s">
        <v>367</v>
      </c>
      <c r="I126" t="s">
        <v>612</v>
      </c>
      <c r="J126" t="str">
        <f>Table2[[#This Row],[file_name]]&amp;".mp3"</f>
        <v>134r.mid.mp3</v>
      </c>
      <c r="M126">
        <v>96</v>
      </c>
      <c r="N1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--song="Cathcart (8.6.8.4.)" --artist="Gordon Millar" --comment="" --album="Red Book" --track="134" 134r.mid.mp3</v>
      </c>
      <c r="P126" s="4" t="e">
        <f ca="1">VLOOKUP(Table2[[#This Row],[mp3_file]],Table3[#All],3,FALSE)</f>
        <v>#NAME?</v>
      </c>
    </row>
    <row r="127" spans="1:16" x14ac:dyDescent="0.3">
      <c r="A127">
        <v>142</v>
      </c>
      <c r="B127" t="s">
        <v>613</v>
      </c>
      <c r="C127" t="s">
        <v>483</v>
      </c>
      <c r="D127" s="7">
        <f>IFERROR(VLOOKUP(Table2[[#This Row],[tune_meter]],Table1[#All],3,FALSE),"NONE")</f>
        <v>55</v>
      </c>
      <c r="F127" t="s">
        <v>459</v>
      </c>
      <c r="G127" t="str">
        <f>IF(Table2[[#This Row],[tune_book]]="LFTBs","Red Book","Green Book")</f>
        <v>Red Book</v>
      </c>
      <c r="H127" t="s">
        <v>336</v>
      </c>
      <c r="I127" t="s">
        <v>614</v>
      </c>
      <c r="J127" t="str">
        <f>Table2[[#This Row],[file_name]]&amp;".mp3"</f>
        <v>142r.mid.mp3</v>
      </c>
      <c r="M127">
        <v>97</v>
      </c>
      <c r="N1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--song="Celebration (8.6.8.6.8.8.)" --artist="R.A. Evershead" --comment="" --album="Red Book" --track="142" 142r.mid.mp3</v>
      </c>
      <c r="P127" s="4" t="e">
        <f ca="1">VLOOKUP(Table2[[#This Row],[mp3_file]],Table3[#All],3,FALSE)</f>
        <v>#NAME?</v>
      </c>
    </row>
    <row r="128" spans="1:16" x14ac:dyDescent="0.3">
      <c r="A128">
        <v>420</v>
      </c>
      <c r="B128" t="s">
        <v>342</v>
      </c>
      <c r="C128" t="s">
        <v>343</v>
      </c>
      <c r="D128" s="7">
        <f>IFERROR(VLOOKUP(Table2[[#This Row],[tune_meter]],Table1[#All],3,FALSE),"NONE")</f>
        <v>30</v>
      </c>
      <c r="F128" t="s">
        <v>324</v>
      </c>
      <c r="G128" t="str">
        <f>IF(Table2[[#This Row],[tune_book]]="LFTBs","Red Book","Green Book")</f>
        <v>Green Book</v>
      </c>
      <c r="H128" t="s">
        <v>344</v>
      </c>
      <c r="I128" t="s">
        <v>345</v>
      </c>
      <c r="J128" t="str">
        <f>Table2[[#This Row],[file_name]]&amp;".mp3"</f>
        <v>420g.mid.mp3</v>
      </c>
      <c r="M128">
        <v>6</v>
      </c>
      <c r="N1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--song="Celeste (8.8.8.8.)" --artist="Unknown" --comment="" --album="Green Book" --track="420" 420g.mid.mp3</v>
      </c>
      <c r="P128" s="4" t="e">
        <f ca="1">VLOOKUP(Table2[[#This Row],[mp3_file]],Table3[#All],3,FALSE)</f>
        <v>#NAME?</v>
      </c>
    </row>
    <row r="129" spans="1:16" x14ac:dyDescent="0.3">
      <c r="A129">
        <v>29</v>
      </c>
      <c r="B129" t="s">
        <v>615</v>
      </c>
      <c r="C129" t="s">
        <v>516</v>
      </c>
      <c r="D129" s="7">
        <f>IFERROR(VLOOKUP(Table2[[#This Row],[tune_meter]],Table1[#All],3,FALSE),"NONE")</f>
        <v>16</v>
      </c>
      <c r="F129" t="s">
        <v>459</v>
      </c>
      <c r="G129" t="str">
        <f>IF(Table2[[#This Row],[tune_book]]="LFTBs","Red Book","Green Book")</f>
        <v>Red Book</v>
      </c>
      <c r="H129" t="s">
        <v>384</v>
      </c>
      <c r="I129" t="s">
        <v>616</v>
      </c>
      <c r="J129" t="str">
        <f>Table2[[#This Row],[file_name]]&amp;".mp3"</f>
        <v>29r.mid.mp3</v>
      </c>
      <c r="M129">
        <v>98</v>
      </c>
      <c r="N1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--song="Chasid (L.M.)" --artist="E. Carren" --comment="" --album="Red Book" --track="29" 29r.mid.mp3</v>
      </c>
      <c r="P129" s="4" t="e">
        <f ca="1">VLOOKUP(Table2[[#This Row],[mp3_file]],Table3[#All],3,FALSE)</f>
        <v>#NAME?</v>
      </c>
    </row>
    <row r="130" spans="1:16" x14ac:dyDescent="0.3">
      <c r="A130">
        <v>100</v>
      </c>
      <c r="B130" t="s">
        <v>617</v>
      </c>
      <c r="C130" t="s">
        <v>467</v>
      </c>
      <c r="D130" s="7">
        <f>IFERROR(VLOOKUP(Table2[[#This Row],[tune_meter]],Table1[#All],3,FALSE),"NONE")</f>
        <v>34</v>
      </c>
      <c r="F130" t="s">
        <v>459</v>
      </c>
      <c r="G130" t="str">
        <f>IF(Table2[[#This Row],[tune_book]]="LFTBs","Red Book","Green Book")</f>
        <v>Red Book</v>
      </c>
      <c r="H130" t="s">
        <v>618</v>
      </c>
      <c r="I130" t="s">
        <v>619</v>
      </c>
      <c r="J130" t="str">
        <f>Table2[[#This Row],[file_name]]&amp;".mp3"</f>
        <v>100r.mid.mp3</v>
      </c>
      <c r="M130">
        <v>99</v>
      </c>
      <c r="N1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--song="Chebar (7.6.7.6.7.6.7.6.)" --artist="Henry Smart" --comment="" --album="Red Book" --track="100" 100r.mid.mp3</v>
      </c>
      <c r="P130" s="4" t="e">
        <f ca="1">VLOOKUP(Table2[[#This Row],[mp3_file]],Table3[#All],3,FALSE)</f>
        <v>#NAME?</v>
      </c>
    </row>
    <row r="131" spans="1:16" x14ac:dyDescent="0.3">
      <c r="A131">
        <v>121</v>
      </c>
      <c r="B131" t="s">
        <v>620</v>
      </c>
      <c r="C131" t="s">
        <v>480</v>
      </c>
      <c r="D131" s="7">
        <f>IFERROR(VLOOKUP(Table2[[#This Row],[tune_meter]],Table1[#All],3,FALSE),"NONE")</f>
        <v>92</v>
      </c>
      <c r="F131" t="s">
        <v>459</v>
      </c>
      <c r="G131" t="str">
        <f>IF(Table2[[#This Row],[tune_book]]="LFTBs","Red Book","Green Book")</f>
        <v>Red Book</v>
      </c>
      <c r="H131" t="s">
        <v>336</v>
      </c>
      <c r="I131" t="s">
        <v>621</v>
      </c>
      <c r="J131" t="str">
        <f>Table2[[#This Row],[file_name]]&amp;".mp3"</f>
        <v>121r.mid.mp3</v>
      </c>
      <c r="M131">
        <v>100</v>
      </c>
      <c r="N1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--song="Cheshunt (7.7.7.7.8.8.)" --artist="R.A. Evershead" --comment="" --album="Red Book" --track="121" 121r.mid.mp3</v>
      </c>
      <c r="P131" s="4" t="e">
        <f ca="1">VLOOKUP(Table2[[#This Row],[mp3_file]],Table3[#All],3,FALSE)</f>
        <v>#NAME?</v>
      </c>
    </row>
    <row r="132" spans="1:16" x14ac:dyDescent="0.3">
      <c r="A132">
        <v>194</v>
      </c>
      <c r="B132" t="s">
        <v>1878</v>
      </c>
      <c r="C132" t="s">
        <v>540</v>
      </c>
      <c r="D132" s="7">
        <f>IFERROR(VLOOKUP(Table2[[#This Row],[tune_meter]],Table1[#All],3,FALSE),"NONE")</f>
        <v>51</v>
      </c>
      <c r="F132" t="s">
        <v>324</v>
      </c>
      <c r="G132" t="str">
        <f>IF(Table2[[#This Row],[tune_book]]="LFTBs","Red Book","Green Book")</f>
        <v>Green Book</v>
      </c>
      <c r="H132" t="s">
        <v>1879</v>
      </c>
      <c r="I132" t="s">
        <v>1880</v>
      </c>
      <c r="J132" t="str">
        <f>Table2[[#This Row],[file_name]]&amp;".mp3"</f>
        <v>194g.mid.mp3</v>
      </c>
      <c r="M132">
        <v>621</v>
      </c>
      <c r="N1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--song="Christchurch (6.6.6.6.8.8.)" --artist="Dr. C. Steggall" --comment="" --album="Green Book" --track="194" 194g.mid.mp3</v>
      </c>
      <c r="P132" s="4" t="e">
        <f ca="1">VLOOKUP(Table2[[#This Row],[mp3_file]],Table3[#All],3,FALSE)</f>
        <v>#NAME?</v>
      </c>
    </row>
    <row r="133" spans="1:16" x14ac:dyDescent="0.3">
      <c r="A133">
        <v>467</v>
      </c>
      <c r="B133" t="s">
        <v>346</v>
      </c>
      <c r="C133" t="s">
        <v>347</v>
      </c>
      <c r="D133" s="7">
        <f>IFERROR(VLOOKUP(Table2[[#This Row],[tune_meter]],Table1[#All],3,FALSE),"NONE")</f>
        <v>89</v>
      </c>
      <c r="F133" t="s">
        <v>324</v>
      </c>
      <c r="G133" t="str">
        <f>IF(Table2[[#This Row],[tune_book]]="LFTBs","Red Book","Green Book")</f>
        <v>Green Book</v>
      </c>
      <c r="H133" t="s">
        <v>348</v>
      </c>
      <c r="I133" t="s">
        <v>349</v>
      </c>
      <c r="J133" t="str">
        <f>Table2[[#This Row],[file_name]]&amp;".mp3"</f>
        <v>467g.mid.mp3</v>
      </c>
      <c r="M133">
        <v>7</v>
      </c>
      <c r="N1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--song="Christian's Goodnight (10.10.10.6.)" --artist="Ira D. Sankey" --comment="" --album="Green Book" --track="467" 467g.mid.mp3</v>
      </c>
      <c r="P133" s="4" t="e">
        <f ca="1">VLOOKUP(Table2[[#This Row],[mp3_file]],Table3[#All],3,FALSE)</f>
        <v>#NAME?</v>
      </c>
    </row>
    <row r="134" spans="1:16" x14ac:dyDescent="0.3">
      <c r="A134">
        <v>43</v>
      </c>
      <c r="B134" t="s">
        <v>622</v>
      </c>
      <c r="C134" t="s">
        <v>623</v>
      </c>
      <c r="D134" s="7">
        <f>IFERROR(VLOOKUP(Table2[[#This Row],[tune_meter]],Table1[#All],3,FALSE),"NONE")</f>
        <v>22</v>
      </c>
      <c r="F134" t="s">
        <v>459</v>
      </c>
      <c r="G134" t="str">
        <f>IF(Table2[[#This Row],[tune_book]]="LFTBs","Red Book","Green Book")</f>
        <v>Red Book</v>
      </c>
      <c r="H134" t="s">
        <v>624</v>
      </c>
      <c r="I134" t="s">
        <v>625</v>
      </c>
      <c r="J134" t="str">
        <f>Table2[[#This Row],[file_name]]&amp;".mp3"</f>
        <v>43r.mid.mp3</v>
      </c>
      <c r="M134">
        <v>101</v>
      </c>
      <c r="N1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--song="Cissbury (S.M.)" --artist="Miss A.E. Houseman" --comment="" --album="Red Book" --track="43" 43r.mid.mp3</v>
      </c>
      <c r="P134" s="4" t="e">
        <f ca="1">VLOOKUP(Table2[[#This Row],[mp3_file]],Table3[#All],3,FALSE)</f>
        <v>#NAME?</v>
      </c>
    </row>
    <row r="135" spans="1:16" x14ac:dyDescent="0.3">
      <c r="A135">
        <v>189</v>
      </c>
      <c r="B135" t="s">
        <v>1700</v>
      </c>
      <c r="C135" t="s">
        <v>913</v>
      </c>
      <c r="D135" s="7">
        <f>IFERROR(VLOOKUP(Table2[[#This Row],[tune_meter]],Table1[#All],3,FALSE),"NONE")</f>
        <v>43</v>
      </c>
      <c r="F135" t="s">
        <v>324</v>
      </c>
      <c r="G135" t="str">
        <f>IF(Table2[[#This Row],[tune_book]]="LFTBs","Red Book","Green Book")</f>
        <v>Green Book</v>
      </c>
      <c r="H135" t="s">
        <v>633</v>
      </c>
      <c r="I135" t="s">
        <v>1701</v>
      </c>
      <c r="J135" t="str">
        <f>Table2[[#This Row],[file_name]]&amp;".mp3"</f>
        <v>189g.mid.mp3</v>
      </c>
      <c r="M135">
        <v>548</v>
      </c>
      <c r="N1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--song="Clarendon (6.6.6.5.6.6.6.5.)" --artist="Miss La Thangue" --comment="" --album="Green Book" --track="189" 189g.mid.mp3</v>
      </c>
      <c r="P135" s="4" t="e">
        <f ca="1">VLOOKUP(Table2[[#This Row],[mp3_file]],Table3[#All],3,FALSE)</f>
        <v>#NAME?</v>
      </c>
    </row>
    <row r="136" spans="1:16" x14ac:dyDescent="0.3">
      <c r="A136">
        <v>127</v>
      </c>
      <c r="B136" t="s">
        <v>626</v>
      </c>
      <c r="C136" t="s">
        <v>523</v>
      </c>
      <c r="D136" s="7">
        <f>IFERROR(VLOOKUP(Table2[[#This Row],[tune_meter]],Table1[#All],3,FALSE),"NONE")</f>
        <v>53</v>
      </c>
      <c r="F136" t="s">
        <v>459</v>
      </c>
      <c r="G136" t="str">
        <f>IF(Table2[[#This Row],[tune_book]]="LFTBs","Red Book","Green Book")</f>
        <v>Red Book</v>
      </c>
      <c r="H136" t="s">
        <v>627</v>
      </c>
      <c r="I136" t="s">
        <v>628</v>
      </c>
      <c r="J136" t="str">
        <f>Table2[[#This Row],[file_name]]&amp;".mp3"</f>
        <v>127r.mid.mp3</v>
      </c>
      <c r="M136">
        <v>102</v>
      </c>
      <c r="N1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--song="Clementswood (8.5.8.3.)" --artist="A.L. Bloomingfield" --comment="" --album="Red Book" --track="127" 127r.mid.mp3</v>
      </c>
      <c r="P136" s="4" t="e">
        <f ca="1">VLOOKUP(Table2[[#This Row],[mp3_file]],Table3[#All],3,FALSE)</f>
        <v>#NAME?</v>
      </c>
    </row>
    <row r="137" spans="1:16" x14ac:dyDescent="0.3">
      <c r="A137">
        <v>148</v>
      </c>
      <c r="B137" t="s">
        <v>629</v>
      </c>
      <c r="C137" t="s">
        <v>630</v>
      </c>
      <c r="D137" s="7">
        <f>IFERROR(VLOOKUP(Table2[[#This Row],[tune_meter]],Table1[#All],3,FALSE),"NONE")</f>
        <v>36</v>
      </c>
      <c r="F137" t="s">
        <v>459</v>
      </c>
      <c r="G137" t="str">
        <f>IF(Table2[[#This Row],[tune_book]]="LFTBs","Red Book","Green Book")</f>
        <v>Red Book</v>
      </c>
      <c r="H137" t="s">
        <v>572</v>
      </c>
      <c r="I137" t="s">
        <v>631</v>
      </c>
      <c r="J137" t="str">
        <f>Table2[[#This Row],[file_name]]&amp;".mp3"</f>
        <v>148r.mid.mp3</v>
      </c>
      <c r="M137">
        <v>103</v>
      </c>
      <c r="N1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--song="Cleveland (8.6.8.8.6.8.8.)" --artist="Miss. E.C. Shanks" --comment="" --album="Red Book" --track="148" 148r.mid.mp3</v>
      </c>
      <c r="P137" s="4" t="e">
        <f ca="1">VLOOKUP(Table2[[#This Row],[mp3_file]],Table3[#All],3,FALSE)</f>
        <v>#NAME?</v>
      </c>
    </row>
    <row r="138" spans="1:16" x14ac:dyDescent="0.3">
      <c r="A138">
        <v>82</v>
      </c>
      <c r="B138" t="s">
        <v>632</v>
      </c>
      <c r="C138" t="s">
        <v>540</v>
      </c>
      <c r="D138" s="7">
        <f>IFERROR(VLOOKUP(Table2[[#This Row],[tune_meter]],Table1[#All],3,FALSE),"NONE")</f>
        <v>51</v>
      </c>
      <c r="F138" t="s">
        <v>459</v>
      </c>
      <c r="G138" t="str">
        <f>IF(Table2[[#This Row],[tune_book]]="LFTBs","Red Book","Green Book")</f>
        <v>Red Book</v>
      </c>
      <c r="H138" t="s">
        <v>633</v>
      </c>
      <c r="I138" t="s">
        <v>634</v>
      </c>
      <c r="J138" t="str">
        <f>Table2[[#This Row],[file_name]]&amp;".mp3"</f>
        <v>82r.mid.mp3</v>
      </c>
      <c r="M138">
        <v>104</v>
      </c>
      <c r="N1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--song="Clifton Hampten (6.6.6.6.8.8.)" --artist="Miss La Thangue" --comment="" --album="Red Book" --track="82" 82r.mid.mp3</v>
      </c>
      <c r="P138" s="4" t="e">
        <f ca="1">VLOOKUP(Table2[[#This Row],[mp3_file]],Table3[#All],3,FALSE)</f>
        <v>#NAME?</v>
      </c>
    </row>
    <row r="139" spans="1:16" x14ac:dyDescent="0.3">
      <c r="A139">
        <v>451</v>
      </c>
      <c r="B139" t="s">
        <v>2078</v>
      </c>
      <c r="C139" t="s">
        <v>688</v>
      </c>
      <c r="D139" s="7">
        <f>IFERROR(VLOOKUP(Table2[[#This Row],[tune_meter]],Table1[#All],3,FALSE),"NONE")</f>
        <v>69</v>
      </c>
      <c r="F139" t="s">
        <v>324</v>
      </c>
      <c r="G139" t="str">
        <f>IF(Table2[[#This Row],[tune_book]]="LFTBs","Red Book","Green Book")</f>
        <v>Green Book</v>
      </c>
      <c r="H139" t="s">
        <v>2742</v>
      </c>
      <c r="I139" t="s">
        <v>2079</v>
      </c>
      <c r="J139" t="str">
        <f>Table2[[#This Row],[file_name]]&amp;".mp3"</f>
        <v>451g.mid.mp3</v>
      </c>
      <c r="K139" s="4">
        <v>1951</v>
      </c>
      <c r="M139">
        <v>709</v>
      </c>
      <c r="N1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--song="Collingwood (9.9.6.6.6.4.)" --artist="R. A. Evershed" --comment="" --album="Green Book" --track="451" 451g.mid.mp3</v>
      </c>
      <c r="P139" s="4" t="e">
        <f ca="1">VLOOKUP(Table2[[#This Row],[mp3_file]],Table3[#All],3,FALSE)</f>
        <v>#NAME?</v>
      </c>
    </row>
    <row r="140" spans="1:16" x14ac:dyDescent="0.3">
      <c r="A140">
        <v>101</v>
      </c>
      <c r="B140" t="s">
        <v>635</v>
      </c>
      <c r="C140" t="s">
        <v>467</v>
      </c>
      <c r="D140" s="7">
        <f>IFERROR(VLOOKUP(Table2[[#This Row],[tune_meter]],Table1[#All],3,FALSE),"NONE")</f>
        <v>34</v>
      </c>
      <c r="F140" t="s">
        <v>459</v>
      </c>
      <c r="G140" t="str">
        <f>IF(Table2[[#This Row],[tune_book]]="LFTBs","Red Book","Green Book")</f>
        <v>Red Book</v>
      </c>
      <c r="H140" t="s">
        <v>367</v>
      </c>
      <c r="I140" t="s">
        <v>636</v>
      </c>
      <c r="J140" t="str">
        <f>Table2[[#This Row],[file_name]]&amp;".mp3"</f>
        <v>101r.mid.mp3</v>
      </c>
      <c r="M140">
        <v>105</v>
      </c>
      <c r="N1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--song="Colwyn (7.6.7.6.7.6.7.6.)" --artist="Gordon Millar" --comment="" --album="Red Book" --track="101" 101r.mid.mp3</v>
      </c>
      <c r="P140" s="4" t="e">
        <f ca="1">VLOOKUP(Table2[[#This Row],[mp3_file]],Table3[#All],3,FALSE)</f>
        <v>#NAME?</v>
      </c>
    </row>
    <row r="141" spans="1:16" x14ac:dyDescent="0.3">
      <c r="A141">
        <v>62</v>
      </c>
      <c r="B141" t="s">
        <v>637</v>
      </c>
      <c r="C141" t="s">
        <v>360</v>
      </c>
      <c r="D141" s="7">
        <f>IFERROR(VLOOKUP(Table2[[#This Row],[tune_meter]],Table1[#All],3,FALSE),"NONE")</f>
        <v>32</v>
      </c>
      <c r="F141" t="s">
        <v>459</v>
      </c>
      <c r="G141" t="str">
        <f>IF(Table2[[#This Row],[tune_book]]="LFTBs","Red Book","Green Book")</f>
        <v>Red Book</v>
      </c>
      <c r="H141" t="s">
        <v>638</v>
      </c>
      <c r="I141" t="s">
        <v>639</v>
      </c>
      <c r="J141" t="str">
        <f>Table2[[#This Row],[file_name]]&amp;".mp3"</f>
        <v>62r.mid.mp3</v>
      </c>
      <c r="M141">
        <v>106</v>
      </c>
      <c r="N1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--song="Come (6.4.6.4.6.4.6.4.)" --artist="H.F. Morley" --comment="" --album="Red Book" --track="62" 62r.mid.mp3</v>
      </c>
      <c r="P141" s="4" t="e">
        <f ca="1">VLOOKUP(Table2[[#This Row],[mp3_file]],Table3[#All],3,FALSE)</f>
        <v>#NAME?</v>
      </c>
    </row>
    <row r="142" spans="1:16" x14ac:dyDescent="0.3">
      <c r="A142">
        <v>292</v>
      </c>
      <c r="B142" t="s">
        <v>1944</v>
      </c>
      <c r="C142" t="s">
        <v>523</v>
      </c>
      <c r="D142" s="7">
        <f>IFERROR(VLOOKUP(Table2[[#This Row],[tune_meter]],Table1[#All],3,FALSE),"NONE")</f>
        <v>53</v>
      </c>
      <c r="F142" t="s">
        <v>324</v>
      </c>
      <c r="G142" t="str">
        <f>IF(Table2[[#This Row],[tune_book]]="LFTBs","Red Book","Green Book")</f>
        <v>Green Book</v>
      </c>
      <c r="H142" t="s">
        <v>348</v>
      </c>
      <c r="I142" t="s">
        <v>1945</v>
      </c>
      <c r="J142" t="str">
        <f>Table2[[#This Row],[file_name]]&amp;".mp3"</f>
        <v>292g.mid.mp3</v>
      </c>
      <c r="M142">
        <v>649</v>
      </c>
      <c r="N1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--song="Come Thou Weary (8.5.8.3.)" --artist="Ira D. Sankey" --comment="" --album="Green Book" --track="292" 292g.mid.mp3</v>
      </c>
      <c r="P142" s="4" t="e">
        <f ca="1">VLOOKUP(Table2[[#This Row],[mp3_file]],Table3[#All],3,FALSE)</f>
        <v>#NAME?</v>
      </c>
    </row>
    <row r="143" spans="1:16" x14ac:dyDescent="0.3">
      <c r="A143">
        <v>478</v>
      </c>
      <c r="B143" t="s">
        <v>1360</v>
      </c>
      <c r="C143" t="s">
        <v>582</v>
      </c>
      <c r="D143" s="7">
        <f>IFERROR(VLOOKUP(Table2[[#This Row],[tune_meter]],Table1[#All],3,FALSE),"NONE")</f>
        <v>21</v>
      </c>
      <c r="F143" t="s">
        <v>324</v>
      </c>
      <c r="G143" t="str">
        <f>IF(Table2[[#This Row],[tune_book]]="LFTBs","Red Book","Green Book")</f>
        <v>Green Book</v>
      </c>
      <c r="H143" t="s">
        <v>2718</v>
      </c>
      <c r="I143" t="s">
        <v>1361</v>
      </c>
      <c r="J143" t="str">
        <f>Table2[[#This Row],[file_name]]&amp;".mp3"</f>
        <v>478g.mid.mp3</v>
      </c>
      <c r="M143">
        <v>400</v>
      </c>
      <c r="N1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--song="Come unto Me (10.10.10.10.)" --artist="G. C. Stebbins" --comment="" --album="Green Book" --track="478" 478g.mid.mp3</v>
      </c>
      <c r="P143" s="4" t="e">
        <f ca="1">VLOOKUP(Table2[[#This Row],[mp3_file]],Table3[#All],3,FALSE)</f>
        <v>#NAME?</v>
      </c>
    </row>
    <row r="144" spans="1:16" x14ac:dyDescent="0.3">
      <c r="A144">
        <v>217</v>
      </c>
      <c r="B144" t="s">
        <v>640</v>
      </c>
      <c r="C144" t="s">
        <v>641</v>
      </c>
      <c r="D144" s="7">
        <f>IFERROR(VLOOKUP(Table2[[#This Row],[tune_meter]],Table1[#All],3,FALSE),"NONE")</f>
        <v>46</v>
      </c>
      <c r="F144" t="s">
        <v>459</v>
      </c>
      <c r="G144" t="str">
        <f>IF(Table2[[#This Row],[tune_book]]="LFTBs","Red Book","Green Book")</f>
        <v>Red Book</v>
      </c>
      <c r="H144" t="s">
        <v>642</v>
      </c>
      <c r="I144" t="s">
        <v>643</v>
      </c>
      <c r="J144" t="str">
        <f>Table2[[#This Row],[file_name]]&amp;".mp3"</f>
        <v>217r.mid.mp3</v>
      </c>
      <c r="M144">
        <v>107</v>
      </c>
      <c r="N1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--song="Comfort (8.8.11.8.)" --artist="John. F. Harvey" --comment="" --album="Red Book" --track="217" 217r.mid.mp3</v>
      </c>
      <c r="P144" s="4" t="e">
        <f ca="1">VLOOKUP(Table2[[#This Row],[mp3_file]],Table3[#All],3,FALSE)</f>
        <v>#NAME?</v>
      </c>
    </row>
    <row r="145" spans="1:16" x14ac:dyDescent="0.3">
      <c r="A145">
        <v>173</v>
      </c>
      <c r="B145" t="s">
        <v>644</v>
      </c>
      <c r="C145" t="s">
        <v>470</v>
      </c>
      <c r="D145" s="7">
        <f>IFERROR(VLOOKUP(Table2[[#This Row],[tune_meter]],Table1[#All],3,FALSE),"NONE")</f>
        <v>50</v>
      </c>
      <c r="F145" t="s">
        <v>459</v>
      </c>
      <c r="G145" t="str">
        <f>IF(Table2[[#This Row],[tune_book]]="LFTBs","Red Book","Green Book")</f>
        <v>Red Book</v>
      </c>
      <c r="H145" t="s">
        <v>585</v>
      </c>
      <c r="I145" t="s">
        <v>645</v>
      </c>
      <c r="J145" t="str">
        <f>Table2[[#This Row],[file_name]]&amp;".mp3"</f>
        <v>173r.mid.mp3</v>
      </c>
      <c r="L145" t="s">
        <v>646</v>
      </c>
      <c r="M145">
        <v>108</v>
      </c>
      <c r="N1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--song="Concordia (8.7.8.7.4.7.)" --artist="Eric Burgess" --comment="Repeat 5th and 6th lines of each verse" --album="Red Book" --track="173" 173r.mid.mp3</v>
      </c>
      <c r="P145" s="4" t="e">
        <f ca="1">VLOOKUP(Table2[[#This Row],[mp3_file]],Table3[#All],3,FALSE)</f>
        <v>#NAME?</v>
      </c>
    </row>
    <row r="146" spans="1:16" x14ac:dyDescent="0.3">
      <c r="A146">
        <v>421</v>
      </c>
      <c r="B146" t="s">
        <v>350</v>
      </c>
      <c r="C146" t="s">
        <v>343</v>
      </c>
      <c r="D146" s="7">
        <f>IFERROR(VLOOKUP(Table2[[#This Row],[tune_meter]],Table1[#All],3,FALSE),"NONE")</f>
        <v>30</v>
      </c>
      <c r="F146" t="s">
        <v>324</v>
      </c>
      <c r="G146" t="str">
        <f>IF(Table2[[#This Row],[tune_book]]="LFTBs","Red Book","Green Book")</f>
        <v>Green Book</v>
      </c>
      <c r="H146" t="s">
        <v>351</v>
      </c>
      <c r="I146" t="s">
        <v>352</v>
      </c>
      <c r="J146" t="str">
        <f>Table2[[#This Row],[file_name]]&amp;".mp3"</f>
        <v>421g.mid.mp3</v>
      </c>
      <c r="M146">
        <v>8</v>
      </c>
      <c r="N1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--song="Confianza (8.8.8.8.)" --artist="C. Leflaive" --comment="" --album="Green Book" --track="421" 421g.mid.mp3</v>
      </c>
      <c r="P146" s="4" t="e">
        <f ca="1">VLOOKUP(Table2[[#This Row],[mp3_file]],Table3[#All],3,FALSE)</f>
        <v>#NAME?</v>
      </c>
    </row>
    <row r="147" spans="1:16" x14ac:dyDescent="0.3">
      <c r="A147">
        <v>232</v>
      </c>
      <c r="B147" t="s">
        <v>1508</v>
      </c>
      <c r="C147" t="s">
        <v>467</v>
      </c>
      <c r="D147" s="7">
        <f>IFERROR(VLOOKUP(Table2[[#This Row],[tune_meter]],Table1[#All],3,FALSE),"NONE")</f>
        <v>34</v>
      </c>
      <c r="F147" t="s">
        <v>324</v>
      </c>
      <c r="G147" t="str">
        <f>IF(Table2[[#This Row],[tune_book]]="LFTBs","Red Book","Green Book")</f>
        <v>Green Book</v>
      </c>
      <c r="H147" t="s">
        <v>344</v>
      </c>
      <c r="I147" t="s">
        <v>1509</v>
      </c>
      <c r="J147" t="str">
        <f>Table2[[#This Row],[file_name]]&amp;".mp3"</f>
        <v>232g.mid.mp3</v>
      </c>
      <c r="M147">
        <v>464</v>
      </c>
      <c r="N1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--song="Confidence (7.6.7.6.7.6.7.6.)" --artist="Unknown" --comment="" --album="Green Book" --track="232" 232g.mid.mp3</v>
      </c>
      <c r="P147" s="4" t="e">
        <f ca="1">VLOOKUP(Table2[[#This Row],[mp3_file]],Table3[#All],3,FALSE)</f>
        <v>#NAME?</v>
      </c>
    </row>
    <row r="148" spans="1:16" x14ac:dyDescent="0.3">
      <c r="A148">
        <v>263</v>
      </c>
      <c r="B148" t="s">
        <v>647</v>
      </c>
      <c r="D148" s="7" t="str">
        <f>IFERROR(VLOOKUP(Table2[[#This Row],[tune_meter]],Table1[#All],3,FALSE),"NONE")</f>
        <v>NONE</v>
      </c>
      <c r="F148" t="s">
        <v>459</v>
      </c>
      <c r="G148" t="str">
        <f>IF(Table2[[#This Row],[tune_book]]="LFTBs","Red Book","Green Book")</f>
        <v>Red Book</v>
      </c>
      <c r="H148" t="s">
        <v>648</v>
      </c>
      <c r="I148" t="s">
        <v>649</v>
      </c>
      <c r="J148" t="str">
        <f>Table2[[#This Row],[file_name]]&amp;".mp3"</f>
        <v>263r.mid.mp3</v>
      </c>
      <c r="M148">
        <v>109</v>
      </c>
      <c r="N1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--song="Conisborough ()" --artist="Wilfred Sanderson" --comment="" --album="Red Book" --track="263" 263r.mid.mp3</v>
      </c>
      <c r="P148" s="4" t="e">
        <f ca="1">VLOOKUP(Table2[[#This Row],[mp3_file]],Table3[#All],3,FALSE)</f>
        <v>#NAME?</v>
      </c>
    </row>
    <row r="149" spans="1:16" x14ac:dyDescent="0.3">
      <c r="A149">
        <v>249</v>
      </c>
      <c r="B149" t="s">
        <v>650</v>
      </c>
      <c r="C149" t="s">
        <v>582</v>
      </c>
      <c r="D149" s="7">
        <f>IFERROR(VLOOKUP(Table2[[#This Row],[tune_meter]],Table1[#All],3,FALSE),"NONE")</f>
        <v>21</v>
      </c>
      <c r="F149" t="s">
        <v>459</v>
      </c>
      <c r="G149" t="str">
        <f>IF(Table2[[#This Row],[tune_book]]="LFTBs","Red Book","Green Book")</f>
        <v>Red Book</v>
      </c>
      <c r="H149" t="s">
        <v>958</v>
      </c>
      <c r="I149" t="s">
        <v>651</v>
      </c>
      <c r="J149" t="str">
        <f>Table2[[#This Row],[file_name]]&amp;".mp3"</f>
        <v>249r.mid.mp3</v>
      </c>
      <c r="K149" s="4">
        <v>1928</v>
      </c>
      <c r="M149">
        <v>110</v>
      </c>
      <c r="N1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--song="Coniston (10.10.10.10.)" --artist="A.B. Skeffington" --comment="" --album="Red Book" --track="249" 249r.mid.mp3</v>
      </c>
      <c r="P149" s="4" t="e">
        <f ca="1">VLOOKUP(Table2[[#This Row],[mp3_file]],Table3[#All],3,FALSE)</f>
        <v>#NAME?</v>
      </c>
    </row>
    <row r="150" spans="1:16" x14ac:dyDescent="0.3">
      <c r="A150">
        <v>377</v>
      </c>
      <c r="B150" t="s">
        <v>1990</v>
      </c>
      <c r="C150" t="s">
        <v>476</v>
      </c>
      <c r="D150" s="7">
        <f>IFERROR(VLOOKUP(Table2[[#This Row],[tune_meter]],Table1[#All],3,FALSE),"NONE")</f>
        <v>25</v>
      </c>
      <c r="F150" t="s">
        <v>324</v>
      </c>
      <c r="G150" t="str">
        <f>IF(Table2[[#This Row],[tune_book]]="LFTBs","Red Book","Green Book")</f>
        <v>Green Book</v>
      </c>
      <c r="H150" t="s">
        <v>1991</v>
      </c>
      <c r="I150" t="s">
        <v>1992</v>
      </c>
      <c r="J150" t="str">
        <f>Table2[[#This Row],[file_name]]&amp;".mp3"</f>
        <v>377g.mid.mp3</v>
      </c>
      <c r="M150">
        <v>669</v>
      </c>
      <c r="N1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--song="Converse (8.7.8.7.8.7.8.7.)" --artist="C.C. Converse" --comment="" --album="Green Book" --track="377" 377g.mid.mp3</v>
      </c>
      <c r="P150" s="4" t="e">
        <f ca="1">VLOOKUP(Table2[[#This Row],[mp3_file]],Table3[#All],3,FALSE)</f>
        <v>#NAME?</v>
      </c>
    </row>
    <row r="151" spans="1:16" x14ac:dyDescent="0.3">
      <c r="A151">
        <v>167</v>
      </c>
      <c r="B151" t="s">
        <v>2708</v>
      </c>
      <c r="C151" t="s">
        <v>652</v>
      </c>
      <c r="D151" s="7">
        <f>IFERROR(VLOOKUP(Table2[[#This Row],[tune_meter]],Table1[#All],3,FALSE),"NONE")</f>
        <v>94</v>
      </c>
      <c r="F151" t="s">
        <v>459</v>
      </c>
      <c r="G151" t="str">
        <f>IF(Table2[[#This Row],[tune_book]]="LFTBs","Red Book","Green Book")</f>
        <v>Red Book</v>
      </c>
      <c r="H151" t="s">
        <v>367</v>
      </c>
      <c r="I151" t="s">
        <v>653</v>
      </c>
      <c r="J151" t="str">
        <f>Table2[[#This Row],[file_name]]&amp;".mp3"</f>
        <v>167r.mid.mp3</v>
      </c>
      <c r="M151">
        <v>111</v>
      </c>
      <c r="N1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--song="Covenant (Millar) (8.7.8.7. Iambic)" --artist="Gordon Millar" --comment="" --album="Red Book" --track="167" 167r.mid.mp3</v>
      </c>
      <c r="P151" s="4" t="e">
        <f ca="1">VLOOKUP(Table2[[#This Row],[mp3_file]],Table3[#All],3,FALSE)</f>
        <v>#NAME?</v>
      </c>
    </row>
    <row r="152" spans="1:16" x14ac:dyDescent="0.3">
      <c r="A152">
        <v>430</v>
      </c>
      <c r="B152" t="s">
        <v>2049</v>
      </c>
      <c r="C152" t="s">
        <v>554</v>
      </c>
      <c r="D152" s="7">
        <f>IFERROR(VLOOKUP(Table2[[#This Row],[tune_meter]],Table1[#All],3,FALSE),"NONE")</f>
        <v>26</v>
      </c>
      <c r="F152" t="s">
        <v>324</v>
      </c>
      <c r="G152" t="str">
        <f>IF(Table2[[#This Row],[tune_book]]="LFTBs","Red Book","Green Book")</f>
        <v>Green Book</v>
      </c>
      <c r="H152" t="s">
        <v>1482</v>
      </c>
      <c r="I152" t="s">
        <v>2050</v>
      </c>
      <c r="J152" t="str">
        <f>Table2[[#This Row],[file_name]]&amp;".mp3"</f>
        <v>430g.mid.mp3</v>
      </c>
      <c r="M152">
        <v>696</v>
      </c>
      <c r="N1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--song="Creation (8.8.8.8.8.8.)" --artist="From Haydn" --comment="" --album="Green Book" --track="430" 430g.mid.mp3</v>
      </c>
      <c r="P152" s="4" t="e">
        <f ca="1">VLOOKUP(Table2[[#This Row],[mp3_file]],Table3[#All],3,FALSE)</f>
        <v>#NAME?</v>
      </c>
    </row>
    <row r="153" spans="1:16" x14ac:dyDescent="0.3">
      <c r="A153">
        <v>319</v>
      </c>
      <c r="B153" t="s">
        <v>1580</v>
      </c>
      <c r="C153" t="s">
        <v>370</v>
      </c>
      <c r="D153" s="7">
        <f>IFERROR(VLOOKUP(Table2[[#This Row],[tune_meter]],Table1[#All],3,FALSE),"NONE")</f>
        <v>24</v>
      </c>
      <c r="F153" t="s">
        <v>324</v>
      </c>
      <c r="G153" t="str">
        <f>IF(Table2[[#This Row],[tune_book]]="LFTBs","Red Book","Green Book")</f>
        <v>Green Book</v>
      </c>
      <c r="H153" t="s">
        <v>329</v>
      </c>
      <c r="I153" t="s">
        <v>1581</v>
      </c>
      <c r="J153" t="str">
        <f>Table2[[#This Row],[file_name]]&amp;".mp3"</f>
        <v>319g.mid.mp3</v>
      </c>
      <c r="M153">
        <v>495</v>
      </c>
      <c r="N1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--song="Crimea Street (8.7.8.7.)" --artist="T. Collins" --comment="" --album="Green Book" --track="319" 319g.mid.mp3</v>
      </c>
      <c r="P153" s="4" t="e">
        <f ca="1">VLOOKUP(Table2[[#This Row],[mp3_file]],Table3[#All],3,FALSE)</f>
        <v>#NAME?</v>
      </c>
    </row>
    <row r="154" spans="1:16" x14ac:dyDescent="0.3">
      <c r="A154">
        <v>69</v>
      </c>
      <c r="B154" t="s">
        <v>654</v>
      </c>
      <c r="C154" t="s">
        <v>446</v>
      </c>
      <c r="D154" s="7">
        <f>IFERROR(VLOOKUP(Table2[[#This Row],[tune_meter]],Table1[#All],3,FALSE),"NONE")</f>
        <v>44</v>
      </c>
      <c r="F154" t="s">
        <v>459</v>
      </c>
      <c r="G154" t="str">
        <f>IF(Table2[[#This Row],[tune_book]]="LFTBs","Red Book","Green Book")</f>
        <v>Red Book</v>
      </c>
      <c r="H154" t="s">
        <v>2706</v>
      </c>
      <c r="I154" t="s">
        <v>655</v>
      </c>
      <c r="J154" t="str">
        <f>Table2[[#This Row],[file_name]]&amp;".mp3"</f>
        <v>69r.mid.mp3</v>
      </c>
      <c r="M154">
        <v>112</v>
      </c>
      <c r="N1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--song="Cromer (6.4.6.4.6.6.6.4.)" --artist="R. A. Evershead" --comment="" --album="Red Book" --track="69" 69r.mid.mp3</v>
      </c>
      <c r="P154" s="4" t="e">
        <f ca="1">VLOOKUP(Table2[[#This Row],[mp3_file]],Table3[#All],3,FALSE)</f>
        <v>#NAME?</v>
      </c>
    </row>
    <row r="155" spans="1:16" x14ac:dyDescent="0.3">
      <c r="A155">
        <v>320</v>
      </c>
      <c r="B155" t="s">
        <v>1582</v>
      </c>
      <c r="C155" t="s">
        <v>370</v>
      </c>
      <c r="D155" s="7">
        <f>IFERROR(VLOOKUP(Table2[[#This Row],[tune_meter]],Table1[#All],3,FALSE),"NONE")</f>
        <v>24</v>
      </c>
      <c r="F155" t="s">
        <v>324</v>
      </c>
      <c r="G155" t="str">
        <f>IF(Table2[[#This Row],[tune_book]]="LFTBs","Red Book","Green Book")</f>
        <v>Green Book</v>
      </c>
      <c r="H155" t="s">
        <v>541</v>
      </c>
      <c r="I155" t="s">
        <v>1583</v>
      </c>
      <c r="J155" t="str">
        <f>Table2[[#This Row],[file_name]]&amp;".mp3"</f>
        <v>320g.mid.mp3</v>
      </c>
      <c r="M155">
        <v>496</v>
      </c>
      <c r="N1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--song="Cross of Jesus (8.7.8.7.)" --artist="Sir John Stainer" --comment="" --album="Green Book" --track="320" 320g.mid.mp3</v>
      </c>
      <c r="P155" s="4" t="e">
        <f ca="1">VLOOKUP(Table2[[#This Row],[mp3_file]],Table3[#All],3,FALSE)</f>
        <v>#NAME?</v>
      </c>
    </row>
    <row r="156" spans="1:16" x14ac:dyDescent="0.3">
      <c r="A156">
        <v>134</v>
      </c>
      <c r="B156" t="s">
        <v>1855</v>
      </c>
      <c r="C156" t="s">
        <v>623</v>
      </c>
      <c r="D156" s="7">
        <f>IFERROR(VLOOKUP(Table2[[#This Row],[tune_meter]],Table1[#All],3,FALSE),"NONE")</f>
        <v>22</v>
      </c>
      <c r="F156" t="s">
        <v>324</v>
      </c>
      <c r="G156" t="str">
        <f>IF(Table2[[#This Row],[tune_book]]="LFTBs","Red Book","Green Book")</f>
        <v>Green Book</v>
      </c>
      <c r="H156" t="s">
        <v>1856</v>
      </c>
      <c r="I156" t="s">
        <v>1857</v>
      </c>
      <c r="J156" t="str">
        <f>Table2[[#This Row],[file_name]]&amp;".mp3"</f>
        <v>134g.mid.mp3</v>
      </c>
      <c r="M156">
        <v>611</v>
      </c>
      <c r="N1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--song="Crotch's Chant (S.M.)" --artist="Dr. W. Crotch" --comment="" --album="Green Book" --track="134" 134g.mid.mp3</v>
      </c>
      <c r="P156" s="4" t="e">
        <f ca="1">VLOOKUP(Table2[[#This Row],[mp3_file]],Table3[#All],3,FALSE)</f>
        <v>#NAME?</v>
      </c>
    </row>
    <row r="157" spans="1:16" x14ac:dyDescent="0.3">
      <c r="A157">
        <v>311</v>
      </c>
      <c r="B157" t="s">
        <v>1312</v>
      </c>
      <c r="C157" t="s">
        <v>630</v>
      </c>
      <c r="D157" s="7">
        <f>IFERROR(VLOOKUP(Table2[[#This Row],[tune_meter]],Table1[#All],3,FALSE),"NONE")</f>
        <v>36</v>
      </c>
      <c r="F157" t="s">
        <v>324</v>
      </c>
      <c r="G157" t="str">
        <f>IF(Table2[[#This Row],[tune_book]]="LFTBs","Red Book","Green Book")</f>
        <v>Green Book</v>
      </c>
      <c r="H157" t="s">
        <v>1310</v>
      </c>
      <c r="I157" t="s">
        <v>1313</v>
      </c>
      <c r="J157" t="str">
        <f>Table2[[#This Row],[file_name]]&amp;".mp3"</f>
        <v>311g.mid.mp3</v>
      </c>
      <c r="M157">
        <v>379</v>
      </c>
      <c r="N1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--song="Crucifixion (8.6.8.8.6.8.8.)" --artist="T. Willey" --comment="" --album="Green Book" --track="311" 311g.mid.mp3</v>
      </c>
      <c r="P157" s="4" t="e">
        <f ca="1">VLOOKUP(Table2[[#This Row],[mp3_file]],Table3[#All],3,FALSE)</f>
        <v>#NAME?</v>
      </c>
    </row>
    <row r="158" spans="1:16" x14ac:dyDescent="0.3">
      <c r="A158">
        <v>233</v>
      </c>
      <c r="B158" t="s">
        <v>1510</v>
      </c>
      <c r="C158" t="s">
        <v>467</v>
      </c>
      <c r="D158" s="7">
        <f>IFERROR(VLOOKUP(Table2[[#This Row],[tune_meter]],Table1[#All],3,FALSE),"NONE")</f>
        <v>34</v>
      </c>
      <c r="F158" t="s">
        <v>324</v>
      </c>
      <c r="G158" t="str">
        <f>IF(Table2[[#This Row],[tune_book]]="LFTBs","Red Book","Green Book")</f>
        <v>Green Book</v>
      </c>
      <c r="H158" t="s">
        <v>1487</v>
      </c>
      <c r="I158" t="s">
        <v>1511</v>
      </c>
      <c r="J158" t="str">
        <f>Table2[[#This Row],[file_name]]&amp;".mp3"</f>
        <v>233g.mid.mp3</v>
      </c>
      <c r="M158">
        <v>465</v>
      </c>
      <c r="N1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--song="Cruger (7.6.7.6.7.6.7.6.)" --artist="J. Cruger" --comment="" --album="Green Book" --track="233" 233g.mid.mp3</v>
      </c>
      <c r="P158" s="4" t="e">
        <f ca="1">VLOOKUP(Table2[[#This Row],[mp3_file]],Table3[#All],3,FALSE)</f>
        <v>#NAME?</v>
      </c>
    </row>
    <row r="159" spans="1:16" x14ac:dyDescent="0.3">
      <c r="A159">
        <v>193</v>
      </c>
      <c r="B159" t="s">
        <v>656</v>
      </c>
      <c r="C159" t="s">
        <v>595</v>
      </c>
      <c r="D159" s="7">
        <f>IFERROR(VLOOKUP(Table2[[#This Row],[tune_meter]],Table1[#All],3,FALSE),"NONE")</f>
        <v>68</v>
      </c>
      <c r="F159" t="s">
        <v>459</v>
      </c>
      <c r="G159" t="str">
        <f>IF(Table2[[#This Row],[tune_book]]="LFTBs","Red Book","Green Book")</f>
        <v>Red Book</v>
      </c>
      <c r="H159" t="s">
        <v>657</v>
      </c>
      <c r="I159" t="s">
        <v>658</v>
      </c>
      <c r="J159" t="str">
        <f>Table2[[#This Row],[file_name]]&amp;".mp3"</f>
        <v>193r.mid.mp3</v>
      </c>
      <c r="M159">
        <v>113</v>
      </c>
      <c r="N1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--song="Crummock (8.7.8.7.8.7.8.7.7.7.)" --artist="Dr. Alan Clarke" --comment="" --album="Red Book" --track="193" 193r.mid.mp3</v>
      </c>
      <c r="P159" s="4" t="e">
        <f ca="1">VLOOKUP(Table2[[#This Row],[mp3_file]],Table3[#All],3,FALSE)</f>
        <v>#NAME?</v>
      </c>
    </row>
    <row r="160" spans="1:16" x14ac:dyDescent="0.3">
      <c r="A160">
        <v>63</v>
      </c>
      <c r="B160" t="s">
        <v>659</v>
      </c>
      <c r="C160" t="s">
        <v>360</v>
      </c>
      <c r="D160" s="7">
        <f>IFERROR(VLOOKUP(Table2[[#This Row],[tune_meter]],Table1[#All],3,FALSE),"NONE")</f>
        <v>32</v>
      </c>
      <c r="F160" t="s">
        <v>459</v>
      </c>
      <c r="G160" t="str">
        <f>IF(Table2[[#This Row],[tune_book]]="LFTBs","Red Book","Green Book")</f>
        <v>Red Book</v>
      </c>
      <c r="H160" t="s">
        <v>367</v>
      </c>
      <c r="I160" t="s">
        <v>660</v>
      </c>
      <c r="J160" t="str">
        <f>Table2[[#This Row],[file_name]]&amp;".mp3"</f>
        <v>63r.mid.mp3</v>
      </c>
      <c r="M160">
        <v>114</v>
      </c>
      <c r="N1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--song="Culzean (6.4.6.4.6.4.6.4.)" --artist="Gordon Millar" --comment="" --album="Red Book" --track="63" 63r.mid.mp3</v>
      </c>
      <c r="P160" s="4" t="e">
        <f ca="1">VLOOKUP(Table2[[#This Row],[mp3_file]],Table3[#All],3,FALSE)</f>
        <v>#NAME?</v>
      </c>
    </row>
    <row r="161" spans="1:16" x14ac:dyDescent="0.3">
      <c r="A161">
        <v>357</v>
      </c>
      <c r="B161" t="s">
        <v>2709</v>
      </c>
      <c r="C161" t="s">
        <v>470</v>
      </c>
      <c r="D161" s="7">
        <f>IFERROR(VLOOKUP(Table2[[#This Row],[tune_meter]],Table1[#All],3,FALSE),"NONE")</f>
        <v>50</v>
      </c>
      <c r="F161" t="s">
        <v>324</v>
      </c>
      <c r="G161" t="str">
        <f>IF(Table2[[#This Row],[tune_book]]="LFTBs","Red Book","Green Book")</f>
        <v>Green Book</v>
      </c>
      <c r="H161" t="s">
        <v>1978</v>
      </c>
      <c r="I161" t="s">
        <v>1979</v>
      </c>
      <c r="J161" t="str">
        <f>Table2[[#This Row],[file_name]]&amp;".mp3"</f>
        <v>357g.mid.mp3</v>
      </c>
      <c r="M161">
        <v>663</v>
      </c>
      <c r="N1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--song="Cwm Rhondda (8.7.8.7.4.7.)" --artist="J. Hughes" --comment="" --album="Green Book" --track="357" 357g.mid.mp3</v>
      </c>
      <c r="P161" s="4" t="e">
        <f ca="1">VLOOKUP(Table2[[#This Row],[mp3_file]],Table3[#All],3,FALSE)</f>
        <v>#NAME?</v>
      </c>
    </row>
    <row r="162" spans="1:16" x14ac:dyDescent="0.3">
      <c r="A162">
        <v>164</v>
      </c>
      <c r="B162" t="s">
        <v>353</v>
      </c>
      <c r="C162" t="s">
        <v>354</v>
      </c>
      <c r="D162" s="7">
        <f>IFERROR(VLOOKUP(Table2[[#This Row],[tune_meter]],Table1[#All],3,FALSE),"NONE")</f>
        <v>28</v>
      </c>
      <c r="F162" t="s">
        <v>324</v>
      </c>
      <c r="G162" t="str">
        <f>IF(Table2[[#This Row],[tune_book]]="LFTBs","Red Book","Green Book")</f>
        <v>Green Book</v>
      </c>
      <c r="H162" t="s">
        <v>2743</v>
      </c>
      <c r="I162" t="s">
        <v>355</v>
      </c>
      <c r="J162" t="str">
        <f>Table2[[#This Row],[file_name]]&amp;".mp3"</f>
        <v>164g.mid.mp3</v>
      </c>
      <c r="K162" s="4">
        <v>1951</v>
      </c>
      <c r="M162">
        <v>9</v>
      </c>
      <c r="N1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--song="Cypress (4.8.4.8.8.)" --artist="Mrs. A. C. Stowell" --comment="" --album="Green Book" --track="164" 164g.mid.mp3</v>
      </c>
      <c r="P162" s="4" t="e">
        <f ca="1">VLOOKUP(Table2[[#This Row],[mp3_file]],Table3[#All],3,FALSE)</f>
        <v>#NAME?</v>
      </c>
    </row>
    <row r="163" spans="1:16" x14ac:dyDescent="0.3">
      <c r="A163">
        <v>285</v>
      </c>
      <c r="B163" t="s">
        <v>1546</v>
      </c>
      <c r="C163" t="s">
        <v>1064</v>
      </c>
      <c r="D163" s="7">
        <f>IFERROR(VLOOKUP(Table2[[#This Row],[tune_meter]],Table1[#All],3,FALSE),"NONE")</f>
        <v>82</v>
      </c>
      <c r="F163" t="s">
        <v>324</v>
      </c>
      <c r="G163" t="str">
        <f>IF(Table2[[#This Row],[tune_book]]="LFTBs","Red Book","Green Book")</f>
        <v>Green Book</v>
      </c>
      <c r="H163" t="s">
        <v>1547</v>
      </c>
      <c r="I163" t="s">
        <v>1548</v>
      </c>
      <c r="J163" t="str">
        <f>Table2[[#This Row],[file_name]]&amp;".mp3"</f>
        <v>285g.mid.mp3</v>
      </c>
      <c r="K163" s="4">
        <v>1785</v>
      </c>
      <c r="M163">
        <v>481</v>
      </c>
      <c r="N1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--song="Cyprus (7.7.8.7.7.7.8.7.)" --artist="Greek Melody" --comment="" --album="Green Book" --track="285" 285g.mid.mp3</v>
      </c>
      <c r="P163" s="4" t="e">
        <f ca="1">VLOOKUP(Table2[[#This Row],[mp3_file]],Table3[#All],3,FALSE)</f>
        <v>#NAME?</v>
      </c>
    </row>
    <row r="164" spans="1:16" x14ac:dyDescent="0.3">
      <c r="A164">
        <v>295</v>
      </c>
      <c r="B164" t="s">
        <v>661</v>
      </c>
      <c r="C164" t="s">
        <v>588</v>
      </c>
      <c r="D164" s="7">
        <f>IFERROR(VLOOKUP(Table2[[#This Row],[tune_meter]],Table1[#All],3,FALSE),"NONE")</f>
        <v>85</v>
      </c>
      <c r="F164" t="s">
        <v>459</v>
      </c>
      <c r="G164" t="str">
        <f>IF(Table2[[#This Row],[tune_book]]="LFTBs","Red Book","Green Book")</f>
        <v>Red Book</v>
      </c>
      <c r="H164" t="s">
        <v>2742</v>
      </c>
      <c r="I164" t="s">
        <v>662</v>
      </c>
      <c r="J164" t="str">
        <f>Table2[[#This Row],[file_name]]&amp;".mp3"</f>
        <v>295r.mid.mp3</v>
      </c>
      <c r="K164" s="4">
        <v>1953</v>
      </c>
      <c r="M164">
        <v>115</v>
      </c>
      <c r="N1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--song="Dalmeny (14.14.14.14.)" --artist="R. A. Evershed" --comment="" --album="Red Book" --track="295" 295r.mid.mp3</v>
      </c>
      <c r="P164" s="4" t="e">
        <f ca="1">VLOOKUP(Table2[[#This Row],[mp3_file]],Table3[#All],3,FALSE)</f>
        <v>#NAME?</v>
      </c>
    </row>
    <row r="165" spans="1:16" x14ac:dyDescent="0.3">
      <c r="A165">
        <v>51</v>
      </c>
      <c r="B165" t="s">
        <v>663</v>
      </c>
      <c r="C165" t="s">
        <v>664</v>
      </c>
      <c r="D165" s="7">
        <f>IFERROR(VLOOKUP(Table2[[#This Row],[tune_meter]],Table1[#All],3,FALSE),"NONE")</f>
        <v>70</v>
      </c>
      <c r="F165" t="s">
        <v>459</v>
      </c>
      <c r="G165" t="str">
        <f>IF(Table2[[#This Row],[tune_book]]="LFTBs","Red Book","Green Book")</f>
        <v>Red Book</v>
      </c>
      <c r="H165" t="s">
        <v>384</v>
      </c>
      <c r="I165" t="s">
        <v>665</v>
      </c>
      <c r="J165" t="str">
        <f>Table2[[#This Row],[file_name]]&amp;".mp3"</f>
        <v>51r.mid.mp3</v>
      </c>
      <c r="M165">
        <v>116</v>
      </c>
      <c r="N1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--song="Damascus (S.M.D.)" --artist="E. Carren" --comment="" --album="Red Book" --track="51" 51r.mid.mp3</v>
      </c>
      <c r="P165" s="4" t="e">
        <f ca="1">VLOOKUP(Table2[[#This Row],[mp3_file]],Table3[#All],3,FALSE)</f>
        <v>#NAME?</v>
      </c>
    </row>
    <row r="166" spans="1:16" x14ac:dyDescent="0.3">
      <c r="A166">
        <v>403</v>
      </c>
      <c r="B166" t="s">
        <v>1348</v>
      </c>
      <c r="C166" t="s">
        <v>527</v>
      </c>
      <c r="D166" s="7">
        <f>IFERROR(VLOOKUP(Table2[[#This Row],[tune_meter]],Table1[#All],3,FALSE),"NONE")</f>
        <v>20</v>
      </c>
      <c r="F166" t="s">
        <v>324</v>
      </c>
      <c r="G166" t="str">
        <f>IF(Table2[[#This Row],[tune_book]]="LFTBs","Red Book","Green Book")</f>
        <v>Green Book</v>
      </c>
      <c r="H166" t="s">
        <v>1319</v>
      </c>
      <c r="I166" t="s">
        <v>1349</v>
      </c>
      <c r="J166" t="str">
        <f>Table2[[#This Row],[file_name]]&amp;".mp3"</f>
        <v>403g.mid.mp3</v>
      </c>
      <c r="M166">
        <v>395</v>
      </c>
      <c r="N1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--song="Dartford (8.8.6.8.8.6.)" --artist="From 'Geistliche Leider'" --comment="" --album="Green Book" --track="403" 403g.mid.mp3</v>
      </c>
      <c r="P166" s="4" t="e">
        <f ca="1">VLOOKUP(Table2[[#This Row],[mp3_file]],Table3[#All],3,FALSE)</f>
        <v>#NAME?</v>
      </c>
    </row>
    <row r="167" spans="1:16" x14ac:dyDescent="0.3">
      <c r="A167">
        <v>244</v>
      </c>
      <c r="B167" t="s">
        <v>666</v>
      </c>
      <c r="C167" t="s">
        <v>424</v>
      </c>
      <c r="D167" s="7">
        <f>IFERROR(VLOOKUP(Table2[[#This Row],[tune_meter]],Table1[#All],3,FALSE),"NONE")</f>
        <v>45</v>
      </c>
      <c r="F167" t="s">
        <v>459</v>
      </c>
      <c r="G167" t="str">
        <f>IF(Table2[[#This Row],[tune_book]]="LFTBs","Red Book","Green Book")</f>
        <v>Red Book</v>
      </c>
      <c r="H167" t="s">
        <v>460</v>
      </c>
      <c r="I167" t="s">
        <v>667</v>
      </c>
      <c r="J167" t="str">
        <f>Table2[[#This Row],[file_name]]&amp;".mp3"</f>
        <v>244r.mid.mp3</v>
      </c>
      <c r="M167">
        <v>117</v>
      </c>
      <c r="N1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--song="Dartry (10.4.10.4.10.10.)" --artist="John Mason" --comment="" --album="Red Book" --track="244" 244r.mid.mp3</v>
      </c>
      <c r="P167" s="4" t="e">
        <f ca="1">VLOOKUP(Table2[[#This Row],[mp3_file]],Table3[#All],3,FALSE)</f>
        <v>#NAME?</v>
      </c>
    </row>
    <row r="168" spans="1:16" x14ac:dyDescent="0.3">
      <c r="A168">
        <v>195</v>
      </c>
      <c r="B168" t="s">
        <v>1489</v>
      </c>
      <c r="C168" t="s">
        <v>540</v>
      </c>
      <c r="D168" s="7">
        <f>IFERROR(VLOOKUP(Table2[[#This Row],[tune_meter]],Table1[#All],3,FALSE),"NONE")</f>
        <v>51</v>
      </c>
      <c r="F168" t="s">
        <v>324</v>
      </c>
      <c r="G168" t="str">
        <f>IF(Table2[[#This Row],[tune_book]]="LFTBs","Red Book","Green Book")</f>
        <v>Green Book</v>
      </c>
      <c r="H168" t="s">
        <v>1490</v>
      </c>
      <c r="I168" t="s">
        <v>1491</v>
      </c>
      <c r="J168" t="str">
        <f>Table2[[#This Row],[file_name]]&amp;".mp3"</f>
        <v>195g.mid.mp3</v>
      </c>
      <c r="M168">
        <v>456</v>
      </c>
      <c r="N1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--song="Darwall's 148th (6.6.6.6.8.8.)" --artist="J. Darwall" --comment="" --album="Green Book" --track="195" 195g.mid.mp3</v>
      </c>
      <c r="P168" s="4" t="e">
        <f ca="1">VLOOKUP(Table2[[#This Row],[mp3_file]],Table3[#All],3,FALSE)</f>
        <v>#NAME?</v>
      </c>
    </row>
    <row r="169" spans="1:16" x14ac:dyDescent="0.3">
      <c r="A169">
        <v>422</v>
      </c>
      <c r="B169" t="s">
        <v>356</v>
      </c>
      <c r="C169" t="s">
        <v>343</v>
      </c>
      <c r="D169" s="7">
        <f>IFERROR(VLOOKUP(Table2[[#This Row],[tune_meter]],Table1[#All],3,FALSE),"NONE")</f>
        <v>30</v>
      </c>
      <c r="F169" t="s">
        <v>324</v>
      </c>
      <c r="G169" t="str">
        <f>IF(Table2[[#This Row],[tune_book]]="LFTBs","Red Book","Green Book")</f>
        <v>Green Book</v>
      </c>
      <c r="H169" t="s">
        <v>357</v>
      </c>
      <c r="I169" t="s">
        <v>358</v>
      </c>
      <c r="J169" t="str">
        <f>Table2[[#This Row],[file_name]]&amp;".mp3"</f>
        <v>422g.mid.mp3</v>
      </c>
      <c r="M169">
        <v>10</v>
      </c>
      <c r="N1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--song="David (8.8.8.8.)" --artist="From Handel" --comment="" --album="Green Book" --track="422" 422g.mid.mp3</v>
      </c>
      <c r="P169" s="4" t="e">
        <f ca="1">VLOOKUP(Table2[[#This Row],[mp3_file]],Table3[#All],3,FALSE)</f>
        <v>#NAME?</v>
      </c>
    </row>
    <row r="170" spans="1:16" x14ac:dyDescent="0.3">
      <c r="A170">
        <v>276</v>
      </c>
      <c r="B170" t="s">
        <v>668</v>
      </c>
      <c r="C170" t="s">
        <v>669</v>
      </c>
      <c r="D170" s="7">
        <f>IFERROR(VLOOKUP(Table2[[#This Row],[tune_meter]],Table1[#All],3,FALSE),"NONE")</f>
        <v>31</v>
      </c>
      <c r="F170" t="s">
        <v>459</v>
      </c>
      <c r="G170" t="str">
        <f>IF(Table2[[#This Row],[tune_book]]="LFTBs","Red Book","Green Book")</f>
        <v>Red Book</v>
      </c>
      <c r="H170" t="s">
        <v>670</v>
      </c>
      <c r="I170" t="s">
        <v>671</v>
      </c>
      <c r="J170" t="str">
        <f>Table2[[#This Row],[file_name]]&amp;".mp3"</f>
        <v>276r.mid.mp3</v>
      </c>
      <c r="M170">
        <v>118</v>
      </c>
      <c r="N1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--song="Dawning (11.11.11.11.)" --artist="John F. Harvey" --comment="" --album="Red Book" --track="276" 276r.mid.mp3</v>
      </c>
      <c r="P170" s="4" t="e">
        <f ca="1">VLOOKUP(Table2[[#This Row],[mp3_file]],Table3[#All],3,FALSE)</f>
        <v>#NAME?</v>
      </c>
    </row>
    <row r="171" spans="1:16" x14ac:dyDescent="0.3">
      <c r="A171">
        <v>15</v>
      </c>
      <c r="B171" t="s">
        <v>1403</v>
      </c>
      <c r="C171" t="s">
        <v>486</v>
      </c>
      <c r="D171" s="7">
        <f>IFERROR(VLOOKUP(Table2[[#This Row],[tune_meter]],Table1[#All],3,FALSE),"NONE")</f>
        <v>19</v>
      </c>
      <c r="F171" t="s">
        <v>324</v>
      </c>
      <c r="G171" t="str">
        <f>IF(Table2[[#This Row],[tune_book]]="LFTBs","Red Book","Green Book")</f>
        <v>Green Book</v>
      </c>
      <c r="H171" t="s">
        <v>2777</v>
      </c>
      <c r="I171" t="s">
        <v>1404</v>
      </c>
      <c r="J171" t="str">
        <f>Table2[[#This Row],[file_name]]&amp;".mp3"</f>
        <v>15g.mid.mp3</v>
      </c>
      <c r="M171">
        <v>419</v>
      </c>
      <c r="N1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--song="Day Dawn (C.M.)" --artist="H. F. Morley" --comment="" --album="Green Book" --track="15" 15g.mid.mp3</v>
      </c>
      <c r="P171" s="4" t="e">
        <f ca="1">VLOOKUP(Table2[[#This Row],[mp3_file]],Table3[#All],3,FALSE)</f>
        <v>#NAME?</v>
      </c>
    </row>
    <row r="172" spans="1:16" x14ac:dyDescent="0.3">
      <c r="A172">
        <v>234</v>
      </c>
      <c r="B172" t="s">
        <v>1898</v>
      </c>
      <c r="C172" t="s">
        <v>467</v>
      </c>
      <c r="D172" s="7">
        <f>IFERROR(VLOOKUP(Table2[[#This Row],[tune_meter]],Table1[#All],3,FALSE),"NONE")</f>
        <v>34</v>
      </c>
      <c r="F172" t="s">
        <v>324</v>
      </c>
      <c r="G172" t="str">
        <f>IF(Table2[[#This Row],[tune_book]]="LFTBs","Red Book","Green Book")</f>
        <v>Green Book</v>
      </c>
      <c r="H172" t="s">
        <v>2778</v>
      </c>
      <c r="I172" t="s">
        <v>1899</v>
      </c>
      <c r="J172" t="str">
        <f>Table2[[#This Row],[file_name]]&amp;".mp3"</f>
        <v>234g.mid.mp3</v>
      </c>
      <c r="M172">
        <v>630</v>
      </c>
      <c r="N1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--song="Day of Rest (7.6.7.6.7.6.7.6.)" --artist="J. W. Elliott" --comment="" --album="Green Book" --track="234" 234g.mid.mp3</v>
      </c>
      <c r="P172" s="4" t="e">
        <f ca="1">VLOOKUP(Table2[[#This Row],[mp3_file]],Table3[#All],3,FALSE)</f>
        <v>#NAME?</v>
      </c>
    </row>
    <row r="173" spans="1:16" x14ac:dyDescent="0.3">
      <c r="A173">
        <v>135</v>
      </c>
      <c r="B173" t="s">
        <v>672</v>
      </c>
      <c r="C173" t="s">
        <v>611</v>
      </c>
      <c r="D173" s="7">
        <f>IFERROR(VLOOKUP(Table2[[#This Row],[tune_meter]],Table1[#All],3,FALSE),"NONE")</f>
        <v>72</v>
      </c>
      <c r="F173" t="s">
        <v>459</v>
      </c>
      <c r="G173" t="str">
        <f>IF(Table2[[#This Row],[tune_book]]="LFTBs","Red Book","Green Book")</f>
        <v>Red Book</v>
      </c>
      <c r="H173" t="s">
        <v>2779</v>
      </c>
      <c r="I173" t="s">
        <v>673</v>
      </c>
      <c r="J173" t="str">
        <f>Table2[[#This Row],[file_name]]&amp;".mp3"</f>
        <v>135r.mid.mp3</v>
      </c>
      <c r="M173">
        <v>119</v>
      </c>
      <c r="N1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--song="Dayspring (8.6.8.4.)" --artist="J. F. Taylor" --comment="" --album="Red Book" --track="135" 135r.mid.mp3</v>
      </c>
      <c r="P173" s="4" t="e">
        <f ca="1">VLOOKUP(Table2[[#This Row],[mp3_file]],Table3[#All],3,FALSE)</f>
        <v>#NAME?</v>
      </c>
    </row>
    <row r="174" spans="1:16" x14ac:dyDescent="0.3">
      <c r="A174">
        <v>172</v>
      </c>
      <c r="B174" t="s">
        <v>359</v>
      </c>
      <c r="C174" t="s">
        <v>360</v>
      </c>
      <c r="D174" s="7">
        <f>IFERROR(VLOOKUP(Table2[[#This Row],[tune_meter]],Table1[#All],3,FALSE),"NONE")</f>
        <v>32</v>
      </c>
      <c r="F174" t="s">
        <v>324</v>
      </c>
      <c r="G174" t="str">
        <f>IF(Table2[[#This Row],[tune_book]]="LFTBs","Red Book","Green Book")</f>
        <v>Green Book</v>
      </c>
      <c r="H174" t="s">
        <v>2780</v>
      </c>
      <c r="I174" t="s">
        <v>361</v>
      </c>
      <c r="J174" t="str">
        <f>Table2[[#This Row],[file_name]]&amp;".mp3"</f>
        <v>172g.mid.mp3</v>
      </c>
      <c r="K174">
        <v>1951</v>
      </c>
      <c r="M174">
        <v>11</v>
      </c>
      <c r="N1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--song="Deboroah (6.4.6.4.6.4.6.4.)" --artist="Miss D. A. Elderton" --comment="" --album="Green Book" --track="172" 172g.mid.mp3</v>
      </c>
      <c r="P174" s="4" t="e">
        <f ca="1">VLOOKUP(Table2[[#This Row],[mp3_file]],Table3[#All],3,FALSE)</f>
        <v>#NAME?</v>
      </c>
    </row>
    <row r="175" spans="1:16" x14ac:dyDescent="0.3">
      <c r="A175">
        <v>96</v>
      </c>
      <c r="B175" t="s">
        <v>1229</v>
      </c>
      <c r="C175" t="s">
        <v>516</v>
      </c>
      <c r="D175" s="7">
        <f>IFERROR(VLOOKUP(Table2[[#This Row],[tune_meter]],Table1[#All],3,FALSE),"NONE")</f>
        <v>16</v>
      </c>
      <c r="F175" t="s">
        <v>324</v>
      </c>
      <c r="G175" t="str">
        <f>IF(Table2[[#This Row],[tune_book]]="LFTBs","Red Book","Green Book")</f>
        <v>Green Book</v>
      </c>
      <c r="H175" t="s">
        <v>1230</v>
      </c>
      <c r="I175" t="s">
        <v>1231</v>
      </c>
      <c r="J175" t="str">
        <f>Table2[[#This Row],[file_name]]&amp;".mp3"</f>
        <v>96g.mid.mp3</v>
      </c>
      <c r="M175">
        <v>346</v>
      </c>
      <c r="N1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--song="Deep Harmony (L.M.)" --artist="Handel Parker" --comment="" --album="Green Book" --track="96" 96g.mid.mp3</v>
      </c>
      <c r="P175" s="4" t="e">
        <f ca="1">VLOOKUP(Table2[[#This Row],[mp3_file]],Table3[#All],3,FALSE)</f>
        <v>#NAME?</v>
      </c>
    </row>
    <row r="176" spans="1:16" x14ac:dyDescent="0.3">
      <c r="A176">
        <v>378</v>
      </c>
      <c r="B176" t="s">
        <v>1993</v>
      </c>
      <c r="C176" t="s">
        <v>476</v>
      </c>
      <c r="D176" s="7">
        <f>IFERROR(VLOOKUP(Table2[[#This Row],[tune_meter]],Table1[#All],3,FALSE),"NONE")</f>
        <v>25</v>
      </c>
      <c r="F176" t="s">
        <v>324</v>
      </c>
      <c r="G176" t="str">
        <f>IF(Table2[[#This Row],[tune_book]]="LFTBs","Red Book","Green Book")</f>
        <v>Green Book</v>
      </c>
      <c r="H176" t="s">
        <v>1368</v>
      </c>
      <c r="I176" t="s">
        <v>1994</v>
      </c>
      <c r="J176" t="str">
        <f>Table2[[#This Row],[file_name]]&amp;".mp3"</f>
        <v>378g.mid.mp3</v>
      </c>
      <c r="M176">
        <v>670</v>
      </c>
      <c r="N1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--song="Deerhurst (8.7.8.7.8.7.8.7.)" --artist="J. Langran" --comment="" --album="Green Book" --track="378" 378g.mid.mp3</v>
      </c>
      <c r="P176" s="4" t="e">
        <f ca="1">VLOOKUP(Table2[[#This Row],[mp3_file]],Table3[#All],3,FALSE)</f>
        <v>#NAME?</v>
      </c>
    </row>
    <row r="177" spans="1:16" x14ac:dyDescent="0.3">
      <c r="A177">
        <v>250</v>
      </c>
      <c r="B177" t="s">
        <v>674</v>
      </c>
      <c r="C177" t="s">
        <v>582</v>
      </c>
      <c r="D177" s="7">
        <f>IFERROR(VLOOKUP(Table2[[#This Row],[tune_meter]],Table1[#All],3,FALSE),"NONE")</f>
        <v>21</v>
      </c>
      <c r="F177" t="s">
        <v>459</v>
      </c>
      <c r="G177" t="str">
        <f>IF(Table2[[#This Row],[tune_book]]="LFTBs","Red Book","Green Book")</f>
        <v>Red Book</v>
      </c>
      <c r="H177" t="s">
        <v>1310</v>
      </c>
      <c r="I177" t="s">
        <v>675</v>
      </c>
      <c r="J177" t="str">
        <f>Table2[[#This Row],[file_name]]&amp;".mp3"</f>
        <v>250r.mid.mp3</v>
      </c>
      <c r="K177" s="4">
        <v>1903</v>
      </c>
      <c r="M177">
        <v>120</v>
      </c>
      <c r="N1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--song="Denton (10.10.10.10.)" --artist="T. Willey" --comment="" --album="Red Book" --track="250" 250r.mid.mp3</v>
      </c>
      <c r="P177" s="4" t="e">
        <f ca="1">VLOOKUP(Table2[[#This Row],[mp3_file]],Table3[#All],3,FALSE)</f>
        <v>#NAME?</v>
      </c>
    </row>
    <row r="178" spans="1:16" x14ac:dyDescent="0.3">
      <c r="A178">
        <v>480</v>
      </c>
      <c r="B178" t="s">
        <v>1362</v>
      </c>
      <c r="C178" t="s">
        <v>582</v>
      </c>
      <c r="D178" s="7">
        <f>IFERROR(VLOOKUP(Table2[[#This Row],[tune_meter]],Table1[#All],3,FALSE),"NONE")</f>
        <v>21</v>
      </c>
      <c r="F178" t="s">
        <v>324</v>
      </c>
      <c r="G178" t="str">
        <f>IF(Table2[[#This Row],[tune_book]]="LFTBs","Red Book","Green Book")</f>
        <v>Green Book</v>
      </c>
      <c r="H178" t="s">
        <v>351</v>
      </c>
      <c r="I178" t="s">
        <v>1363</v>
      </c>
      <c r="J178" t="str">
        <f>Table2[[#This Row],[file_name]]&amp;".mp3"</f>
        <v>480g.mid.mp3</v>
      </c>
      <c r="M178">
        <v>401</v>
      </c>
      <c r="N1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--song="Deramore (10.10.10.10.)" --artist="C. Leflaive" --comment="" --album="Green Book" --track="480" 480g.mid.mp3</v>
      </c>
      <c r="P178" s="4" t="e">
        <f ca="1">VLOOKUP(Table2[[#This Row],[mp3_file]],Table3[#All],3,FALSE)</f>
        <v>#NAME?</v>
      </c>
    </row>
    <row r="179" spans="1:16" x14ac:dyDescent="0.3">
      <c r="A179">
        <v>223</v>
      </c>
      <c r="B179" t="s">
        <v>676</v>
      </c>
      <c r="C179" t="s">
        <v>492</v>
      </c>
      <c r="D179" s="7">
        <f>IFERROR(VLOOKUP(Table2[[#This Row],[tune_meter]],Table1[#All],3,FALSE),"NONE")</f>
        <v>35</v>
      </c>
      <c r="F179" t="s">
        <v>459</v>
      </c>
      <c r="G179" t="str">
        <f>IF(Table2[[#This Row],[tune_book]]="LFTBs","Red Book","Green Book")</f>
        <v>Red Book</v>
      </c>
      <c r="H179" t="s">
        <v>367</v>
      </c>
      <c r="I179" t="s">
        <v>677</v>
      </c>
      <c r="J179" t="str">
        <f>Table2[[#This Row],[file_name]]&amp;".mp3"</f>
        <v>223r.mid.mp3</v>
      </c>
      <c r="M179">
        <v>121</v>
      </c>
      <c r="N1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--song="Derry (9.8.9.8.)" --artist="Gordon Millar" --comment="" --album="Red Book" --track="223" 223r.mid.mp3</v>
      </c>
      <c r="P179" s="4" t="e">
        <f ca="1">VLOOKUP(Table2[[#This Row],[mp3_file]],Table3[#All],3,FALSE)</f>
        <v>#NAME?</v>
      </c>
    </row>
    <row r="180" spans="1:16" x14ac:dyDescent="0.3">
      <c r="A180">
        <v>128</v>
      </c>
      <c r="B180" t="s">
        <v>678</v>
      </c>
      <c r="C180" t="s">
        <v>523</v>
      </c>
      <c r="D180" s="7">
        <f>IFERROR(VLOOKUP(Table2[[#This Row],[tune_meter]],Table1[#All],3,FALSE),"NONE")</f>
        <v>53</v>
      </c>
      <c r="F180" t="s">
        <v>459</v>
      </c>
      <c r="G180" t="str">
        <f>IF(Table2[[#This Row],[tune_book]]="LFTBs","Red Book","Green Book")</f>
        <v>Red Book</v>
      </c>
      <c r="H180" t="s">
        <v>679</v>
      </c>
      <c r="I180" t="s">
        <v>680</v>
      </c>
      <c r="J180" t="str">
        <f>Table2[[#This Row],[file_name]]&amp;".mp3"</f>
        <v>128r.mid.mp3</v>
      </c>
      <c r="L180" t="s">
        <v>681</v>
      </c>
      <c r="M180">
        <v>122</v>
      </c>
      <c r="N1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--song="Derwent (8.5.8.3.)" --artist="C.L. Naylor" --comment="Copyright.  By permission of the Methodist Youth Department." --album="Red Book" --track="128" 128r.mid.mp3</v>
      </c>
      <c r="P180" s="4" t="e">
        <f ca="1">VLOOKUP(Table2[[#This Row],[mp3_file]],Table3[#All],3,FALSE)</f>
        <v>#NAME?</v>
      </c>
    </row>
    <row r="181" spans="1:16" x14ac:dyDescent="0.3">
      <c r="A181">
        <v>545</v>
      </c>
      <c r="B181" t="s">
        <v>1741</v>
      </c>
      <c r="C181" t="s">
        <v>473</v>
      </c>
      <c r="D181" s="7">
        <f>IFERROR(VLOOKUP(Table2[[#This Row],[tune_meter]],Table1[#All],3,FALSE),"NONE")</f>
        <v>48</v>
      </c>
      <c r="F181" t="s">
        <v>324</v>
      </c>
      <c r="G181" t="str">
        <f>IF(Table2[[#This Row],[tune_book]]="LFTBs","Red Book","Green Book")</f>
        <v>Green Book</v>
      </c>
      <c r="H181" t="s">
        <v>384</v>
      </c>
      <c r="I181" t="s">
        <v>1742</v>
      </c>
      <c r="J181" t="str">
        <f>Table2[[#This Row],[file_name]]&amp;".mp3"</f>
        <v>545g.mid.mp3</v>
      </c>
      <c r="K181">
        <v>1951</v>
      </c>
      <c r="M181">
        <v>565</v>
      </c>
      <c r="N1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--song="Detroit (12.13.12.10.)" --artist="E. Carren" --comment="" --album="Green Book" --track="545" 545g.mid.mp3</v>
      </c>
      <c r="P181" s="4" t="e">
        <f ca="1">VLOOKUP(Table2[[#This Row],[mp3_file]],Table3[#All],3,FALSE)</f>
        <v>#NAME?</v>
      </c>
    </row>
    <row r="182" spans="1:16" x14ac:dyDescent="0.3">
      <c r="A182">
        <v>160</v>
      </c>
      <c r="B182" t="s">
        <v>1470</v>
      </c>
      <c r="C182" t="s">
        <v>664</v>
      </c>
      <c r="D182" s="7">
        <f>IFERROR(VLOOKUP(Table2[[#This Row],[tune_meter]],Table1[#All],3,FALSE),"NONE")</f>
        <v>70</v>
      </c>
      <c r="F182" t="s">
        <v>324</v>
      </c>
      <c r="G182" t="str">
        <f>IF(Table2[[#This Row],[tune_book]]="LFTBs","Red Book","Green Book")</f>
        <v>Green Book</v>
      </c>
      <c r="H182" t="s">
        <v>1471</v>
      </c>
      <c r="I182" t="s">
        <v>1472</v>
      </c>
      <c r="J182" t="str">
        <f>Table2[[#This Row],[file_name]]&amp;".mp3"</f>
        <v>160g.mid.mp3</v>
      </c>
      <c r="M182">
        <v>448</v>
      </c>
      <c r="N1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--song="Diademata (S.M.D.)" --artist="Sir George J. Elvey" --comment="" --album="Green Book" --track="160" 160g.mid.mp3</v>
      </c>
      <c r="P182" s="4" t="e">
        <f ca="1">VLOOKUP(Table2[[#This Row],[mp3_file]],Table3[#All],3,FALSE)</f>
        <v>#NAME?</v>
      </c>
    </row>
    <row r="183" spans="1:16" x14ac:dyDescent="0.3">
      <c r="A183">
        <v>355</v>
      </c>
      <c r="B183" t="s">
        <v>1605</v>
      </c>
      <c r="C183" t="s">
        <v>652</v>
      </c>
      <c r="D183" s="7">
        <f>IFERROR(VLOOKUP(Table2[[#This Row],[tune_meter]],Table1[#All],3,FALSE),"NONE")</f>
        <v>94</v>
      </c>
      <c r="F183" t="s">
        <v>324</v>
      </c>
      <c r="G183" t="str">
        <f>IF(Table2[[#This Row],[tune_book]]="LFTBs","Red Book","Green Book")</f>
        <v>Green Book</v>
      </c>
      <c r="H183" t="s">
        <v>2781</v>
      </c>
      <c r="I183" t="s">
        <v>1606</v>
      </c>
      <c r="J183" t="str">
        <f>Table2[[#This Row],[file_name]]&amp;".mp3"</f>
        <v>355g.mid.mp3</v>
      </c>
      <c r="M183">
        <v>506</v>
      </c>
      <c r="N1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--song="Dominus Regit Me (8.7.8.7. Iambic)" --artist="Dr J. B. Dykes" --comment="" --album="Green Book" --track="355" 355g.mid.mp3</v>
      </c>
      <c r="P183" s="4" t="e">
        <f ca="1">VLOOKUP(Table2[[#This Row],[mp3_file]],Table3[#All],3,FALSE)</f>
        <v>#NAME?</v>
      </c>
    </row>
    <row r="184" spans="1:16" x14ac:dyDescent="0.3">
      <c r="A184">
        <v>523</v>
      </c>
      <c r="B184" t="s">
        <v>2152</v>
      </c>
      <c r="C184" t="s">
        <v>543</v>
      </c>
      <c r="D184" s="7">
        <f>IFERROR(VLOOKUP(Table2[[#This Row],[tune_meter]],Table1[#All],3,FALSE),"NONE")</f>
        <v>17</v>
      </c>
      <c r="F184" t="s">
        <v>324</v>
      </c>
      <c r="G184" t="str">
        <f>IF(Table2[[#This Row],[tune_book]]="LFTBs","Red Book","Green Book")</f>
        <v>Green Book</v>
      </c>
      <c r="H184" t="s">
        <v>2782</v>
      </c>
      <c r="I184" t="s">
        <v>2153</v>
      </c>
      <c r="J184" t="str">
        <f>Table2[[#This Row],[file_name]]&amp;".mp3"</f>
        <v>523g.mid.mp3</v>
      </c>
      <c r="K184">
        <v>1932</v>
      </c>
      <c r="M184">
        <v>744</v>
      </c>
      <c r="N1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--song="Doranne (11.10.11.10. Dactylic)" --artist="Mrs. H. B. Cowie" --comment="" --album="Green Book" --track="523" 523g.mid.mp3</v>
      </c>
      <c r="P184" s="4" t="e">
        <f ca="1">VLOOKUP(Table2[[#This Row],[mp3_file]],Table3[#All],3,FALSE)</f>
        <v>#NAME?</v>
      </c>
    </row>
    <row r="185" spans="1:16" x14ac:dyDescent="0.3">
      <c r="A185">
        <v>207</v>
      </c>
      <c r="B185" t="s">
        <v>682</v>
      </c>
      <c r="C185" t="s">
        <v>520</v>
      </c>
      <c r="D185" s="7">
        <f>IFERROR(VLOOKUP(Table2[[#This Row],[tune_meter]],Table1[#All],3,FALSE),"NONE")</f>
        <v>58</v>
      </c>
      <c r="F185" t="s">
        <v>459</v>
      </c>
      <c r="G185" t="str">
        <f>IF(Table2[[#This Row],[tune_book]]="LFTBs","Red Book","Green Book")</f>
        <v>Red Book</v>
      </c>
      <c r="H185" t="s">
        <v>384</v>
      </c>
      <c r="I185" t="s">
        <v>683</v>
      </c>
      <c r="J185" t="str">
        <f>Table2[[#This Row],[file_name]]&amp;".mp3"</f>
        <v>207r.mid.mp3</v>
      </c>
      <c r="M185">
        <v>123</v>
      </c>
      <c r="N1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--song="Dorea (8.8.8.8.6.)" --artist="E. Carren" --comment="" --album="Red Book" --track="207" 207r.mid.mp3</v>
      </c>
      <c r="P185" s="4" t="e">
        <f ca="1">VLOOKUP(Table2[[#This Row],[mp3_file]],Table3[#All],3,FALSE)</f>
        <v>#NAME?</v>
      </c>
    </row>
    <row r="186" spans="1:16" x14ac:dyDescent="0.3">
      <c r="A186">
        <v>379</v>
      </c>
      <c r="B186" t="s">
        <v>1995</v>
      </c>
      <c r="C186" t="s">
        <v>476</v>
      </c>
      <c r="D186" s="7">
        <f>IFERROR(VLOOKUP(Table2[[#This Row],[tune_meter]],Table1[#All],3,FALSE),"NONE")</f>
        <v>25</v>
      </c>
      <c r="F186" t="s">
        <v>324</v>
      </c>
      <c r="G186" t="str">
        <f>IF(Table2[[#This Row],[tune_book]]="LFTBs","Red Book","Green Book")</f>
        <v>Green Book</v>
      </c>
      <c r="H186" t="s">
        <v>2783</v>
      </c>
      <c r="I186" t="s">
        <v>1996</v>
      </c>
      <c r="J186" t="str">
        <f>Table2[[#This Row],[file_name]]&amp;".mp3"</f>
        <v>379g.mid.mp3</v>
      </c>
      <c r="M186">
        <v>671</v>
      </c>
      <c r="N1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--song="Downham (8.7.8.7.8.7.8.7.)" --artist="J. N. Barrett" --comment="" --album="Green Book" --track="379" 379g.mid.mp3</v>
      </c>
      <c r="P186" s="4" t="e">
        <f ca="1">VLOOKUP(Table2[[#This Row],[mp3_file]],Table3[#All],3,FALSE)</f>
        <v>#NAME?</v>
      </c>
    </row>
    <row r="187" spans="1:16" x14ac:dyDescent="0.3">
      <c r="A187">
        <v>459</v>
      </c>
      <c r="B187" t="s">
        <v>362</v>
      </c>
      <c r="C187" t="s">
        <v>363</v>
      </c>
      <c r="D187" s="7">
        <f>IFERROR(VLOOKUP(Table2[[#This Row],[tune_meter]],Table1[#All],3,FALSE),"NONE")</f>
        <v>91</v>
      </c>
      <c r="F187" t="s">
        <v>324</v>
      </c>
      <c r="G187" t="str">
        <f>IF(Table2[[#This Row],[tune_book]]="LFTBs","Red Book","Green Book")</f>
        <v>Green Book</v>
      </c>
      <c r="H187" t="s">
        <v>2784</v>
      </c>
      <c r="I187" t="s">
        <v>365</v>
      </c>
      <c r="J187" t="str">
        <f>Table2[[#This Row],[file_name]]&amp;".mp3"</f>
        <v>459g.mid.mp3</v>
      </c>
      <c r="M187">
        <v>12</v>
      </c>
      <c r="N1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--song="Draw Me Nearer (10.7.10.7. Chorus 11.7.11.7.)" --artist="W. H. Doane" --comment="" --album="Green Book" --track="459" 459g.mid.mp3</v>
      </c>
      <c r="P187" s="4" t="e">
        <f ca="1">VLOOKUP(Table2[[#This Row],[mp3_file]],Table3[#All],3,FALSE)</f>
        <v>#NAME?</v>
      </c>
    </row>
    <row r="188" spans="1:16" x14ac:dyDescent="0.3">
      <c r="A188">
        <v>235</v>
      </c>
      <c r="B188" t="s">
        <v>1900</v>
      </c>
      <c r="C188" t="s">
        <v>467</v>
      </c>
      <c r="D188" s="7">
        <f>IFERROR(VLOOKUP(Table2[[#This Row],[tune_meter]],Table1[#All],3,FALSE),"NONE")</f>
        <v>34</v>
      </c>
      <c r="F188" t="s">
        <v>324</v>
      </c>
      <c r="G188" t="str">
        <f>IF(Table2[[#This Row],[tune_book]]="LFTBs","Red Book","Green Book")</f>
        <v>Green Book</v>
      </c>
      <c r="H188" t="s">
        <v>2785</v>
      </c>
      <c r="I188" t="s">
        <v>1901</v>
      </c>
      <c r="J188" t="str">
        <f>Table2[[#This Row],[file_name]]&amp;".mp3"</f>
        <v>235g.mid.mp3</v>
      </c>
      <c r="M188">
        <v>631</v>
      </c>
      <c r="N1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--song="Dresden (7.6.7.6.7.6.7.6.)" --artist="J. A. P. Schulz" --comment="" --album="Green Book" --track="235" 235g.mid.mp3</v>
      </c>
      <c r="P188" s="4" t="e">
        <f ca="1">VLOOKUP(Table2[[#This Row],[mp3_file]],Table3[#All],3,FALSE)</f>
        <v>#NAME?</v>
      </c>
    </row>
    <row r="189" spans="1:16" x14ac:dyDescent="0.3">
      <c r="A189">
        <v>275</v>
      </c>
      <c r="B189" t="s">
        <v>684</v>
      </c>
      <c r="C189" t="s">
        <v>685</v>
      </c>
      <c r="D189" s="7">
        <f>IFERROR(VLOOKUP(Table2[[#This Row],[tune_meter]],Table1[#All],3,FALSE),"NONE")</f>
        <v>67</v>
      </c>
      <c r="F189" t="s">
        <v>459</v>
      </c>
      <c r="G189" t="str">
        <f>IF(Table2[[#This Row],[tune_book]]="LFTBs","Red Book","Green Book")</f>
        <v>Red Book</v>
      </c>
      <c r="H189" t="s">
        <v>367</v>
      </c>
      <c r="I189" t="s">
        <v>686</v>
      </c>
      <c r="J189" t="str">
        <f>Table2[[#This Row],[file_name]]&amp;".mp3"</f>
        <v>275r.mid.mp3</v>
      </c>
      <c r="M189">
        <v>124</v>
      </c>
      <c r="N1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--song="Drumbathie (11.10.11.10.9.11.)" --artist="Gordon Millar" --comment="" --album="Red Book" --track="275" 275r.mid.mp3</v>
      </c>
      <c r="P189" s="4" t="e">
        <f ca="1">VLOOKUP(Table2[[#This Row],[mp3_file]],Table3[#All],3,FALSE)</f>
        <v>#NAME?</v>
      </c>
    </row>
    <row r="190" spans="1:16" x14ac:dyDescent="0.3">
      <c r="A190">
        <v>212</v>
      </c>
      <c r="B190" t="s">
        <v>366</v>
      </c>
      <c r="C190" t="s">
        <v>332</v>
      </c>
      <c r="D190" s="7">
        <f>IFERROR(VLOOKUP(Table2[[#This Row],[tune_meter]],Table1[#All],3,FALSE),"NONE")</f>
        <v>73</v>
      </c>
      <c r="F190" t="s">
        <v>324</v>
      </c>
      <c r="G190" t="str">
        <f>IF(Table2[[#This Row],[tune_book]]="LFTBs","Red Book","Green Book")</f>
        <v>Green Book</v>
      </c>
      <c r="H190" t="s">
        <v>367</v>
      </c>
      <c r="I190" t="s">
        <v>368</v>
      </c>
      <c r="J190" t="str">
        <f>Table2[[#This Row],[file_name]]&amp;".mp3"</f>
        <v>212.mid.mp3</v>
      </c>
      <c r="M190">
        <v>13</v>
      </c>
      <c r="N1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--song="Drumduan (6.6.8.6.6.8.)" --artist="Gordon Millar" --comment="" --album="Green Book" --track="212" 212.mid.mp3</v>
      </c>
      <c r="P190" s="4" t="e">
        <f ca="1">VLOOKUP(Table2[[#This Row],[mp3_file]],Table3[#All],3,FALSE)</f>
        <v>#NAME?</v>
      </c>
    </row>
    <row r="191" spans="1:16" x14ac:dyDescent="0.3">
      <c r="A191">
        <v>16</v>
      </c>
      <c r="B191" t="s">
        <v>2786</v>
      </c>
      <c r="C191" t="s">
        <v>486</v>
      </c>
      <c r="D191" s="7">
        <f>IFERROR(VLOOKUP(Table2[[#This Row],[tune_meter]],Table1[#All],3,FALSE),"NONE")</f>
        <v>19</v>
      </c>
      <c r="F191" t="s">
        <v>324</v>
      </c>
      <c r="G191" t="str">
        <f>IF(Table2[[#This Row],[tune_book]]="LFTBs","Red Book","Green Book")</f>
        <v>Green Book</v>
      </c>
      <c r="H191" t="s">
        <v>1405</v>
      </c>
      <c r="I191" t="s">
        <v>1406</v>
      </c>
      <c r="J191" t="str">
        <f>Table2[[#This Row],[file_name]]&amp;".mp3"</f>
        <v>16g.mid.mp3</v>
      </c>
      <c r="M191">
        <v>420</v>
      </c>
      <c r="N1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--song="Dublin (Stevenson) (C.M.)" --artist="Sir John Stevenson" --comment="" --album="Green Book" --track="16" 16g.mid.mp3</v>
      </c>
      <c r="P191" s="4" t="e">
        <f ca="1">VLOOKUP(Table2[[#This Row],[mp3_file]],Table3[#All],3,FALSE)</f>
        <v>#NAME?</v>
      </c>
    </row>
    <row r="192" spans="1:16" x14ac:dyDescent="0.3">
      <c r="A192">
        <v>236</v>
      </c>
      <c r="B192" t="s">
        <v>2787</v>
      </c>
      <c r="C192" t="s">
        <v>467</v>
      </c>
      <c r="D192" s="7">
        <f>IFERROR(VLOOKUP(Table2[[#This Row],[tune_meter]],Table1[#All],3,FALSE),"NONE")</f>
        <v>34</v>
      </c>
      <c r="F192" t="s">
        <v>324</v>
      </c>
      <c r="G192" t="str">
        <f>IF(Table2[[#This Row],[tune_book]]="LFTBs","Red Book","Green Book")</f>
        <v>Green Book</v>
      </c>
      <c r="H192" t="s">
        <v>2788</v>
      </c>
      <c r="I192" t="s">
        <v>1512</v>
      </c>
      <c r="J192" t="str">
        <f>Table2[[#This Row],[file_name]]&amp;".mp3"</f>
        <v>236g.mid.mp3</v>
      </c>
      <c r="K192">
        <v>1880</v>
      </c>
      <c r="M192">
        <v>466</v>
      </c>
      <c r="N1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--song="Dublin (Trench) (7.6.7.6.7.6.7.6.)" --artist="J. C. Trench" --comment="" --album="Green Book" --track="236" 236g.mid.mp3</v>
      </c>
      <c r="P192" s="4" t="e">
        <f ca="1">VLOOKUP(Table2[[#This Row],[mp3_file]],Table3[#All],3,FALSE)</f>
        <v>#NAME?</v>
      </c>
    </row>
    <row r="193" spans="1:16" x14ac:dyDescent="0.3">
      <c r="A193">
        <v>97</v>
      </c>
      <c r="B193" t="s">
        <v>1232</v>
      </c>
      <c r="C193" t="s">
        <v>516</v>
      </c>
      <c r="D193" s="7">
        <f>IFERROR(VLOOKUP(Table2[[#This Row],[tune_meter]],Table1[#All],3,FALSE),"NONE")</f>
        <v>16</v>
      </c>
      <c r="F193" t="s">
        <v>324</v>
      </c>
      <c r="G193" t="str">
        <f>IF(Table2[[#This Row],[tune_book]]="LFTBs","Red Book","Green Book")</f>
        <v>Green Book</v>
      </c>
      <c r="H193" t="s">
        <v>1233</v>
      </c>
      <c r="I193" t="s">
        <v>1234</v>
      </c>
      <c r="J193" t="str">
        <f>Table2[[#This Row],[file_name]]&amp;".mp3"</f>
        <v>97g.mid.mp3</v>
      </c>
      <c r="M193">
        <v>347</v>
      </c>
      <c r="N1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--song="Duke Street (L.M.)" --artist="John Hatton" --comment="" --album="Green Book" --track="97" 97g.mid.mp3</v>
      </c>
      <c r="P193" s="4" t="e">
        <f ca="1">VLOOKUP(Table2[[#This Row],[mp3_file]],Table3[#All],3,FALSE)</f>
        <v>#NAME?</v>
      </c>
    </row>
    <row r="194" spans="1:16" x14ac:dyDescent="0.3">
      <c r="A194">
        <v>17</v>
      </c>
      <c r="B194" t="s">
        <v>2789</v>
      </c>
      <c r="C194" t="s">
        <v>486</v>
      </c>
      <c r="D194" s="7">
        <f>IFERROR(VLOOKUP(Table2[[#This Row],[tune_meter]],Table1[#All],3,FALSE),"NONE")</f>
        <v>19</v>
      </c>
      <c r="F194" t="s">
        <v>324</v>
      </c>
      <c r="G194" t="str">
        <f>IF(Table2[[#This Row],[tune_book]]="LFTBs","Red Book","Green Book")</f>
        <v>Green Book</v>
      </c>
      <c r="H194" t="s">
        <v>1407</v>
      </c>
      <c r="I194" t="s">
        <v>1408</v>
      </c>
      <c r="J194" t="str">
        <f>Table2[[#This Row],[file_name]]&amp;".mp3"</f>
        <v>17g.mid.mp3</v>
      </c>
      <c r="K194">
        <v>1615</v>
      </c>
      <c r="M194">
        <v>421</v>
      </c>
      <c r="N1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--song="Dunfermline (C.M.)" --artist="From 'Scottish Psalter'" --comment="" --album="Green Book" --track="17" 17g.mid.mp3</v>
      </c>
      <c r="P194" s="4" t="e">
        <f ca="1">VLOOKUP(Table2[[#This Row],[mp3_file]],Table3[#All],3,FALSE)</f>
        <v>#NAME?</v>
      </c>
    </row>
    <row r="195" spans="1:16" x14ac:dyDescent="0.3">
      <c r="A195">
        <v>239</v>
      </c>
      <c r="B195" t="s">
        <v>687</v>
      </c>
      <c r="C195" t="s">
        <v>688</v>
      </c>
      <c r="D195" s="7">
        <f>IFERROR(VLOOKUP(Table2[[#This Row],[tune_meter]],Table1[#All],3,FALSE),"NONE")</f>
        <v>69</v>
      </c>
      <c r="F195" t="s">
        <v>459</v>
      </c>
      <c r="G195" t="str">
        <f>IF(Table2[[#This Row],[tune_book]]="LFTBs","Red Book","Green Book")</f>
        <v>Red Book</v>
      </c>
      <c r="H195" t="s">
        <v>367</v>
      </c>
      <c r="I195" t="s">
        <v>689</v>
      </c>
      <c r="J195" t="str">
        <f>Table2[[#This Row],[file_name]]&amp;".mp3"</f>
        <v>239r.mid.mp3</v>
      </c>
      <c r="M195">
        <v>125</v>
      </c>
      <c r="N1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--song="Dunure (9.9.6.6.6.4.)" --artist="Gordon Millar" --comment="" --album="Red Book" --track="239" 239r.mid.mp3</v>
      </c>
      <c r="P195" s="4" t="e">
        <f ca="1">VLOOKUP(Table2[[#This Row],[mp3_file]],Table3[#All],3,FALSE)</f>
        <v>#NAME?</v>
      </c>
    </row>
    <row r="196" spans="1:16" x14ac:dyDescent="0.3">
      <c r="A196">
        <v>18</v>
      </c>
      <c r="B196" t="s">
        <v>1409</v>
      </c>
      <c r="C196" t="s">
        <v>486</v>
      </c>
      <c r="D196" s="7">
        <f>IFERROR(VLOOKUP(Table2[[#This Row],[tune_meter]],Table1[#All],3,FALSE),"NONE")</f>
        <v>19</v>
      </c>
      <c r="F196" t="s">
        <v>324</v>
      </c>
      <c r="G196" t="str">
        <f>IF(Table2[[#This Row],[tune_book]]="LFTBs","Red Book","Green Book")</f>
        <v>Green Book</v>
      </c>
      <c r="H196" t="s">
        <v>1410</v>
      </c>
      <c r="I196" t="s">
        <v>1411</v>
      </c>
      <c r="J196" t="str">
        <f>Table2[[#This Row],[file_name]]&amp;".mp3"</f>
        <v>18g.mid.mp3</v>
      </c>
      <c r="M196">
        <v>422</v>
      </c>
      <c r="N1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--song="Eagley (C.M.)" --artist="J. Walch" --comment="" --album="Green Book" --track="18" 18g.mid.mp3</v>
      </c>
      <c r="P196" s="4" t="e">
        <f ca="1">VLOOKUP(Table2[[#This Row],[mp3_file]],Table3[#All],3,FALSE)</f>
        <v>#NAME?</v>
      </c>
    </row>
    <row r="197" spans="1:16" x14ac:dyDescent="0.3">
      <c r="A197">
        <v>30</v>
      </c>
      <c r="B197" t="s">
        <v>690</v>
      </c>
      <c r="C197" t="s">
        <v>516</v>
      </c>
      <c r="D197" s="7">
        <f>IFERROR(VLOOKUP(Table2[[#This Row],[tune_meter]],Table1[#All],3,FALSE),"NONE")</f>
        <v>16</v>
      </c>
      <c r="F197" t="s">
        <v>459</v>
      </c>
      <c r="G197" t="str">
        <f>IF(Table2[[#This Row],[tune_book]]="LFTBs","Red Book","Green Book")</f>
        <v>Red Book</v>
      </c>
      <c r="H197" t="s">
        <v>2798</v>
      </c>
      <c r="I197" t="s">
        <v>691</v>
      </c>
      <c r="J197" t="str">
        <f>Table2[[#This Row],[file_name]]&amp;".mp3"</f>
        <v>30r.mid.mp3</v>
      </c>
      <c r="M197">
        <v>126</v>
      </c>
      <c r="N1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--song="Eastbourne (L.M.)" --artist="C. T. Lambers" --comment="" --album="Red Book" --track="30" 30r.mid.mp3</v>
      </c>
      <c r="P197" s="4" t="e">
        <f ca="1">VLOOKUP(Table2[[#This Row],[mp3_file]],Table3[#All],3,FALSE)</f>
        <v>#NAME?</v>
      </c>
    </row>
    <row r="198" spans="1:16" x14ac:dyDescent="0.3">
      <c r="A198">
        <v>19</v>
      </c>
      <c r="B198" t="s">
        <v>1632</v>
      </c>
      <c r="C198" t="s">
        <v>486</v>
      </c>
      <c r="D198" s="7">
        <f>IFERROR(VLOOKUP(Table2[[#This Row],[tune_meter]],Table1[#All],3,FALSE),"NONE")</f>
        <v>19</v>
      </c>
      <c r="F198" t="s">
        <v>324</v>
      </c>
      <c r="G198" t="str">
        <f>IF(Table2[[#This Row],[tune_book]]="LFTBs","Red Book","Green Book")</f>
        <v>Green Book</v>
      </c>
      <c r="H198" t="s">
        <v>1633</v>
      </c>
      <c r="I198" t="s">
        <v>1634</v>
      </c>
      <c r="J198" t="str">
        <f>Table2[[#This Row],[file_name]]&amp;".mp3"</f>
        <v>19g.mid.mp3</v>
      </c>
      <c r="M198">
        <v>519</v>
      </c>
      <c r="N1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--song="Eastgate (C.M.)" --artist="R. Bennett" --comment="" --album="Green Book" --track="19" 19g.mid.mp3</v>
      </c>
      <c r="P198" s="4" t="e">
        <f ca="1">VLOOKUP(Table2[[#This Row],[mp3_file]],Table3[#All],3,FALSE)</f>
        <v>#NAME?</v>
      </c>
    </row>
    <row r="199" spans="1:16" x14ac:dyDescent="0.3">
      <c r="A199">
        <v>206</v>
      </c>
      <c r="B199" t="s">
        <v>1707</v>
      </c>
      <c r="C199" t="s">
        <v>707</v>
      </c>
      <c r="D199" s="7">
        <f>IFERROR(VLOOKUP(Table2[[#This Row],[tune_meter]],Table1[#All],3,FALSE),"NONE")</f>
        <v>42</v>
      </c>
      <c r="F199" t="s">
        <v>324</v>
      </c>
      <c r="G199" t="str">
        <f>IF(Table2[[#This Row],[tune_book]]="LFTBs","Red Book","Green Book")</f>
        <v>Green Book</v>
      </c>
      <c r="H199" t="s">
        <v>1708</v>
      </c>
      <c r="I199" t="s">
        <v>1709</v>
      </c>
      <c r="J199" t="str">
        <f>Table2[[#This Row],[file_name]]&amp;".mp3"</f>
        <v>206g.mid.mp3</v>
      </c>
      <c r="K199">
        <v>1870</v>
      </c>
      <c r="M199">
        <v>551</v>
      </c>
      <c r="N1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1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--song="Easton (6.6.8.4.)" --artist="W. Easton" --comment="" --album="Green Book" --track="206" 206g.mid.mp3</v>
      </c>
      <c r="P199" s="4" t="e">
        <f ca="1">VLOOKUP(Table2[[#This Row],[mp3_file]],Table3[#All],3,FALSE)</f>
        <v>#NAME?</v>
      </c>
    </row>
    <row r="200" spans="1:16" x14ac:dyDescent="0.3">
      <c r="A200">
        <v>237</v>
      </c>
      <c r="B200" t="s">
        <v>1513</v>
      </c>
      <c r="C200" t="s">
        <v>467</v>
      </c>
      <c r="D200" s="7">
        <f>IFERROR(VLOOKUP(Table2[[#This Row],[tune_meter]],Table1[#All],3,FALSE),"NONE")</f>
        <v>34</v>
      </c>
      <c r="F200" t="s">
        <v>324</v>
      </c>
      <c r="G200" t="str">
        <f>IF(Table2[[#This Row],[tune_book]]="LFTBs","Red Book","Green Book")</f>
        <v>Green Book</v>
      </c>
      <c r="H200" t="s">
        <v>2799</v>
      </c>
      <c r="I200" t="s">
        <v>1514</v>
      </c>
      <c r="J200" t="str">
        <f>Table2[[#This Row],[file_name]]&amp;".mp3"</f>
        <v>237g.mid.mp3</v>
      </c>
      <c r="M200">
        <v>467</v>
      </c>
      <c r="N2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--song="Eaton Square (7.6.7.6.7.6.7.6.)" --artist="W. G. Fischer" --comment="" --album="Green Book" --track="237" 237g.mid.mp3</v>
      </c>
      <c r="P200" s="4" t="e">
        <f ca="1">VLOOKUP(Table2[[#This Row],[mp3_file]],Table3[#All],3,FALSE)</f>
        <v>#NAME?</v>
      </c>
    </row>
    <row r="201" spans="1:16" x14ac:dyDescent="0.3">
      <c r="A201">
        <v>31</v>
      </c>
      <c r="B201" t="s">
        <v>692</v>
      </c>
      <c r="C201" t="s">
        <v>516</v>
      </c>
      <c r="D201" s="7">
        <f>IFERROR(VLOOKUP(Table2[[#This Row],[tune_meter]],Table1[#All],3,FALSE),"NONE")</f>
        <v>16</v>
      </c>
      <c r="F201" t="s">
        <v>459</v>
      </c>
      <c r="G201" t="str">
        <f>IF(Table2[[#This Row],[tune_book]]="LFTBs","Red Book","Green Book")</f>
        <v>Red Book</v>
      </c>
      <c r="H201" t="s">
        <v>384</v>
      </c>
      <c r="I201" t="s">
        <v>693</v>
      </c>
      <c r="J201" t="str">
        <f>Table2[[#This Row],[file_name]]&amp;".mp3"</f>
        <v>31r.mid.mp3</v>
      </c>
      <c r="M201">
        <v>127</v>
      </c>
      <c r="N2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--song="Ecce Homo (L.M.)" --artist="E. Carren" --comment="" --album="Red Book" --track="31" 31r.mid.mp3</v>
      </c>
      <c r="P201" s="4" t="e">
        <f ca="1">VLOOKUP(Table2[[#This Row],[mp3_file]],Table3[#All],3,FALSE)</f>
        <v>#NAME?</v>
      </c>
    </row>
    <row r="202" spans="1:16" x14ac:dyDescent="0.3">
      <c r="A202">
        <v>100</v>
      </c>
      <c r="B202" t="s">
        <v>1235</v>
      </c>
      <c r="C202" t="s">
        <v>516</v>
      </c>
      <c r="D202" s="7">
        <f>IFERROR(VLOOKUP(Table2[[#This Row],[tune_meter]],Table1[#All],3,FALSE),"NONE")</f>
        <v>16</v>
      </c>
      <c r="F202" t="s">
        <v>324</v>
      </c>
      <c r="G202" t="str">
        <f>IF(Table2[[#This Row],[tune_book]]="LFTBs","Red Book","Green Book")</f>
        <v>Green Book</v>
      </c>
      <c r="H202" t="s">
        <v>410</v>
      </c>
      <c r="I202" t="s">
        <v>1236</v>
      </c>
      <c r="J202" t="str">
        <f>Table2[[#This Row],[file_name]]&amp;".mp3"</f>
        <v>100g.mid.mp3</v>
      </c>
      <c r="M202">
        <v>348</v>
      </c>
      <c r="N2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--song="Eden (L.M.)" --artist="Dr. Lowell Mason" --comment="" --album="Green Book" --track="100" 100g.mid.mp3</v>
      </c>
      <c r="P202" s="4" t="e">
        <f ca="1">VLOOKUP(Table2[[#This Row],[mp3_file]],Table3[#All],3,FALSE)</f>
        <v>#NAME?</v>
      </c>
    </row>
    <row r="203" spans="1:16" x14ac:dyDescent="0.3">
      <c r="A203">
        <v>218</v>
      </c>
      <c r="B203" t="s">
        <v>694</v>
      </c>
      <c r="C203" t="s">
        <v>641</v>
      </c>
      <c r="D203" s="7">
        <f>IFERROR(VLOOKUP(Table2[[#This Row],[tune_meter]],Table1[#All],3,FALSE),"NONE")</f>
        <v>46</v>
      </c>
      <c r="F203" t="s">
        <v>459</v>
      </c>
      <c r="G203" t="str">
        <f>IF(Table2[[#This Row],[tune_book]]="LFTBs","Red Book","Green Book")</f>
        <v>Red Book</v>
      </c>
      <c r="H203" t="s">
        <v>549</v>
      </c>
      <c r="I203" t="s">
        <v>695</v>
      </c>
      <c r="J203" t="str">
        <f>Table2[[#This Row],[file_name]]&amp;".mp3"</f>
        <v>218r.mid.mp3</v>
      </c>
      <c r="M203">
        <v>128</v>
      </c>
      <c r="N2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--song="Edinburgh (8.8.11.8.)" --artist="E.J. Judd" --comment="" --album="Red Book" --track="218" 218r.mid.mp3</v>
      </c>
      <c r="P203" s="4" t="e">
        <f ca="1">VLOOKUP(Table2[[#This Row],[mp3_file]],Table3[#All],3,FALSE)</f>
        <v>#NAME?</v>
      </c>
    </row>
    <row r="204" spans="1:16" x14ac:dyDescent="0.3">
      <c r="A204">
        <v>168</v>
      </c>
      <c r="B204" t="s">
        <v>696</v>
      </c>
      <c r="C204" t="s">
        <v>652</v>
      </c>
      <c r="D204" s="7">
        <f>IFERROR(VLOOKUP(Table2[[#This Row],[tune_meter]],Table1[#All],3,FALSE),"NONE")</f>
        <v>94</v>
      </c>
      <c r="F204" t="s">
        <v>459</v>
      </c>
      <c r="G204" t="str">
        <f>IF(Table2[[#This Row],[tune_book]]="LFTBs","Red Book","Green Book")</f>
        <v>Red Book</v>
      </c>
      <c r="H204" t="s">
        <v>670</v>
      </c>
      <c r="I204" t="s">
        <v>697</v>
      </c>
      <c r="J204" t="str">
        <f>Table2[[#This Row],[file_name]]&amp;".mp3"</f>
        <v>168r.mid.mp3</v>
      </c>
      <c r="M204">
        <v>129</v>
      </c>
      <c r="N2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--song="Edinor (8.7.8.7. Iambic)" --artist="John F. Harvey" --comment="" --album="Red Book" --track="168" 168r.mid.mp3</v>
      </c>
      <c r="P204" s="4" t="e">
        <f ca="1">VLOOKUP(Table2[[#This Row],[mp3_file]],Table3[#All],3,FALSE)</f>
        <v>#NAME?</v>
      </c>
    </row>
    <row r="205" spans="1:16" x14ac:dyDescent="0.3">
      <c r="A205">
        <v>251</v>
      </c>
      <c r="B205" t="s">
        <v>698</v>
      </c>
      <c r="C205" t="s">
        <v>582</v>
      </c>
      <c r="D205" s="7">
        <f>IFERROR(VLOOKUP(Table2[[#This Row],[tune_meter]],Table1[#All],3,FALSE),"NONE")</f>
        <v>21</v>
      </c>
      <c r="F205" t="s">
        <v>459</v>
      </c>
      <c r="G205" t="str">
        <f>IF(Table2[[#This Row],[tune_book]]="LFTBs","Red Book","Green Book")</f>
        <v>Red Book</v>
      </c>
      <c r="H205" t="s">
        <v>699</v>
      </c>
      <c r="I205" t="s">
        <v>700</v>
      </c>
      <c r="J205" t="str">
        <f>Table2[[#This Row],[file_name]]&amp;".mp3"</f>
        <v>251r.mid.mp3</v>
      </c>
      <c r="L205" t="s">
        <v>701</v>
      </c>
      <c r="M205">
        <v>130</v>
      </c>
      <c r="N2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--song="Eilden (10.10.10.10.)" --artist="Arthur Skrede" --comment="Harmonized by Klaus Otsby" --album="Red Book" --track="251" 251r.mid.mp3</v>
      </c>
      <c r="P205" s="4" t="e">
        <f ca="1">VLOOKUP(Table2[[#This Row],[mp3_file]],Table3[#All],3,FALSE)</f>
        <v>#NAME?</v>
      </c>
    </row>
    <row r="206" spans="1:16" x14ac:dyDescent="0.3">
      <c r="A206">
        <v>442</v>
      </c>
      <c r="B206" t="s">
        <v>1352</v>
      </c>
      <c r="C206" t="s">
        <v>641</v>
      </c>
      <c r="D206" s="7">
        <f>IFERROR(VLOOKUP(Table2[[#This Row],[tune_meter]],Table1[#All],3,FALSE),"NONE")</f>
        <v>46</v>
      </c>
      <c r="F206" t="s">
        <v>324</v>
      </c>
      <c r="G206" t="str">
        <f>IF(Table2[[#This Row],[tune_book]]="LFTBs","Red Book","Green Book")</f>
        <v>Green Book</v>
      </c>
      <c r="H206" t="s">
        <v>329</v>
      </c>
      <c r="I206" t="s">
        <v>1353</v>
      </c>
      <c r="J206" t="str">
        <f>Table2[[#This Row],[file_name]]&amp;".mp3"</f>
        <v>442g.mid.mp3</v>
      </c>
      <c r="M206">
        <v>397</v>
      </c>
      <c r="N2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--song="Eirene (8.8.11.8.)" --artist="T. Collins" --comment="" --album="Green Book" --track="442" 442g.mid.mp3</v>
      </c>
      <c r="P206" s="4" t="e">
        <f ca="1">VLOOKUP(Table2[[#This Row],[mp3_file]],Table3[#All],3,FALSE)</f>
        <v>#NAME?</v>
      </c>
    </row>
    <row r="207" spans="1:16" x14ac:dyDescent="0.3">
      <c r="A207">
        <v>54</v>
      </c>
      <c r="B207" t="s">
        <v>702</v>
      </c>
      <c r="C207" t="s">
        <v>354</v>
      </c>
      <c r="D207" s="7">
        <f>IFERROR(VLOOKUP(Table2[[#This Row],[tune_meter]],Table1[#All],3,FALSE),"NONE")</f>
        <v>28</v>
      </c>
      <c r="F207" t="s">
        <v>459</v>
      </c>
      <c r="G207" t="str">
        <f>IF(Table2[[#This Row],[tune_book]]="LFTBs","Red Book","Green Book")</f>
        <v>Red Book</v>
      </c>
      <c r="H207" t="s">
        <v>464</v>
      </c>
      <c r="I207" t="s">
        <v>703</v>
      </c>
      <c r="J207" t="str">
        <f>Table2[[#This Row],[file_name]]&amp;".mp3"</f>
        <v>54r.mid.mp3</v>
      </c>
      <c r="M207">
        <v>131</v>
      </c>
      <c r="N2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 Elyon (4.8.4.8.8.)" --artist="Miss E.C. Shanks" --comment="" --album="Red Book" --track="54" 54r.mid.mp3</v>
      </c>
      <c r="P207" s="4" t="e">
        <f ca="1">VLOOKUP(Table2[[#This Row],[mp3_file]],Table3[#All],3,FALSE)</f>
        <v>#NAME?</v>
      </c>
    </row>
    <row r="208" spans="1:16" x14ac:dyDescent="0.3">
      <c r="A208">
        <v>269</v>
      </c>
      <c r="B208" t="s">
        <v>704</v>
      </c>
      <c r="C208" t="s">
        <v>543</v>
      </c>
      <c r="D208" s="7">
        <f>IFERROR(VLOOKUP(Table2[[#This Row],[tune_meter]],Table1[#All],3,FALSE),"NONE")</f>
        <v>17</v>
      </c>
      <c r="F208" t="s">
        <v>459</v>
      </c>
      <c r="G208" t="str">
        <f>IF(Table2[[#This Row],[tune_book]]="LFTBs","Red Book","Green Book")</f>
        <v>Red Book</v>
      </c>
      <c r="H208" t="s">
        <v>549</v>
      </c>
      <c r="I208" t="s">
        <v>705</v>
      </c>
      <c r="J208" t="str">
        <f>Table2[[#This Row],[file_name]]&amp;".mp3"</f>
        <v>269r.mid.mp3</v>
      </c>
      <c r="M208">
        <v>132</v>
      </c>
      <c r="N2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--song="Elaine (11.10.11.10. Dactylic)" --artist="E.J. Judd" --comment="" --album="Red Book" --track="269" 269r.mid.mp3</v>
      </c>
      <c r="P208" s="4" t="e">
        <f ca="1">VLOOKUP(Table2[[#This Row],[mp3_file]],Table3[#All],3,FALSE)</f>
        <v>#NAME?</v>
      </c>
    </row>
    <row r="209" spans="1:16" x14ac:dyDescent="0.3">
      <c r="A209">
        <v>89</v>
      </c>
      <c r="B209" t="s">
        <v>706</v>
      </c>
      <c r="C209" t="s">
        <v>707</v>
      </c>
      <c r="D209" s="7">
        <f>IFERROR(VLOOKUP(Table2[[#This Row],[tune_meter]],Table1[#All],3,FALSE),"NONE")</f>
        <v>42</v>
      </c>
      <c r="F209" t="s">
        <v>459</v>
      </c>
      <c r="G209" t="str">
        <f>IF(Table2[[#This Row],[tune_book]]="LFTBs","Red Book","Green Book")</f>
        <v>Red Book</v>
      </c>
      <c r="H209" t="s">
        <v>464</v>
      </c>
      <c r="I209" t="s">
        <v>708</v>
      </c>
      <c r="J209" t="str">
        <f>Table2[[#This Row],[file_name]]&amp;".mp3"</f>
        <v>89r.mid.mp3</v>
      </c>
      <c r="M209">
        <v>133</v>
      </c>
      <c r="N2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--song="Elam (6.6.8.4.)" --artist="Miss E.C. Shanks" --comment="" --album="Red Book" --track="89" 89r.mid.mp3</v>
      </c>
      <c r="P209" s="4" t="e">
        <f ca="1">VLOOKUP(Table2[[#This Row],[mp3_file]],Table3[#All],3,FALSE)</f>
        <v>#NAME?</v>
      </c>
    </row>
    <row r="210" spans="1:16" x14ac:dyDescent="0.3">
      <c r="A210">
        <v>215</v>
      </c>
      <c r="B210" t="s">
        <v>2804</v>
      </c>
      <c r="C210" t="s">
        <v>886</v>
      </c>
      <c r="D210" s="7">
        <f>IFERROR(VLOOKUP(Table2[[#This Row],[tune_meter]],Table1[#All],3,FALSE),"NONE")</f>
        <v>41</v>
      </c>
      <c r="F210" t="s">
        <v>324</v>
      </c>
      <c r="G210" t="str">
        <f>IF(Table2[[#This Row],[tune_book]]="LFTBs","Red Book","Green Book")</f>
        <v>Green Book</v>
      </c>
      <c r="H210" t="s">
        <v>333</v>
      </c>
      <c r="I210" t="s">
        <v>1274</v>
      </c>
      <c r="J210" t="str">
        <f>Table2[[#This Row],[file_name]]&amp;".mp3"</f>
        <v>215g.mid.mp3</v>
      </c>
      <c r="M210">
        <v>363</v>
      </c>
      <c r="N2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--song="Elberfeld (7.6.7.6.)" --artist="German Melody" --comment="" --album="Green Book" --track="215" 215g.mid.mp3</v>
      </c>
      <c r="P210" s="4" t="e">
        <f ca="1">VLOOKUP(Table2[[#This Row],[mp3_file]],Table3[#All],3,FALSE)</f>
        <v>#NAME?</v>
      </c>
    </row>
    <row r="211" spans="1:16" x14ac:dyDescent="0.3">
      <c r="A211">
        <v>286</v>
      </c>
      <c r="B211" t="s">
        <v>709</v>
      </c>
      <c r="C211" t="s">
        <v>473</v>
      </c>
      <c r="D211" s="7">
        <f>IFERROR(VLOOKUP(Table2[[#This Row],[tune_meter]],Table1[#All],3,FALSE),"NONE")</f>
        <v>48</v>
      </c>
      <c r="F211" t="s">
        <v>459</v>
      </c>
      <c r="G211" t="str">
        <f>IF(Table2[[#This Row],[tune_book]]="LFTBs","Red Book","Green Book")</f>
        <v>Red Book</v>
      </c>
      <c r="H211" t="s">
        <v>464</v>
      </c>
      <c r="I211" t="s">
        <v>710</v>
      </c>
      <c r="J211" t="str">
        <f>Table2[[#This Row],[file_name]]&amp;".mp3"</f>
        <v>286r.mid.mp3</v>
      </c>
      <c r="M211">
        <v>134</v>
      </c>
      <c r="N2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--song="Eli (12.13.12.10.)" --artist="Miss E.C. Shanks" --comment="" --album="Red Book" --track="286" 286r.mid.mp3</v>
      </c>
      <c r="P211" s="4" t="e">
        <f ca="1">VLOOKUP(Table2[[#This Row],[mp3_file]],Table3[#All],3,FALSE)</f>
        <v>#NAME?</v>
      </c>
    </row>
    <row r="212" spans="1:16" x14ac:dyDescent="0.3">
      <c r="A212">
        <v>538</v>
      </c>
      <c r="B212" t="s">
        <v>1738</v>
      </c>
      <c r="C212" t="s">
        <v>509</v>
      </c>
      <c r="D212" s="7">
        <f>IFERROR(VLOOKUP(Table2[[#This Row],[tune_meter]],Table1[#All],3,FALSE),"NONE")</f>
        <v>64</v>
      </c>
      <c r="F212" t="s">
        <v>324</v>
      </c>
      <c r="G212" t="str">
        <f>IF(Table2[[#This Row],[tune_book]]="LFTBs","Red Book","Green Book")</f>
        <v>Green Book</v>
      </c>
      <c r="H212" t="s">
        <v>1739</v>
      </c>
      <c r="I212" t="s">
        <v>1740</v>
      </c>
      <c r="J212" t="str">
        <f>Table2[[#This Row],[file_name]]&amp;".mp3"</f>
        <v>538g.mid.mp3</v>
      </c>
      <c r="K212">
        <v>1848</v>
      </c>
      <c r="M212">
        <v>564</v>
      </c>
      <c r="N2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--song="Elim (11.11.11.11. Trochaic)" --artist="Miss Davis" --comment="" --album="Green Book" --track="538" 538g.mid.mp3</v>
      </c>
      <c r="P212" s="4" t="e">
        <f ca="1">VLOOKUP(Table2[[#This Row],[mp3_file]],Table3[#All],3,FALSE)</f>
        <v>#NAME?</v>
      </c>
    </row>
    <row r="213" spans="1:16" x14ac:dyDescent="0.3">
      <c r="A213">
        <v>238</v>
      </c>
      <c r="B213" t="s">
        <v>1902</v>
      </c>
      <c r="C213" t="s">
        <v>467</v>
      </c>
      <c r="D213" s="7">
        <f>IFERROR(VLOOKUP(Table2[[#This Row],[tune_meter]],Table1[#All],3,FALSE),"NONE")</f>
        <v>34</v>
      </c>
      <c r="F213" t="s">
        <v>324</v>
      </c>
      <c r="G213" t="str">
        <f>IF(Table2[[#This Row],[tune_book]]="LFTBs","Red Book","Green Book")</f>
        <v>Green Book</v>
      </c>
      <c r="H213" t="s">
        <v>1903</v>
      </c>
      <c r="I213" t="s">
        <v>1904</v>
      </c>
      <c r="J213" t="str">
        <f>Table2[[#This Row],[file_name]]&amp;".mp3"</f>
        <v>238g.mid.mp3</v>
      </c>
      <c r="K213">
        <v>1855</v>
      </c>
      <c r="M213">
        <v>632</v>
      </c>
      <c r="N2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--song="Ellacombe (7.6.7.6.7.6.7.6.)" --artist="From 'Kochers Zionsharfe'" --comment="" --album="Green Book" --track="238" 238g.mid.mp3</v>
      </c>
      <c r="P213" s="4" t="e">
        <f ca="1">VLOOKUP(Table2[[#This Row],[mp3_file]],Table3[#All],3,FALSE)</f>
        <v>#NAME?</v>
      </c>
    </row>
    <row r="214" spans="1:16" x14ac:dyDescent="0.3">
      <c r="A214">
        <v>452</v>
      </c>
      <c r="B214" t="s">
        <v>2080</v>
      </c>
      <c r="C214" t="s">
        <v>1104</v>
      </c>
      <c r="D214" s="7">
        <f>IFERROR(VLOOKUP(Table2[[#This Row],[tune_meter]],Table1[#All],3,FALSE),"NONE")</f>
        <v>60</v>
      </c>
      <c r="F214" t="s">
        <v>324</v>
      </c>
      <c r="G214" t="str">
        <f>IF(Table2[[#This Row],[tune_book]]="LFTBs","Red Book","Green Book")</f>
        <v>Green Book</v>
      </c>
      <c r="H214" t="s">
        <v>1368</v>
      </c>
      <c r="I214" t="s">
        <v>2081</v>
      </c>
      <c r="J214" t="str">
        <f>Table2[[#This Row],[file_name]]&amp;".mp3"</f>
        <v>452g.mid.mp3</v>
      </c>
      <c r="M214">
        <v>710</v>
      </c>
      <c r="N2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--song="Elland (9.9.9.9.)" --artist="J. Langran" --comment="" --album="Green Book" --track="452" 452g.mid.mp3</v>
      </c>
      <c r="P214" s="4" t="e">
        <f ca="1">VLOOKUP(Table2[[#This Row],[mp3_file]],Table3[#All],3,FALSE)</f>
        <v>#NAME?</v>
      </c>
    </row>
    <row r="215" spans="1:16" x14ac:dyDescent="0.3">
      <c r="A215">
        <v>482</v>
      </c>
      <c r="B215" t="s">
        <v>2116</v>
      </c>
      <c r="C215" t="s">
        <v>582</v>
      </c>
      <c r="D215" s="7">
        <f>IFERROR(VLOOKUP(Table2[[#This Row],[tune_meter]],Table1[#All],3,FALSE),"NONE")</f>
        <v>21</v>
      </c>
      <c r="F215" t="s">
        <v>324</v>
      </c>
      <c r="G215" t="str">
        <f>IF(Table2[[#This Row],[tune_book]]="LFTBs","Red Book","Green Book")</f>
        <v>Green Book</v>
      </c>
      <c r="H215" t="s">
        <v>2805</v>
      </c>
      <c r="I215" t="s">
        <v>2117</v>
      </c>
      <c r="J215" t="str">
        <f>Table2[[#This Row],[file_name]]&amp;".mp3"</f>
        <v>482g.mid.mp3</v>
      </c>
      <c r="M215">
        <v>727</v>
      </c>
      <c r="N2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--song="Ellers (10.10.10.10.)" --artist="Dr. E. J. Hopkins" --comment="" --album="Green Book" --track="482" 482g.mid.mp3</v>
      </c>
      <c r="P215" s="4" t="e">
        <f ca="1">VLOOKUP(Table2[[#This Row],[mp3_file]],Table3[#All],3,FALSE)</f>
        <v>#NAME?</v>
      </c>
    </row>
    <row r="216" spans="1:16" x14ac:dyDescent="0.3">
      <c r="A216">
        <v>321</v>
      </c>
      <c r="B216" t="s">
        <v>1712</v>
      </c>
      <c r="C216" t="s">
        <v>370</v>
      </c>
      <c r="D216" s="7">
        <f>IFERROR(VLOOKUP(Table2[[#This Row],[tune_meter]],Table1[#All],3,FALSE),"NONE")</f>
        <v>24</v>
      </c>
      <c r="F216" t="s">
        <v>324</v>
      </c>
      <c r="G216" t="str">
        <f>IF(Table2[[#This Row],[tune_book]]="LFTBs","Red Book","Green Book")</f>
        <v>Green Book</v>
      </c>
      <c r="H216" t="s">
        <v>344</v>
      </c>
      <c r="I216" t="s">
        <v>1713</v>
      </c>
      <c r="J216" t="str">
        <f>Table2[[#This Row],[file_name]]&amp;".mp3"</f>
        <v>321g.mid.mp3</v>
      </c>
      <c r="M216">
        <v>553</v>
      </c>
      <c r="N2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--song="Ellerton (Craster) (8.7.8.7.)" --artist="Unknown" --comment="" --album="Green Book" --track="321" 321g.mid.mp3</v>
      </c>
      <c r="P216" s="4" t="e">
        <f ca="1">VLOOKUP(Table2[[#This Row],[mp3_file]],Table3[#All],3,FALSE)</f>
        <v>#NAME?</v>
      </c>
    </row>
    <row r="217" spans="1:16" x14ac:dyDescent="0.3">
      <c r="A217">
        <v>239</v>
      </c>
      <c r="B217" t="s">
        <v>1905</v>
      </c>
      <c r="C217" t="s">
        <v>467</v>
      </c>
      <c r="D217" s="7">
        <f>IFERROR(VLOOKUP(Table2[[#This Row],[tune_meter]],Table1[#All],3,FALSE),"NONE")</f>
        <v>34</v>
      </c>
      <c r="F217" t="s">
        <v>324</v>
      </c>
      <c r="G217" t="str">
        <f>IF(Table2[[#This Row],[tune_book]]="LFTBs","Red Book","Green Book")</f>
        <v>Green Book</v>
      </c>
      <c r="H217" t="s">
        <v>1319</v>
      </c>
      <c r="I217" t="s">
        <v>1906</v>
      </c>
      <c r="J217" t="str">
        <f>Table2[[#This Row],[file_name]]&amp;".mp3"</f>
        <v>239g.mid.mp3</v>
      </c>
      <c r="M217">
        <v>633</v>
      </c>
      <c r="N2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--song="Eltham (7.6.7.6.7.6.7.6.)" --artist="From 'Geistliche Leider'" --comment="" --album="Green Book" --track="239" 239g.mid.mp3</v>
      </c>
      <c r="P217" s="4" t="e">
        <f ca="1">VLOOKUP(Table2[[#This Row],[mp3_file]],Table3[#All],3,FALSE)</f>
        <v>#NAME?</v>
      </c>
    </row>
    <row r="218" spans="1:16" x14ac:dyDescent="0.3">
      <c r="A218">
        <v>213</v>
      </c>
      <c r="B218" t="s">
        <v>1495</v>
      </c>
      <c r="C218" t="s">
        <v>1496</v>
      </c>
      <c r="D218" s="7" t="str">
        <f>IFERROR(VLOOKUP(Table2[[#This Row],[tune_meter]],Table1[#All],3,FALSE),"NONE")</f>
        <v>NONE</v>
      </c>
      <c r="F218" t="s">
        <v>324</v>
      </c>
      <c r="G218" t="str">
        <f>IF(Table2[[#This Row],[tune_book]]="LFTBs","Red Book","Green Book")</f>
        <v>Green Book</v>
      </c>
      <c r="H218" t="s">
        <v>1497</v>
      </c>
      <c r="I218" t="s">
        <v>1498</v>
      </c>
      <c r="J218" t="str">
        <f>Table2[[#This Row],[file_name]]&amp;".mp3"</f>
        <v>213g.mid.mp3</v>
      </c>
      <c r="M218">
        <v>459</v>
      </c>
      <c r="N2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--song="Endbach (7.4.7.4.7.4.7.4.)" --artist="F. Silcher" --comment="" --album="Green Book" --track="213" 213g.mid.mp3</v>
      </c>
      <c r="P218" s="4" t="e">
        <f ca="1">VLOOKUP(Table2[[#This Row],[mp3_file]],Table3[#All],3,FALSE)</f>
        <v>#NAME?</v>
      </c>
    </row>
    <row r="219" spans="1:16" x14ac:dyDescent="0.3">
      <c r="A219">
        <v>152</v>
      </c>
      <c r="B219" t="s">
        <v>711</v>
      </c>
      <c r="C219" t="s">
        <v>370</v>
      </c>
      <c r="D219" s="7">
        <f>IFERROR(VLOOKUP(Table2[[#This Row],[tune_meter]],Table1[#All],3,FALSE),"NONE")</f>
        <v>24</v>
      </c>
      <c r="F219" t="s">
        <v>459</v>
      </c>
      <c r="G219" t="str">
        <f>IF(Table2[[#This Row],[tune_book]]="LFTBs","Red Book","Green Book")</f>
        <v>Red Book</v>
      </c>
      <c r="H219" t="s">
        <v>670</v>
      </c>
      <c r="I219" t="s">
        <v>712</v>
      </c>
      <c r="J219" t="str">
        <f>Table2[[#This Row],[file_name]]&amp;".mp3"</f>
        <v>152r.mid.mp3</v>
      </c>
      <c r="M219">
        <v>135</v>
      </c>
      <c r="N2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--song="Entreaty (8.7.8.7.)" --artist="John F. Harvey" --comment="" --album="Red Book" --track="152" 152r.mid.mp3</v>
      </c>
      <c r="P219" s="4" t="e">
        <f ca="1">VLOOKUP(Table2[[#This Row],[mp3_file]],Table3[#All],3,FALSE)</f>
        <v>#NAME?</v>
      </c>
    </row>
    <row r="220" spans="1:16" x14ac:dyDescent="0.3">
      <c r="A220">
        <v>11</v>
      </c>
      <c r="B220" t="s">
        <v>713</v>
      </c>
      <c r="C220" t="s">
        <v>486</v>
      </c>
      <c r="D220" s="7">
        <f>IFERROR(VLOOKUP(Table2[[#This Row],[tune_meter]],Table1[#All],3,FALSE),"NONE")</f>
        <v>19</v>
      </c>
      <c r="F220" t="s">
        <v>459</v>
      </c>
      <c r="G220" t="str">
        <f>IF(Table2[[#This Row],[tune_book]]="LFTBs","Red Book","Green Book")</f>
        <v>Red Book</v>
      </c>
      <c r="H220" t="s">
        <v>344</v>
      </c>
      <c r="I220" t="s">
        <v>714</v>
      </c>
      <c r="J220" t="str">
        <f>Table2[[#This Row],[file_name]]&amp;".mp3"</f>
        <v>11r.mid.mp3</v>
      </c>
      <c r="M220">
        <v>136</v>
      </c>
      <c r="N2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--song="Ephesus (C.M.)" --artist="Unknown" --comment="" --album="Red Book" --track="11" 11r.mid.mp3</v>
      </c>
      <c r="P220" s="4" t="e">
        <f ca="1">VLOOKUP(Table2[[#This Row],[mp3_file]],Table3[#All],3,FALSE)</f>
        <v>#NAME?</v>
      </c>
    </row>
    <row r="221" spans="1:16" x14ac:dyDescent="0.3">
      <c r="A221">
        <v>524</v>
      </c>
      <c r="B221" t="s">
        <v>2154</v>
      </c>
      <c r="C221" t="s">
        <v>543</v>
      </c>
      <c r="D221" s="7">
        <f>IFERROR(VLOOKUP(Table2[[#This Row],[tune_meter]],Table1[#All],3,FALSE),"NONE")</f>
        <v>17</v>
      </c>
      <c r="F221" t="s">
        <v>324</v>
      </c>
      <c r="G221" t="str">
        <f>IF(Table2[[#This Row],[tune_book]]="LFTBs","Red Book","Green Book")</f>
        <v>Green Book</v>
      </c>
      <c r="H221" t="s">
        <v>2806</v>
      </c>
      <c r="I221" t="s">
        <v>2155</v>
      </c>
      <c r="J221" t="str">
        <f>Table2[[#This Row],[file_name]]&amp;".mp3"</f>
        <v>524g.mid.mp3</v>
      </c>
      <c r="M221">
        <v>745</v>
      </c>
      <c r="N2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--song="Epiphany Hymn (11.10.11.10. Dactylic)" --artist="J. F. Thrupp" --comment="" --album="Green Book" --track="524" 524g.mid.mp3</v>
      </c>
      <c r="P221" s="4" t="e">
        <f ca="1">VLOOKUP(Table2[[#This Row],[mp3_file]],Table3[#All],3,FALSE)</f>
        <v>#NAME?</v>
      </c>
    </row>
    <row r="222" spans="1:16" x14ac:dyDescent="0.3">
      <c r="A222">
        <v>224</v>
      </c>
      <c r="B222" t="s">
        <v>715</v>
      </c>
      <c r="C222" t="s">
        <v>492</v>
      </c>
      <c r="D222" s="7">
        <f>IFERROR(VLOOKUP(Table2[[#This Row],[tune_meter]],Table1[#All],3,FALSE),"NONE")</f>
        <v>35</v>
      </c>
      <c r="F222" t="s">
        <v>459</v>
      </c>
      <c r="G222" t="str">
        <f>IF(Table2[[#This Row],[tune_book]]="LFTBs","Red Book","Green Book")</f>
        <v>Red Book</v>
      </c>
      <c r="H222" t="s">
        <v>670</v>
      </c>
      <c r="I222" t="s">
        <v>716</v>
      </c>
      <c r="J222" t="str">
        <f>Table2[[#This Row],[file_name]]&amp;".mp3"</f>
        <v>224r.mid.mp3</v>
      </c>
      <c r="M222">
        <v>137</v>
      </c>
      <c r="N2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--song="Ercuis (9.8.9.8.)" --artist="John F. Harvey" --comment="" --album="Red Book" --track="224" 224r.mid.mp3</v>
      </c>
      <c r="P222" s="4" t="e">
        <f ca="1">VLOOKUP(Table2[[#This Row],[mp3_file]],Table3[#All],3,FALSE)</f>
        <v>#NAME?</v>
      </c>
    </row>
    <row r="223" spans="1:16" x14ac:dyDescent="0.3">
      <c r="A223">
        <v>462</v>
      </c>
      <c r="B223" t="s">
        <v>2093</v>
      </c>
      <c r="C223" t="s">
        <v>438</v>
      </c>
      <c r="D223" s="7">
        <f>IFERROR(VLOOKUP(Table2[[#This Row],[tune_meter]],Table1[#All],3,FALSE),"NONE")</f>
        <v>18</v>
      </c>
      <c r="F223" t="s">
        <v>324</v>
      </c>
      <c r="G223" t="str">
        <f>IF(Table2[[#This Row],[tune_book]]="LFTBs","Red Book","Green Book")</f>
        <v>Green Book</v>
      </c>
      <c r="H223" t="s">
        <v>2742</v>
      </c>
      <c r="I223" t="s">
        <v>2094</v>
      </c>
      <c r="J223" t="str">
        <f>Table2[[#This Row],[file_name]]&amp;".mp3"</f>
        <v>462g.mid.mp3</v>
      </c>
      <c r="K223">
        <v>1950</v>
      </c>
      <c r="M223">
        <v>716</v>
      </c>
      <c r="N2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--song="Erica (10.10.4.10.10.4.)" --artist="R. A. Evershed" --comment="" --album="Green Book" --track="462" 462g.mid.mp3</v>
      </c>
      <c r="P223" s="4" t="e">
        <f ca="1">VLOOKUP(Table2[[#This Row],[mp3_file]],Table3[#All],3,FALSE)</f>
        <v>#NAME?</v>
      </c>
    </row>
    <row r="224" spans="1:16" x14ac:dyDescent="0.3">
      <c r="A224">
        <v>483</v>
      </c>
      <c r="B224" t="s">
        <v>2118</v>
      </c>
      <c r="C224" t="s">
        <v>582</v>
      </c>
      <c r="D224" s="7">
        <f>IFERROR(VLOOKUP(Table2[[#This Row],[tune_meter]],Table1[#All],3,FALSE),"NONE")</f>
        <v>21</v>
      </c>
      <c r="F224" t="s">
        <v>324</v>
      </c>
      <c r="G224" t="str">
        <f>IF(Table2[[#This Row],[tune_book]]="LFTBs","Red Book","Green Book")</f>
        <v>Green Book</v>
      </c>
      <c r="H224" t="s">
        <v>410</v>
      </c>
      <c r="I224" t="s">
        <v>2119</v>
      </c>
      <c r="J224" t="str">
        <f>Table2[[#This Row],[file_name]]&amp;".mp3"</f>
        <v>483g.mid.mp3</v>
      </c>
      <c r="M224">
        <v>728</v>
      </c>
      <c r="N2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--song="Ernan (10.10.10.10.)" --artist="Dr. Lowell Mason" --comment="" --album="Green Book" --track="483" 483g.mid.mp3</v>
      </c>
      <c r="P224" s="4" t="e">
        <f ca="1">VLOOKUP(Table2[[#This Row],[mp3_file]],Table3[#All],3,FALSE)</f>
        <v>#NAME?</v>
      </c>
    </row>
    <row r="225" spans="1:16" x14ac:dyDescent="0.3">
      <c r="A225">
        <v>264</v>
      </c>
      <c r="B225" t="s">
        <v>717</v>
      </c>
      <c r="C225" t="s">
        <v>495</v>
      </c>
      <c r="D225" s="7">
        <f>IFERROR(VLOOKUP(Table2[[#This Row],[tune_meter]],Table1[#All],3,FALSE),"NONE")</f>
        <v>52</v>
      </c>
      <c r="F225" t="s">
        <v>459</v>
      </c>
      <c r="G225" t="str">
        <f>IF(Table2[[#This Row],[tune_book]]="LFTBs","Red Book","Green Book")</f>
        <v>Red Book</v>
      </c>
      <c r="H225" t="s">
        <v>718</v>
      </c>
      <c r="I225" t="s">
        <v>719</v>
      </c>
      <c r="J225" t="str">
        <f>Table2[[#This Row],[file_name]]&amp;".mp3"</f>
        <v>264r.mid.mp3</v>
      </c>
      <c r="M225">
        <v>138</v>
      </c>
      <c r="N2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--song="Eternal Love (11.10.11.10.)" --artist="H. Earnest Nichol" --comment="" --album="Red Book" --track="264" 264r.mid.mp3</v>
      </c>
      <c r="P225" s="4" t="e">
        <f ca="1">VLOOKUP(Table2[[#This Row],[mp3_file]],Table3[#All],3,FALSE)</f>
        <v>#NAME?</v>
      </c>
    </row>
    <row r="226" spans="1:16" x14ac:dyDescent="0.3">
      <c r="A226">
        <v>404</v>
      </c>
      <c r="B226" t="s">
        <v>2019</v>
      </c>
      <c r="C226" t="s">
        <v>527</v>
      </c>
      <c r="D226" s="7">
        <f>IFERROR(VLOOKUP(Table2[[#This Row],[tune_meter]],Table1[#All],3,FALSE),"NONE")</f>
        <v>20</v>
      </c>
      <c r="F226" t="s">
        <v>324</v>
      </c>
      <c r="G226" t="str">
        <f>IF(Table2[[#This Row],[tune_book]]="LFTBs","Red Book","Green Book")</f>
        <v>Green Book</v>
      </c>
      <c r="H226" t="s">
        <v>633</v>
      </c>
      <c r="I226" t="s">
        <v>2020</v>
      </c>
      <c r="J226" t="str">
        <f>Table2[[#This Row],[file_name]]&amp;".mp3"</f>
        <v>404g.mid.mp3</v>
      </c>
      <c r="M226">
        <v>682</v>
      </c>
      <c r="N2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--song="Eternal Praise (8.8.6.8.8.6.)" --artist="Miss La Thangue" --comment="" --album="Green Book" --track="404" 404g.mid.mp3</v>
      </c>
      <c r="P226" s="4" t="e">
        <f ca="1">VLOOKUP(Table2[[#This Row],[mp3_file]],Table3[#All],3,FALSE)</f>
        <v>#NAME?</v>
      </c>
    </row>
    <row r="227" spans="1:16" x14ac:dyDescent="0.3">
      <c r="A227">
        <v>225</v>
      </c>
      <c r="B227" t="s">
        <v>720</v>
      </c>
      <c r="C227" t="s">
        <v>492</v>
      </c>
      <c r="D227" s="7">
        <f>IFERROR(VLOOKUP(Table2[[#This Row],[tune_meter]],Table1[#All],3,FALSE),"NONE")</f>
        <v>35</v>
      </c>
      <c r="F227" t="s">
        <v>459</v>
      </c>
      <c r="G227" t="str">
        <f>IF(Table2[[#This Row],[tune_book]]="LFTBs","Red Book","Green Book")</f>
        <v>Red Book</v>
      </c>
      <c r="H227" t="s">
        <v>384</v>
      </c>
      <c r="I227" t="s">
        <v>721</v>
      </c>
      <c r="J227" t="str">
        <f>Table2[[#This Row],[file_name]]&amp;".mp3"</f>
        <v>225r.mid.mp3</v>
      </c>
      <c r="M227">
        <v>139</v>
      </c>
      <c r="N2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--song="Eternal, Immortal (9.8.9.8.)" --artist="E. Carren" --comment="" --album="Red Book" --track="225" 225r.mid.mp3</v>
      </c>
      <c r="P227" s="4" t="e">
        <f ca="1">VLOOKUP(Table2[[#This Row],[mp3_file]],Table3[#All],3,FALSE)</f>
        <v>#NAME?</v>
      </c>
    </row>
    <row r="228" spans="1:16" x14ac:dyDescent="0.3">
      <c r="A228">
        <v>70</v>
      </c>
      <c r="B228" t="s">
        <v>722</v>
      </c>
      <c r="C228" t="s">
        <v>446</v>
      </c>
      <c r="D228" s="7">
        <f>IFERROR(VLOOKUP(Table2[[#This Row],[tune_meter]],Table1[#All],3,FALSE),"NONE")</f>
        <v>44</v>
      </c>
      <c r="F228" t="s">
        <v>459</v>
      </c>
      <c r="G228" t="str">
        <f>IF(Table2[[#This Row],[tune_book]]="LFTBs","Red Book","Green Book")</f>
        <v>Red Book</v>
      </c>
      <c r="H228" t="s">
        <v>670</v>
      </c>
      <c r="I228" t="s">
        <v>723</v>
      </c>
      <c r="J228" t="str">
        <f>Table2[[#This Row],[file_name]]&amp;".mp3"</f>
        <v>70r.mid.mp3</v>
      </c>
      <c r="M228">
        <v>140</v>
      </c>
      <c r="N2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--song="Eternity (6.4.6.4.6.6.6.4.)" --artist="John F. Harvey" --comment="" --album="Red Book" --track="70" 70r.mid.mp3</v>
      </c>
      <c r="P228" s="4" t="e">
        <f ca="1">VLOOKUP(Table2[[#This Row],[mp3_file]],Table3[#All],3,FALSE)</f>
        <v>#NAME?</v>
      </c>
    </row>
    <row r="229" spans="1:16" x14ac:dyDescent="0.3">
      <c r="A229">
        <v>182</v>
      </c>
      <c r="B229" t="s">
        <v>724</v>
      </c>
      <c r="C229" t="s">
        <v>476</v>
      </c>
      <c r="D229" s="7">
        <f>IFERROR(VLOOKUP(Table2[[#This Row],[tune_meter]],Table1[#All],3,FALSE),"NONE")</f>
        <v>25</v>
      </c>
      <c r="F229" t="s">
        <v>459</v>
      </c>
      <c r="G229" t="str">
        <f>IF(Table2[[#This Row],[tune_book]]="LFTBs","Red Book","Green Book")</f>
        <v>Red Book</v>
      </c>
      <c r="H229" t="s">
        <v>725</v>
      </c>
      <c r="I229" t="s">
        <v>726</v>
      </c>
      <c r="J229" t="str">
        <f>Table2[[#This Row],[file_name]]&amp;".mp3"</f>
        <v>182r.mid.mp3</v>
      </c>
      <c r="M229">
        <v>141</v>
      </c>
      <c r="N2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--song="Eucharistica (8.7.8.7.8.7.8.7.)" --artist="J.W. Elliott" --comment="" --album="Red Book" --track="182" 182r.mid.mp3</v>
      </c>
      <c r="P229" s="4" t="e">
        <f ca="1">VLOOKUP(Table2[[#This Row],[mp3_file]],Table3[#All],3,FALSE)</f>
        <v>#NAME?</v>
      </c>
    </row>
    <row r="230" spans="1:16" x14ac:dyDescent="0.3">
      <c r="A230">
        <v>431</v>
      </c>
      <c r="B230" t="s">
        <v>2051</v>
      </c>
      <c r="C230" t="s">
        <v>554</v>
      </c>
      <c r="D230" s="7">
        <f>IFERROR(VLOOKUP(Table2[[#This Row],[tune_meter]],Table1[#All],3,FALSE),"NONE")</f>
        <v>26</v>
      </c>
      <c r="F230" t="s">
        <v>324</v>
      </c>
      <c r="G230" t="str">
        <f>IF(Table2[[#This Row],[tune_book]]="LFTBs","Red Book","Green Book")</f>
        <v>Green Book</v>
      </c>
      <c r="H230" t="s">
        <v>2052</v>
      </c>
      <c r="I230" t="s">
        <v>2053</v>
      </c>
      <c r="J230" t="str">
        <f>Table2[[#This Row],[file_name]]&amp;".mp3"</f>
        <v>431g.mid.mp3</v>
      </c>
      <c r="M230">
        <v>697</v>
      </c>
      <c r="N2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--song="Euphony (8.8.8.8.8.8.)" --artist="H. Dennis" --comment="" --album="Green Book" --track="431" 431g.mid.mp3</v>
      </c>
      <c r="P230" s="4" t="e">
        <f ca="1">VLOOKUP(Table2[[#This Row],[mp3_file]],Table3[#All],3,FALSE)</f>
        <v>#NAME?</v>
      </c>
    </row>
    <row r="231" spans="1:16" x14ac:dyDescent="0.3">
      <c r="A231">
        <v>20</v>
      </c>
      <c r="B231" t="s">
        <v>1635</v>
      </c>
      <c r="C231" t="s">
        <v>486</v>
      </c>
      <c r="D231" s="7">
        <f>IFERROR(VLOOKUP(Table2[[#This Row],[tune_meter]],Table1[#All],3,FALSE),"NONE")</f>
        <v>19</v>
      </c>
      <c r="F231" t="s">
        <v>324</v>
      </c>
      <c r="G231" t="str">
        <f>IF(Table2[[#This Row],[tune_book]]="LFTBs","Red Book","Green Book")</f>
        <v>Green Book</v>
      </c>
      <c r="H231" t="s">
        <v>2808</v>
      </c>
      <c r="I231" t="s">
        <v>1636</v>
      </c>
      <c r="J231" t="str">
        <f>Table2[[#This Row],[file_name]]&amp;".mp3"</f>
        <v>20g.mid.mp3</v>
      </c>
      <c r="M231">
        <v>520</v>
      </c>
      <c r="N2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--song="Evan (C.M.)" --artist="W. H. Havergal" --comment="" --album="Green Book" --track="20" 20g.mid.mp3</v>
      </c>
      <c r="P231" s="4" t="e">
        <f ca="1">VLOOKUP(Table2[[#This Row],[mp3_file]],Table3[#All],3,FALSE)</f>
        <v>#NAME?</v>
      </c>
    </row>
    <row r="232" spans="1:16" x14ac:dyDescent="0.3">
      <c r="A232">
        <v>517</v>
      </c>
      <c r="B232" t="s">
        <v>1624</v>
      </c>
      <c r="C232" t="s">
        <v>495</v>
      </c>
      <c r="D232" s="7">
        <f>IFERROR(VLOOKUP(Table2[[#This Row],[tune_meter]],Table1[#All],3,FALSE),"NONE")</f>
        <v>52</v>
      </c>
      <c r="F232" t="s">
        <v>324</v>
      </c>
      <c r="G232" t="str">
        <f>IF(Table2[[#This Row],[tune_book]]="LFTBs","Red Book","Green Book")</f>
        <v>Green Book</v>
      </c>
      <c r="H232" t="s">
        <v>2809</v>
      </c>
      <c r="I232" t="s">
        <v>1625</v>
      </c>
      <c r="J232" t="str">
        <f>Table2[[#This Row],[file_name]]&amp;".mp3"</f>
        <v>517g.mid.mp3</v>
      </c>
      <c r="M232">
        <v>515</v>
      </c>
      <c r="N2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--song="Even So (11.10.11.10.)" --artist="A. P. Gipps" --comment="" --album="Green Book" --track="517" 517g.mid.mp3</v>
      </c>
      <c r="P232" s="4" t="e">
        <f ca="1">VLOOKUP(Table2[[#This Row],[mp3_file]],Table3[#All],3,FALSE)</f>
        <v>#NAME?</v>
      </c>
    </row>
    <row r="233" spans="1:16" x14ac:dyDescent="0.3">
      <c r="A233">
        <v>414</v>
      </c>
      <c r="B233" t="s">
        <v>369</v>
      </c>
      <c r="C233" t="s">
        <v>323</v>
      </c>
      <c r="D233" s="7">
        <f>IFERROR(VLOOKUP(Table2[[#This Row],[tune_meter]],Table1[#All],3,FALSE),"NONE")</f>
        <v>79</v>
      </c>
      <c r="F233" t="s">
        <v>324</v>
      </c>
      <c r="G233" t="str">
        <f>IF(Table2[[#This Row],[tune_book]]="LFTBs","Red Book","Green Book")</f>
        <v>Green Book</v>
      </c>
      <c r="H233" t="s">
        <v>2718</v>
      </c>
      <c r="I233" t="s">
        <v>371</v>
      </c>
      <c r="J233" t="str">
        <f>Table2[[#This Row],[file_name]]&amp;".mp3"</f>
        <v>414.mid.mp3</v>
      </c>
      <c r="M233">
        <v>14</v>
      </c>
      <c r="N2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--song="Evening Blessing (8.8.7.7.)" --artist="G. C. Stebbins" --comment="" --album="Green Book" --track="414" 414.mid.mp3</v>
      </c>
      <c r="P233" s="4" t="e">
        <f ca="1">VLOOKUP(Table2[[#This Row],[mp3_file]],Table3[#All],3,FALSE)</f>
        <v>#NAME?</v>
      </c>
    </row>
    <row r="234" spans="1:16" x14ac:dyDescent="0.3">
      <c r="A234">
        <v>367</v>
      </c>
      <c r="B234" t="s">
        <v>1936</v>
      </c>
      <c r="C234" t="s">
        <v>498</v>
      </c>
      <c r="D234" s="7">
        <f>IFERROR(VLOOKUP(Table2[[#This Row],[tune_meter]],Table1[#All],3,FALSE),"NONE")</f>
        <v>77</v>
      </c>
      <c r="F234" t="s">
        <v>324</v>
      </c>
      <c r="G234" t="str">
        <f>IF(Table2[[#This Row],[tune_book]]="LFTBs","Red Book","Green Book")</f>
        <v>Green Book</v>
      </c>
      <c r="H234" t="s">
        <v>410</v>
      </c>
      <c r="I234" t="s">
        <v>1937</v>
      </c>
      <c r="J234" t="str">
        <f>Table2[[#This Row],[file_name]]&amp;".mp3"</f>
        <v>367g.mid.mp3</v>
      </c>
      <c r="M234">
        <v>646</v>
      </c>
      <c r="N2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--song="Evening Prayer (8.7.8.7.7.7.)" --artist="Dr. Lowell Mason" --comment="" --album="Green Book" --track="367" 367g.mid.mp3</v>
      </c>
      <c r="P234" s="4" t="e">
        <f ca="1">VLOOKUP(Table2[[#This Row],[mp3_file]],Table3[#All],3,FALSE)</f>
        <v>#NAME?</v>
      </c>
    </row>
    <row r="235" spans="1:16" x14ac:dyDescent="0.3">
      <c r="A235">
        <v>484</v>
      </c>
      <c r="B235" t="s">
        <v>1364</v>
      </c>
      <c r="C235" t="s">
        <v>582</v>
      </c>
      <c r="D235" s="7">
        <f>IFERROR(VLOOKUP(Table2[[#This Row],[tune_meter]],Table1[#All],3,FALSE),"NONE")</f>
        <v>21</v>
      </c>
      <c r="F235" t="s">
        <v>324</v>
      </c>
      <c r="G235" t="str">
        <f>IF(Table2[[#This Row],[tune_book]]="LFTBs","Red Book","Green Book")</f>
        <v>Green Book</v>
      </c>
      <c r="H235" t="s">
        <v>2811</v>
      </c>
      <c r="I235" t="s">
        <v>1365</v>
      </c>
      <c r="J235" t="str">
        <f>Table2[[#This Row],[file_name]]&amp;".mp3"</f>
        <v>484g.mid.mp3</v>
      </c>
      <c r="M235">
        <v>402</v>
      </c>
      <c r="N2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--song="Eventide (10.10.10.10.)" --artist="Dr. W. H. Monk" --comment="" --album="Green Book" --track="484" 484g.mid.mp3</v>
      </c>
      <c r="P235" s="4" t="e">
        <f ca="1">VLOOKUP(Table2[[#This Row],[mp3_file]],Table3[#All],3,FALSE)</f>
        <v>#NAME?</v>
      </c>
    </row>
    <row r="236" spans="1:16" x14ac:dyDescent="0.3">
      <c r="A236">
        <v>507</v>
      </c>
      <c r="B236" t="s">
        <v>1728</v>
      </c>
      <c r="C236" t="s">
        <v>1729</v>
      </c>
      <c r="D236" s="7" t="str">
        <f>IFERROR(VLOOKUP(Table2[[#This Row],[tune_meter]],Table1[#All],3,FALSE),"NONE")</f>
        <v>NONE</v>
      </c>
      <c r="F236" t="s">
        <v>324</v>
      </c>
      <c r="G236" t="str">
        <f>IF(Table2[[#This Row],[tune_book]]="LFTBs","Red Book","Green Book")</f>
        <v>Green Book</v>
      </c>
      <c r="H236" t="s">
        <v>2810</v>
      </c>
      <c r="I236" t="s">
        <v>1730</v>
      </c>
      <c r="J236" t="str">
        <f>Table2[[#This Row],[file_name]]&amp;".mp3"</f>
        <v>507g.mid.mp3</v>
      </c>
      <c r="M236">
        <v>560</v>
      </c>
      <c r="N2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--song="Evesham (10.10.10.10.10.10.)" --artist="J. H. Killick" --comment="" --album="Green Book" --track="507" 507g.mid.mp3</v>
      </c>
      <c r="P236" s="4" t="e">
        <f ca="1">VLOOKUP(Table2[[#This Row],[mp3_file]],Table3[#All],3,FALSE)</f>
        <v>#NAME?</v>
      </c>
    </row>
    <row r="237" spans="1:16" x14ac:dyDescent="0.3">
      <c r="A237">
        <v>240</v>
      </c>
      <c r="B237" t="s">
        <v>1515</v>
      </c>
      <c r="C237" t="s">
        <v>467</v>
      </c>
      <c r="D237" s="7">
        <f>IFERROR(VLOOKUP(Table2[[#This Row],[tune_meter]],Table1[#All],3,FALSE),"NONE")</f>
        <v>34</v>
      </c>
      <c r="F237" t="s">
        <v>324</v>
      </c>
      <c r="G237" t="str">
        <f>IF(Table2[[#This Row],[tune_book]]="LFTBs","Red Book","Green Book")</f>
        <v>Green Book</v>
      </c>
      <c r="H237" t="s">
        <v>1516</v>
      </c>
      <c r="I237" t="s">
        <v>1517</v>
      </c>
      <c r="J237" t="str">
        <f>Table2[[#This Row],[file_name]]&amp;".mp3"</f>
        <v>240g.mid.mp3</v>
      </c>
      <c r="M237">
        <v>468</v>
      </c>
      <c r="N2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--song="Ewing (7.6.7.6.7.6.7.6.)" --artist="A. Ewing" --comment="" --album="Green Book" --track="240" 240g.mid.mp3</v>
      </c>
      <c r="P237" s="4" t="e">
        <f ca="1">VLOOKUP(Table2[[#This Row],[mp3_file]],Table3[#All],3,FALSE)</f>
        <v>#NAME?</v>
      </c>
    </row>
    <row r="238" spans="1:16" x14ac:dyDescent="0.3">
      <c r="A238">
        <v>550</v>
      </c>
      <c r="B238" t="s">
        <v>2818</v>
      </c>
      <c r="C238" t="s">
        <v>534</v>
      </c>
      <c r="D238" s="7">
        <f>IFERROR(VLOOKUP(Table2[[#This Row],[tune_meter]],Table1[#All],3,FALSE),"NONE")</f>
        <v>78</v>
      </c>
      <c r="F238" t="s">
        <v>324</v>
      </c>
      <c r="G238" t="str">
        <f>IF(Table2[[#This Row],[tune_book]]="LFTBs","Red Book","Green Book")</f>
        <v>Green Book</v>
      </c>
      <c r="H238" t="s">
        <v>2704</v>
      </c>
      <c r="I238" t="s">
        <v>2178</v>
      </c>
      <c r="J238" t="str">
        <f>Table2[[#This Row],[file_name]]&amp;".mp3"</f>
        <v>550g.mid.mp3</v>
      </c>
      <c r="M238">
        <v>757</v>
      </c>
      <c r="N238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2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--song="Exaltation (Walker) (14.14.4.7.8.)" --artist="Miss S. M. Walker" --comment="" --album="Green Book" --track="550" 550g.mid.mp3</v>
      </c>
      <c r="P238" s="4" t="e">
        <f>VLOOKUP(Table2[[#This Row],[mp3_file]],Table3[#All],3,FALSE)</f>
        <v>#N/A</v>
      </c>
    </row>
    <row r="239" spans="1:16" x14ac:dyDescent="0.3">
      <c r="A239">
        <v>196</v>
      </c>
      <c r="B239" t="s">
        <v>1705</v>
      </c>
      <c r="C239" t="s">
        <v>540</v>
      </c>
      <c r="D239" s="7">
        <f>IFERROR(VLOOKUP(Table2[[#This Row],[tune_meter]],Table1[#All],3,FALSE),"NONE")</f>
        <v>51</v>
      </c>
      <c r="F239" t="s">
        <v>324</v>
      </c>
      <c r="G239" t="str">
        <f>IF(Table2[[#This Row],[tune_book]]="LFTBs","Red Book","Green Book")</f>
        <v>Green Book</v>
      </c>
      <c r="H239" t="s">
        <v>344</v>
      </c>
      <c r="I239" t="s">
        <v>1706</v>
      </c>
      <c r="J239" t="str">
        <f>Table2[[#This Row],[file_name]]&amp;".mp3"</f>
        <v>196g.mid.mp3</v>
      </c>
      <c r="M239">
        <v>550</v>
      </c>
      <c r="N2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--song="Exeter (6.6.6.6.8.8.)" --artist="Unknown" --comment="" --album="Green Book" --track="196" 196g.mid.mp3</v>
      </c>
      <c r="P239" s="4" t="e">
        <f ca="1">VLOOKUP(Table2[[#This Row],[mp3_file]],Table3[#All],3,FALSE)</f>
        <v>#NAME?</v>
      </c>
    </row>
    <row r="240" spans="1:16" x14ac:dyDescent="0.3">
      <c r="A240">
        <v>144</v>
      </c>
      <c r="B240" t="s">
        <v>727</v>
      </c>
      <c r="C240" t="s">
        <v>483</v>
      </c>
      <c r="D240" s="7">
        <f>IFERROR(VLOOKUP(Table2[[#This Row],[tune_meter]],Table1[#All],3,FALSE),"NONE")</f>
        <v>55</v>
      </c>
      <c r="F240" t="s">
        <v>459</v>
      </c>
      <c r="G240" t="str">
        <f>IF(Table2[[#This Row],[tune_book]]="LFTBs","Red Book","Green Book")</f>
        <v>Red Book</v>
      </c>
      <c r="H240" t="s">
        <v>2812</v>
      </c>
      <c r="I240" t="s">
        <v>728</v>
      </c>
      <c r="J240" t="str">
        <f>Table2[[#This Row],[file_name]]&amp;".mp3"</f>
        <v>144r.mid.mp3</v>
      </c>
      <c r="M240">
        <v>142</v>
      </c>
      <c r="N2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--song="Extolment (8.6.8.6.8.8.)" --artist="W. R. Mason" --comment="" --album="Red Book" --track="144" 144r.mid.mp3</v>
      </c>
      <c r="P240" s="4" t="e">
        <f ca="1">VLOOKUP(Table2[[#This Row],[mp3_file]],Table3[#All],3,FALSE)</f>
        <v>#NAME?</v>
      </c>
    </row>
    <row r="241" spans="1:16" x14ac:dyDescent="0.3">
      <c r="A241">
        <v>322</v>
      </c>
      <c r="B241" t="s">
        <v>1714</v>
      </c>
      <c r="C241" t="s">
        <v>370</v>
      </c>
      <c r="D241" s="7">
        <f>IFERROR(VLOOKUP(Table2[[#This Row],[tune_meter]],Table1[#All],3,FALSE),"NONE")</f>
        <v>24</v>
      </c>
      <c r="F241" t="s">
        <v>324</v>
      </c>
      <c r="G241" t="str">
        <f>IF(Table2[[#This Row],[tune_book]]="LFTBs","Red Book","Green Book")</f>
        <v>Green Book</v>
      </c>
      <c r="H241" t="s">
        <v>1455</v>
      </c>
      <c r="I241" t="s">
        <v>1715</v>
      </c>
      <c r="J241" t="str">
        <f>Table2[[#This Row],[file_name]]&amp;".mp3"</f>
        <v>322g.mid.mp3</v>
      </c>
      <c r="M241">
        <v>554</v>
      </c>
      <c r="N2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--song="Exultation (8.7.8.7.)" --artist="P. Blanche" --comment="" --album="Green Book" --track="322" 322g.mid.mp3</v>
      </c>
      <c r="P241" s="4" t="e">
        <f ca="1">VLOOKUP(Table2[[#This Row],[mp3_file]],Table3[#All],3,FALSE)</f>
        <v>#NAME?</v>
      </c>
    </row>
    <row r="242" spans="1:16" x14ac:dyDescent="0.3">
      <c r="A242">
        <v>197</v>
      </c>
      <c r="B242" t="s">
        <v>1269</v>
      </c>
      <c r="C242" t="s">
        <v>540</v>
      </c>
      <c r="D242" s="7">
        <f>IFERROR(VLOOKUP(Table2[[#This Row],[tune_meter]],Table1[#All],3,FALSE),"NONE")</f>
        <v>51</v>
      </c>
      <c r="F242" t="s">
        <v>324</v>
      </c>
      <c r="G242" t="str">
        <f>IF(Table2[[#This Row],[tune_book]]="LFTBs","Red Book","Green Book")</f>
        <v>Green Book</v>
      </c>
      <c r="H242" t="s">
        <v>344</v>
      </c>
      <c r="I242" t="s">
        <v>1270</v>
      </c>
      <c r="J242" t="str">
        <f>Table2[[#This Row],[file_name]]&amp;".mp3"</f>
        <v>197g.mid.mp3</v>
      </c>
      <c r="L242" t="s">
        <v>851</v>
      </c>
      <c r="M242">
        <v>361</v>
      </c>
      <c r="N2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--song="Fairford (6.6.6.6.8.8.)" --artist="Unknown" --comment="Repeat last line of each verse" --album="Green Book" --track="197" 197g.mid.mp3</v>
      </c>
      <c r="P242" s="4" t="e">
        <f ca="1">VLOOKUP(Table2[[#This Row],[mp3_file]],Table3[#All],3,FALSE)</f>
        <v>#NAME?</v>
      </c>
    </row>
    <row r="243" spans="1:16" x14ac:dyDescent="0.3">
      <c r="A243">
        <v>241</v>
      </c>
      <c r="B243" t="s">
        <v>1518</v>
      </c>
      <c r="C243" t="s">
        <v>467</v>
      </c>
      <c r="D243" s="7">
        <f>IFERROR(VLOOKUP(Table2[[#This Row],[tune_meter]],Table1[#All],3,FALSE),"NONE")</f>
        <v>34</v>
      </c>
      <c r="F243" t="s">
        <v>324</v>
      </c>
      <c r="G243" t="str">
        <f>IF(Table2[[#This Row],[tune_book]]="LFTBs","Red Book","Green Book")</f>
        <v>Green Book</v>
      </c>
      <c r="H243" t="s">
        <v>1207</v>
      </c>
      <c r="I243" t="s">
        <v>1519</v>
      </c>
      <c r="J243" t="str">
        <f>Table2[[#This Row],[file_name]]&amp;".mp3"</f>
        <v>241g.mid.mp3</v>
      </c>
      <c r="M243">
        <v>469</v>
      </c>
      <c r="N2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--song="Farewell (7.6.7.6.7.6.7.6.)" --artist="From Mendelssohn" --comment="" --album="Green Book" --track="241" 241g.mid.mp3</v>
      </c>
      <c r="P243" s="4" t="e">
        <f ca="1">VLOOKUP(Table2[[#This Row],[mp3_file]],Table3[#All],3,FALSE)</f>
        <v>#NAME?</v>
      </c>
    </row>
    <row r="244" spans="1:16" x14ac:dyDescent="0.3">
      <c r="A244">
        <v>208</v>
      </c>
      <c r="B244" t="s">
        <v>729</v>
      </c>
      <c r="C244" t="s">
        <v>520</v>
      </c>
      <c r="D244" s="7">
        <f>IFERROR(VLOOKUP(Table2[[#This Row],[tune_meter]],Table1[#All],3,FALSE),"NONE")</f>
        <v>58</v>
      </c>
      <c r="F244" t="s">
        <v>459</v>
      </c>
      <c r="G244" t="str">
        <f>IF(Table2[[#This Row],[tune_book]]="LFTBs","Red Book","Green Book")</f>
        <v>Red Book</v>
      </c>
      <c r="H244" t="s">
        <v>2781</v>
      </c>
      <c r="I244" t="s">
        <v>730</v>
      </c>
      <c r="J244" t="str">
        <f>Table2[[#This Row],[file_name]]&amp;".mp3"</f>
        <v>208r.mid.mp3</v>
      </c>
      <c r="M244">
        <v>143</v>
      </c>
      <c r="N2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--song="Farne (8.8.8.8.6.)" --artist="Dr J. B. Dykes" --comment="" --album="Red Book" --track="208" 208r.mid.mp3</v>
      </c>
      <c r="P244" s="4" t="e">
        <f ca="1">VLOOKUP(Table2[[#This Row],[mp3_file]],Table3[#All],3,FALSE)</f>
        <v>#NAME?</v>
      </c>
    </row>
    <row r="245" spans="1:16" x14ac:dyDescent="0.3">
      <c r="A245">
        <v>21</v>
      </c>
      <c r="B245" t="s">
        <v>1637</v>
      </c>
      <c r="C245" t="s">
        <v>486</v>
      </c>
      <c r="D245" s="7">
        <f>IFERROR(VLOOKUP(Table2[[#This Row],[tune_meter]],Table1[#All],3,FALSE),"NONE")</f>
        <v>19</v>
      </c>
      <c r="F245" t="s">
        <v>324</v>
      </c>
      <c r="G245" t="str">
        <f>IF(Table2[[#This Row],[tune_book]]="LFTBs","Red Book","Green Book")</f>
        <v>Green Book</v>
      </c>
      <c r="H245" t="s">
        <v>1638</v>
      </c>
      <c r="I245" t="s">
        <v>1639</v>
      </c>
      <c r="J245" t="str">
        <f>Table2[[#This Row],[file_name]]&amp;".mp3"</f>
        <v>21g.mid.mp3</v>
      </c>
      <c r="M245">
        <v>521</v>
      </c>
      <c r="N2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--song="Farrant (C.M.)" --artist="R. Farrant" --comment="" --album="Green Book" --track="21" 21g.mid.mp3</v>
      </c>
      <c r="P245" s="4" t="e">
        <f ca="1">VLOOKUP(Table2[[#This Row],[mp3_file]],Table3[#All],3,FALSE)</f>
        <v>#NAME?</v>
      </c>
    </row>
    <row r="246" spans="1:16" x14ac:dyDescent="0.3">
      <c r="A246">
        <v>183</v>
      </c>
      <c r="B246" t="s">
        <v>731</v>
      </c>
      <c r="C246" t="s">
        <v>476</v>
      </c>
      <c r="D246" s="7">
        <f>IFERROR(VLOOKUP(Table2[[#This Row],[tune_meter]],Table1[#All],3,FALSE),"NONE")</f>
        <v>25</v>
      </c>
      <c r="F246" t="s">
        <v>459</v>
      </c>
      <c r="G246" t="str">
        <f>IF(Table2[[#This Row],[tune_book]]="LFTBs","Red Book","Green Book")</f>
        <v>Red Book</v>
      </c>
      <c r="H246" t="s">
        <v>732</v>
      </c>
      <c r="I246" t="s">
        <v>733</v>
      </c>
      <c r="J246" t="str">
        <f>Table2[[#This Row],[file_name]]&amp;".mp3"</f>
        <v>183r.mid.mp3</v>
      </c>
      <c r="M246">
        <v>144</v>
      </c>
      <c r="N2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--song="Father, Now in Adoration (8.7.8.7.8.7.8.7.)" --artist="Douglas T. Holding" --comment="" --album="Red Book" --track="183" 183r.mid.mp3</v>
      </c>
      <c r="P246" s="4" t="e">
        <f ca="1">VLOOKUP(Table2[[#This Row],[mp3_file]],Table3[#All],3,FALSE)</f>
        <v>#NAME?</v>
      </c>
    </row>
    <row r="247" spans="1:16" x14ac:dyDescent="0.3">
      <c r="A247">
        <v>145</v>
      </c>
      <c r="B247" t="s">
        <v>734</v>
      </c>
      <c r="C247" t="s">
        <v>483</v>
      </c>
      <c r="D247" s="7">
        <f>IFERROR(VLOOKUP(Table2[[#This Row],[tune_meter]],Table1[#All],3,FALSE),"NONE")</f>
        <v>55</v>
      </c>
      <c r="F247" t="s">
        <v>459</v>
      </c>
      <c r="G247" t="str">
        <f>IF(Table2[[#This Row],[tune_book]]="LFTBs","Red Book","Green Book")</f>
        <v>Red Book</v>
      </c>
      <c r="H247" t="s">
        <v>2813</v>
      </c>
      <c r="I247" t="s">
        <v>735</v>
      </c>
      <c r="J247" t="str">
        <f>Table2[[#This Row],[file_name]]&amp;".mp3"</f>
        <v>145r.mid.mp3</v>
      </c>
      <c r="M247">
        <v>145</v>
      </c>
      <c r="N2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--song="Featherstone (8.6.8.6.8.8.)" --artist="F. S. Pope" --comment="" --album="Red Book" --track="145" 145r.mid.mp3</v>
      </c>
      <c r="P247" s="4" t="e">
        <f ca="1">VLOOKUP(Table2[[#This Row],[mp3_file]],Table3[#All],3,FALSE)</f>
        <v>#NAME?</v>
      </c>
    </row>
    <row r="248" spans="1:16" x14ac:dyDescent="0.3">
      <c r="A248">
        <v>295</v>
      </c>
      <c r="B248" t="s">
        <v>1557</v>
      </c>
      <c r="C248" t="s">
        <v>744</v>
      </c>
      <c r="D248" s="7">
        <f>IFERROR(VLOOKUP(Table2[[#This Row],[tune_meter]],Table1[#All],3,FALSE),"NONE")</f>
        <v>56</v>
      </c>
      <c r="F248" t="s">
        <v>324</v>
      </c>
      <c r="G248" t="str">
        <f>IF(Table2[[#This Row],[tune_book]]="LFTBs","Red Book","Green Book")</f>
        <v>Green Book</v>
      </c>
      <c r="H248" t="s">
        <v>351</v>
      </c>
      <c r="I248" t="s">
        <v>1558</v>
      </c>
      <c r="J248" t="str">
        <f>Table2[[#This Row],[file_name]]&amp;".mp3"</f>
        <v>295g.mid.mp3</v>
      </c>
      <c r="M248">
        <v>485</v>
      </c>
      <c r="N2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--song="Filey (8.5.8.5.)" --artist="C. Leflaive" --comment="" --album="Green Book" --track="295" 295g.mid.mp3</v>
      </c>
      <c r="P248" s="4" t="e">
        <f ca="1">VLOOKUP(Table2[[#This Row],[mp3_file]],Table3[#All],3,FALSE)</f>
        <v>#NAME?</v>
      </c>
    </row>
    <row r="249" spans="1:16" x14ac:dyDescent="0.3">
      <c r="A249">
        <v>177</v>
      </c>
      <c r="B249" t="s">
        <v>736</v>
      </c>
      <c r="C249" t="s">
        <v>498</v>
      </c>
      <c r="D249" s="7">
        <f>IFERROR(VLOOKUP(Table2[[#This Row],[tune_meter]],Table1[#All],3,FALSE),"NONE")</f>
        <v>77</v>
      </c>
      <c r="F249" t="s">
        <v>459</v>
      </c>
      <c r="G249" t="str">
        <f>IF(Table2[[#This Row],[tune_book]]="LFTBs","Red Book","Green Book")</f>
        <v>Red Book</v>
      </c>
      <c r="H249" t="s">
        <v>737</v>
      </c>
      <c r="I249" t="s">
        <v>738</v>
      </c>
      <c r="J249" t="str">
        <f>Table2[[#This Row],[file_name]]&amp;".mp3"</f>
        <v>177r.mid.mp3</v>
      </c>
      <c r="M249">
        <v>146</v>
      </c>
      <c r="N2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--song="Firstborn (8.7.8.7.7.7.)" --artist="Daniel F. Dupont" --comment="" --album="Red Book" --track="177" 177r.mid.mp3</v>
      </c>
      <c r="P249" s="4" t="e">
        <f ca="1">VLOOKUP(Table2[[#This Row],[mp3_file]],Table3[#All],3,FALSE)</f>
        <v>#NAME?</v>
      </c>
    </row>
    <row r="250" spans="1:16" x14ac:dyDescent="0.3">
      <c r="A250">
        <v>24</v>
      </c>
      <c r="B250" t="s">
        <v>739</v>
      </c>
      <c r="C250" t="s">
        <v>578</v>
      </c>
      <c r="D250" s="7">
        <f>IFERROR(VLOOKUP(Table2[[#This Row],[tune_meter]],Table1[#All],3,FALSE),"NONE")</f>
        <v>61</v>
      </c>
      <c r="F250" t="s">
        <v>459</v>
      </c>
      <c r="G250" t="str">
        <f>IF(Table2[[#This Row],[tune_book]]="LFTBs","Red Book","Green Book")</f>
        <v>Red Book</v>
      </c>
      <c r="H250" t="s">
        <v>344</v>
      </c>
      <c r="I250" t="s">
        <v>740</v>
      </c>
      <c r="J250" t="str">
        <f>Table2[[#This Row],[file_name]]&amp;".mp3"</f>
        <v>24r.mid.mp3</v>
      </c>
      <c r="M250">
        <v>147</v>
      </c>
      <c r="N2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--song="Flowing Stream (C.M.D.)" --artist="Unknown" --comment="" --album="Red Book" --track="24" 24r.mid.mp3</v>
      </c>
      <c r="P250" s="4" t="e">
        <f ca="1">VLOOKUP(Table2[[#This Row],[mp3_file]],Table3[#All],3,FALSE)</f>
        <v>#NAME?</v>
      </c>
    </row>
    <row r="251" spans="1:16" x14ac:dyDescent="0.3">
      <c r="A251">
        <v>184</v>
      </c>
      <c r="B251" t="s">
        <v>741</v>
      </c>
      <c r="C251" t="s">
        <v>476</v>
      </c>
      <c r="D251" s="7">
        <f>IFERROR(VLOOKUP(Table2[[#This Row],[tune_meter]],Table1[#All],3,FALSE),"NONE")</f>
        <v>25</v>
      </c>
      <c r="F251" t="s">
        <v>459</v>
      </c>
      <c r="G251" t="str">
        <f>IF(Table2[[#This Row],[tune_book]]="LFTBs","Red Book","Green Book")</f>
        <v>Red Book</v>
      </c>
      <c r="H251" t="s">
        <v>2814</v>
      </c>
      <c r="I251" t="s">
        <v>742</v>
      </c>
      <c r="J251" t="str">
        <f>Table2[[#This Row],[file_name]]&amp;".mp3"</f>
        <v>184r.mid.mp3</v>
      </c>
      <c r="M251">
        <v>148</v>
      </c>
      <c r="N2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--song="Footprints (8.7.8.7.8.7.8.7.)" --artist="Miss. A. E. Housman" --comment="" --album="Red Book" --track="184" 184r.mid.mp3</v>
      </c>
      <c r="P251" s="4" t="e">
        <f ca="1">VLOOKUP(Table2[[#This Row],[mp3_file]],Table3[#All],3,FALSE)</f>
        <v>#NAME?</v>
      </c>
    </row>
    <row r="252" spans="1:16" x14ac:dyDescent="0.3">
      <c r="A252">
        <v>130</v>
      </c>
      <c r="B252" t="s">
        <v>743</v>
      </c>
      <c r="C252" t="s">
        <v>744</v>
      </c>
      <c r="D252" s="7">
        <f>IFERROR(VLOOKUP(Table2[[#This Row],[tune_meter]],Table1[#All],3,FALSE),"NONE")</f>
        <v>56</v>
      </c>
      <c r="F252" t="s">
        <v>459</v>
      </c>
      <c r="G252" t="str">
        <f>IF(Table2[[#This Row],[tune_book]]="LFTBs","Red Book","Green Book")</f>
        <v>Red Book</v>
      </c>
      <c r="H252" t="s">
        <v>2815</v>
      </c>
      <c r="I252" t="s">
        <v>746</v>
      </c>
      <c r="J252" t="str">
        <f>Table2[[#This Row],[file_name]]&amp;".mp3"</f>
        <v>130r.mid.mp3</v>
      </c>
      <c r="M252">
        <v>149</v>
      </c>
      <c r="N2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--song="Forest Hill (8.5.8.5.)" --artist="P. S. Pope" --comment="" --album="Red Book" --track="130" 130r.mid.mp3</v>
      </c>
      <c r="P252" s="4" t="e">
        <f ca="1">VLOOKUP(Table2[[#This Row],[mp3_file]],Table3[#All],3,FALSE)</f>
        <v>#NAME?</v>
      </c>
    </row>
    <row r="253" spans="1:16" x14ac:dyDescent="0.3">
      <c r="A253">
        <v>216</v>
      </c>
      <c r="B253" t="s">
        <v>1275</v>
      </c>
      <c r="C253" t="s">
        <v>886</v>
      </c>
      <c r="D253" s="7">
        <f>IFERROR(VLOOKUP(Table2[[#This Row],[tune_meter]],Table1[#All],3,FALSE),"NONE")</f>
        <v>41</v>
      </c>
      <c r="F253" t="s">
        <v>324</v>
      </c>
      <c r="G253" t="str">
        <f>IF(Table2[[#This Row],[tune_book]]="LFTBs","Red Book","Green Book")</f>
        <v>Green Book</v>
      </c>
      <c r="H253" t="s">
        <v>2723</v>
      </c>
      <c r="I253" t="s">
        <v>1276</v>
      </c>
      <c r="J253" t="str">
        <f>Table2[[#This Row],[file_name]]&amp;".mp3"</f>
        <v>216g.mid.mp3</v>
      </c>
      <c r="M253">
        <v>364</v>
      </c>
      <c r="N2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--song="Fountain Street (7.6.7.6.)" --artist="C. T. Lambert" --comment="" --album="Green Book" --track="216" 216g.mid.mp3</v>
      </c>
      <c r="P253" s="4" t="e">
        <f ca="1">VLOOKUP(Table2[[#This Row],[mp3_file]],Table3[#All],3,FALSE)</f>
        <v>#NAME?</v>
      </c>
    </row>
    <row r="254" spans="1:16" x14ac:dyDescent="0.3">
      <c r="A254">
        <v>252</v>
      </c>
      <c r="B254" t="s">
        <v>747</v>
      </c>
      <c r="C254" t="s">
        <v>582</v>
      </c>
      <c r="D254" s="7">
        <f>IFERROR(VLOOKUP(Table2[[#This Row],[tune_meter]],Table1[#All],3,FALSE),"NONE")</f>
        <v>21</v>
      </c>
      <c r="F254" t="s">
        <v>459</v>
      </c>
      <c r="G254" t="str">
        <f>IF(Table2[[#This Row],[tune_book]]="LFTBs","Red Book","Green Book")</f>
        <v>Red Book</v>
      </c>
      <c r="H254" t="s">
        <v>460</v>
      </c>
      <c r="I254" t="s">
        <v>748</v>
      </c>
      <c r="J254" t="str">
        <f>Table2[[#This Row],[file_name]]&amp;".mp3"</f>
        <v>252r.mid.mp3</v>
      </c>
      <c r="K254" s="4">
        <v>1936</v>
      </c>
      <c r="M254">
        <v>150</v>
      </c>
      <c r="N2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--song="Foyle (10.10.10.10.)" --artist="John Mason" --comment="" --album="Red Book" --track="252" 252r.mid.mp3</v>
      </c>
      <c r="P254" s="4" t="e">
        <f ca="1">VLOOKUP(Table2[[#This Row],[mp3_file]],Table3[#All],3,FALSE)</f>
        <v>#NAME?</v>
      </c>
    </row>
    <row r="255" spans="1:16" x14ac:dyDescent="0.3">
      <c r="A255">
        <v>270</v>
      </c>
      <c r="B255" t="s">
        <v>749</v>
      </c>
      <c r="C255" t="s">
        <v>543</v>
      </c>
      <c r="D255" s="7">
        <f>IFERROR(VLOOKUP(Table2[[#This Row],[tune_meter]],Table1[#All],3,FALSE),"NONE")</f>
        <v>17</v>
      </c>
      <c r="F255" t="s">
        <v>459</v>
      </c>
      <c r="G255" t="str">
        <f>IF(Table2[[#This Row],[tune_book]]="LFTBs","Red Book","Green Book")</f>
        <v>Red Book</v>
      </c>
      <c r="H255" t="s">
        <v>750</v>
      </c>
      <c r="I255" t="s">
        <v>751</v>
      </c>
      <c r="J255" t="str">
        <f>Table2[[#This Row],[file_name]]&amp;".mp3"</f>
        <v>270r.mid.mp3</v>
      </c>
      <c r="M255">
        <v>151</v>
      </c>
      <c r="N2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--song="Framlingham (11.10.11.10. Dactylic)" --artist="Miss Grace D. Wightman" --comment="" --album="Red Book" --track="270" 270r.mid.mp3</v>
      </c>
      <c r="P255" s="4" t="e">
        <f ca="1">VLOOKUP(Table2[[#This Row],[mp3_file]],Table3[#All],3,FALSE)</f>
        <v>#NAME?</v>
      </c>
    </row>
    <row r="256" spans="1:16" x14ac:dyDescent="0.3">
      <c r="A256">
        <v>135</v>
      </c>
      <c r="B256" t="s">
        <v>1858</v>
      </c>
      <c r="C256" t="s">
        <v>623</v>
      </c>
      <c r="D256" s="7">
        <f>IFERROR(VLOOKUP(Table2[[#This Row],[tune_meter]],Table1[#All],3,FALSE),"NONE")</f>
        <v>22</v>
      </c>
      <c r="F256" t="s">
        <v>324</v>
      </c>
      <c r="G256" t="str">
        <f>IF(Table2[[#This Row],[tune_book]]="LFTBs","Red Book","Green Book")</f>
        <v>Green Book</v>
      </c>
      <c r="H256" t="s">
        <v>333</v>
      </c>
      <c r="I256" t="s">
        <v>1859</v>
      </c>
      <c r="J256" t="str">
        <f>Table2[[#This Row],[file_name]]&amp;".mp3"</f>
        <v>135g.mid.mp3</v>
      </c>
      <c r="K256">
        <v>1738</v>
      </c>
      <c r="M256">
        <v>612</v>
      </c>
      <c r="N2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--song="Franconia (S.M.)" --artist="German Melody" --comment="" --album="Green Book" --track="135" 135g.mid.mp3</v>
      </c>
      <c r="P256" s="4" t="e">
        <f ca="1">VLOOKUP(Table2[[#This Row],[mp3_file]],Table3[#All],3,FALSE)</f>
        <v>#NAME?</v>
      </c>
    </row>
    <row r="257" spans="1:16" x14ac:dyDescent="0.3">
      <c r="A257">
        <v>71</v>
      </c>
      <c r="B257" t="s">
        <v>752</v>
      </c>
      <c r="C257" t="s">
        <v>446</v>
      </c>
      <c r="D257" s="7">
        <f>IFERROR(VLOOKUP(Table2[[#This Row],[tune_meter]],Table1[#All],3,FALSE),"NONE")</f>
        <v>44</v>
      </c>
      <c r="F257" t="s">
        <v>459</v>
      </c>
      <c r="G257" t="str">
        <f>IF(Table2[[#This Row],[tune_book]]="LFTBs","Red Book","Green Book")</f>
        <v>Red Book</v>
      </c>
      <c r="H257" t="s">
        <v>2815</v>
      </c>
      <c r="I257" t="s">
        <v>753</v>
      </c>
      <c r="J257" t="str">
        <f>Table2[[#This Row],[file_name]]&amp;".mp3"</f>
        <v>71r.mid.mp3</v>
      </c>
      <c r="M257">
        <v>152</v>
      </c>
      <c r="N2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--song="Frankincense (6.4.6.4.6.6.6.4.)" --artist="P. S. Pope" --comment="" --album="Red Book" --track="71" 71r.mid.mp3</v>
      </c>
      <c r="P257" s="4" t="e">
        <f ca="1">VLOOKUP(Table2[[#This Row],[mp3_file]],Table3[#All],3,FALSE)</f>
        <v>#NAME?</v>
      </c>
    </row>
    <row r="258" spans="1:16" x14ac:dyDescent="0.3">
      <c r="A258">
        <v>22</v>
      </c>
      <c r="B258" t="s">
        <v>1642</v>
      </c>
      <c r="C258" t="s">
        <v>486</v>
      </c>
      <c r="D258" s="7">
        <f>IFERROR(VLOOKUP(Table2[[#This Row],[tune_meter]],Table1[#All],3,FALSE),"NONE")</f>
        <v>19</v>
      </c>
      <c r="F258" t="s">
        <v>324</v>
      </c>
      <c r="G258" t="str">
        <f>IF(Table2[[#This Row],[tune_book]]="LFTBs","Red Book","Green Book")</f>
        <v>Green Book</v>
      </c>
      <c r="H258" t="s">
        <v>1407</v>
      </c>
      <c r="I258" t="s">
        <v>1643</v>
      </c>
      <c r="J258" t="str">
        <f>Table2[[#This Row],[file_name]]&amp;".mp3"</f>
        <v>22g.mid.mp3</v>
      </c>
      <c r="K258">
        <v>1615</v>
      </c>
      <c r="M258">
        <v>523</v>
      </c>
      <c r="N2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--song="French (C.M.)" --artist="From 'Scottish Psalter'" --comment="" --album="Green Book" --track="22" 22g.mid.mp3</v>
      </c>
      <c r="P258" s="4" t="e">
        <f ca="1">VLOOKUP(Table2[[#This Row],[mp3_file]],Table3[#All],3,FALSE)</f>
        <v>#NAME?</v>
      </c>
    </row>
    <row r="259" spans="1:16" x14ac:dyDescent="0.3">
      <c r="A259">
        <v>242</v>
      </c>
      <c r="B259" t="s">
        <v>1285</v>
      </c>
      <c r="C259" t="s">
        <v>467</v>
      </c>
      <c r="D259" s="7">
        <f>IFERROR(VLOOKUP(Table2[[#This Row],[tune_meter]],Table1[#All],3,FALSE),"NONE")</f>
        <v>34</v>
      </c>
      <c r="F259" t="s">
        <v>324</v>
      </c>
      <c r="G259" t="str">
        <f>IF(Table2[[#This Row],[tune_book]]="LFTBs","Red Book","Green Book")</f>
        <v>Green Book</v>
      </c>
      <c r="H259" t="s">
        <v>1286</v>
      </c>
      <c r="I259" t="s">
        <v>1287</v>
      </c>
      <c r="J259" t="str">
        <f>Table2[[#This Row],[file_name]]&amp;".mp3"</f>
        <v>242g.mid.mp3</v>
      </c>
      <c r="M259">
        <v>368</v>
      </c>
      <c r="N2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--song="Friend Unfailing (7.6.7.6.7.6.7.6.)" --artist="From Beethoven" --comment="" --album="Green Book" --track="242" 242g.mid.mp3</v>
      </c>
      <c r="P259" s="4" t="e">
        <f ca="1">VLOOKUP(Table2[[#This Row],[mp3_file]],Table3[#All],3,FALSE)</f>
        <v>#NAME?</v>
      </c>
    </row>
    <row r="260" spans="1:16" x14ac:dyDescent="0.3">
      <c r="A260">
        <v>381</v>
      </c>
      <c r="B260" t="s">
        <v>1337</v>
      </c>
      <c r="C260" t="s">
        <v>476</v>
      </c>
      <c r="D260" s="7">
        <f>IFERROR(VLOOKUP(Table2[[#This Row],[tune_meter]],Table1[#All],3,FALSE),"NONE")</f>
        <v>25</v>
      </c>
      <c r="F260" t="s">
        <v>324</v>
      </c>
      <c r="G260" t="str">
        <f>IF(Table2[[#This Row],[tune_book]]="LFTBs","Red Book","Green Book")</f>
        <v>Green Book</v>
      </c>
      <c r="H260" t="s">
        <v>633</v>
      </c>
      <c r="I260" t="s">
        <v>1338</v>
      </c>
      <c r="J260" t="str">
        <f>Table2[[#This Row],[file_name]]&amp;".mp3"</f>
        <v>381g.mid.mp3</v>
      </c>
      <c r="K260">
        <v>1900</v>
      </c>
      <c r="M260">
        <v>390</v>
      </c>
      <c r="N2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--song="Friendship (8.7.8.7.8.7.8.7.)" --artist="Miss La Thangue" --comment="" --album="Green Book" --track="381" 381g.mid.mp3</v>
      </c>
      <c r="P260" s="4" t="e">
        <f ca="1">VLOOKUP(Table2[[#This Row],[mp3_file]],Table3[#All],3,FALSE)</f>
        <v>#NAME?</v>
      </c>
    </row>
    <row r="261" spans="1:16" x14ac:dyDescent="0.3">
      <c r="A261">
        <v>432</v>
      </c>
      <c r="B261" t="s">
        <v>2054</v>
      </c>
      <c r="C261" t="s">
        <v>554</v>
      </c>
      <c r="D261" s="7">
        <f>IFERROR(VLOOKUP(Table2[[#This Row],[tune_meter]],Table1[#All],3,FALSE),"NONE")</f>
        <v>26</v>
      </c>
      <c r="F261" t="s">
        <v>324</v>
      </c>
      <c r="G261" t="str">
        <f>IF(Table2[[#This Row],[tune_book]]="LFTBs","Red Book","Green Book")</f>
        <v>Green Book</v>
      </c>
      <c r="H261" t="s">
        <v>344</v>
      </c>
      <c r="I261" t="s">
        <v>2055</v>
      </c>
      <c r="J261" t="str">
        <f>Table2[[#This Row],[file_name]]&amp;".mp3"</f>
        <v>432g.mid.mp3</v>
      </c>
      <c r="M261">
        <v>698</v>
      </c>
      <c r="N2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--song="Gardenstown (8.8.8.8.8.8.)" --artist="Unknown" --comment="" --album="Green Book" --track="432" 432g.mid.mp3</v>
      </c>
      <c r="P261" s="4" t="e">
        <f ca="1">VLOOKUP(Table2[[#This Row],[mp3_file]],Table3[#All],3,FALSE)</f>
        <v>#NAME?</v>
      </c>
    </row>
    <row r="262" spans="1:16" x14ac:dyDescent="0.3">
      <c r="A262">
        <v>102</v>
      </c>
      <c r="B262" t="s">
        <v>754</v>
      </c>
      <c r="C262" t="s">
        <v>467</v>
      </c>
      <c r="D262" s="7">
        <f>IFERROR(VLOOKUP(Table2[[#This Row],[tune_meter]],Table1[#All],3,FALSE),"NONE")</f>
        <v>34</v>
      </c>
      <c r="F262" t="s">
        <v>459</v>
      </c>
      <c r="G262" t="str">
        <f>IF(Table2[[#This Row],[tune_book]]="LFTBs","Red Book","Green Book")</f>
        <v>Red Book</v>
      </c>
      <c r="H262" t="s">
        <v>2728</v>
      </c>
      <c r="I262" t="s">
        <v>755</v>
      </c>
      <c r="J262" t="str">
        <f>Table2[[#This Row],[file_name]]&amp;".mp3"</f>
        <v>102r.mid.mp3</v>
      </c>
      <c r="M262">
        <v>153</v>
      </c>
      <c r="N2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--song="Gerizim (7.6.7.6.7.6.7.6.)" --artist="Miss E. C. Shanks" --comment="" --album="Red Book" --track="102" 102r.mid.mp3</v>
      </c>
      <c r="P262" s="4" t="e">
        <f ca="1">VLOOKUP(Table2[[#This Row],[mp3_file]],Table3[#All],3,FALSE)</f>
        <v>#NAME?</v>
      </c>
    </row>
    <row r="263" spans="1:16" x14ac:dyDescent="0.3">
      <c r="A263">
        <v>323</v>
      </c>
      <c r="B263" t="s">
        <v>1716</v>
      </c>
      <c r="C263" t="s">
        <v>370</v>
      </c>
      <c r="D263" s="7">
        <f>IFERROR(VLOOKUP(Table2[[#This Row],[tune_meter]],Table1[#All],3,FALSE),"NONE")</f>
        <v>24</v>
      </c>
      <c r="F263" t="s">
        <v>324</v>
      </c>
      <c r="G263" t="str">
        <f>IF(Table2[[#This Row],[tune_book]]="LFTBs","Red Book","Green Book")</f>
        <v>Green Book</v>
      </c>
      <c r="H263" t="s">
        <v>1717</v>
      </c>
      <c r="I263" t="s">
        <v>1718</v>
      </c>
      <c r="J263" t="str">
        <f>Table2[[#This Row],[file_name]]&amp;".mp3"</f>
        <v>323g.mid.mp3</v>
      </c>
      <c r="M263">
        <v>555</v>
      </c>
      <c r="N2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Evening Hymn (8.7.8.7.)" --artist="From German" --comment="" --album="Green Book" --track="323" 323g.mid.mp3</v>
      </c>
      <c r="P263" s="4" t="e">
        <f ca="1">VLOOKUP(Table2[[#This Row],[mp3_file]],Table3[#All],3,FALSE)</f>
        <v>#NAME?</v>
      </c>
    </row>
    <row r="264" spans="1:16" x14ac:dyDescent="0.3">
      <c r="A264">
        <v>32</v>
      </c>
      <c r="B264" t="s">
        <v>756</v>
      </c>
      <c r="C264" t="s">
        <v>516</v>
      </c>
      <c r="D264" s="7">
        <f>IFERROR(VLOOKUP(Table2[[#This Row],[tune_meter]],Table1[#All],3,FALSE),"NONE")</f>
        <v>16</v>
      </c>
      <c r="F264" t="s">
        <v>459</v>
      </c>
      <c r="G264" t="str">
        <f>IF(Table2[[#This Row],[tune_book]]="LFTBs","Red Book","Green Book")</f>
        <v>Red Book</v>
      </c>
      <c r="H264" t="s">
        <v>344</v>
      </c>
      <c r="I264" t="s">
        <v>757</v>
      </c>
      <c r="J264" t="str">
        <f>Table2[[#This Row],[file_name]]&amp;".mp3"</f>
        <v>32r.mid.mp3</v>
      </c>
      <c r="M264">
        <v>154</v>
      </c>
      <c r="N2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 135 (L.M.)" --artist="Unknown" --comment="" --album="Red Book" --track="32" 32r.mid.mp3</v>
      </c>
      <c r="P264" s="4" t="e">
        <f ca="1">VLOOKUP(Table2[[#This Row],[mp3_file]],Table3[#All],3,FALSE)</f>
        <v>#NAME?</v>
      </c>
    </row>
    <row r="265" spans="1:16" x14ac:dyDescent="0.3">
      <c r="A265">
        <v>33</v>
      </c>
      <c r="B265" t="s">
        <v>758</v>
      </c>
      <c r="C265" t="s">
        <v>516</v>
      </c>
      <c r="D265" s="7">
        <f>IFERROR(VLOOKUP(Table2[[#This Row],[tune_meter]],Table1[#All],3,FALSE),"NONE")</f>
        <v>16</v>
      </c>
      <c r="F265" t="s">
        <v>459</v>
      </c>
      <c r="G265" t="str">
        <f>IF(Table2[[#This Row],[tune_book]]="LFTBs","Red Book","Green Book")</f>
        <v>Red Book</v>
      </c>
      <c r="H265" t="s">
        <v>344</v>
      </c>
      <c r="I265" t="s">
        <v>759</v>
      </c>
      <c r="J265" t="str">
        <f>Table2[[#This Row],[file_name]]&amp;".mp3"</f>
        <v>33r.mid.mp3</v>
      </c>
      <c r="M265">
        <v>155</v>
      </c>
      <c r="N2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 143 (L.M.)" --artist="Unknown" --comment="" --album="Red Book" --track="33" 33r.mid.mp3</v>
      </c>
      <c r="P265" s="4" t="e">
        <f ca="1">VLOOKUP(Table2[[#This Row],[mp3_file]],Table3[#All],3,FALSE)</f>
        <v>#NAME?</v>
      </c>
    </row>
    <row r="266" spans="1:16" x14ac:dyDescent="0.3">
      <c r="A266">
        <v>244</v>
      </c>
      <c r="B266" t="s">
        <v>1710</v>
      </c>
      <c r="C266" t="s">
        <v>467</v>
      </c>
      <c r="D266" s="7">
        <f>IFERROR(VLOOKUP(Table2[[#This Row],[tune_meter]],Table1[#All],3,FALSE),"NONE")</f>
        <v>34</v>
      </c>
      <c r="F266" t="s">
        <v>324</v>
      </c>
      <c r="G266" t="str">
        <f>IF(Table2[[#This Row],[tune_book]]="LFTBs","Red Book","Green Book")</f>
        <v>Green Book</v>
      </c>
      <c r="H266" t="s">
        <v>344</v>
      </c>
      <c r="I266" t="s">
        <v>1711</v>
      </c>
      <c r="J266" t="str">
        <f>Table2[[#This Row],[file_name]]&amp;".mp3"</f>
        <v>244g.mid.mp3</v>
      </c>
      <c r="M266">
        <v>552</v>
      </c>
      <c r="N2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 41 (7.6.7.6.7.6.7.6.)" --artist="Unknown" --comment="" --album="Green Book" --track="244" 244g.mid.mp3</v>
      </c>
      <c r="P266" s="4" t="e">
        <f ca="1">VLOOKUP(Table2[[#This Row],[mp3_file]],Table3[#All],3,FALSE)</f>
        <v>#NAME?</v>
      </c>
    </row>
    <row r="267" spans="1:16" x14ac:dyDescent="0.3">
      <c r="A267">
        <v>212</v>
      </c>
      <c r="B267" t="s">
        <v>760</v>
      </c>
      <c r="C267" t="s">
        <v>554</v>
      </c>
      <c r="D267" s="7">
        <f>IFERROR(VLOOKUP(Table2[[#This Row],[tune_meter]],Table1[#All],3,FALSE),"NONE")</f>
        <v>26</v>
      </c>
      <c r="F267" t="s">
        <v>459</v>
      </c>
      <c r="G267" t="str">
        <f>IF(Table2[[#This Row],[tune_book]]="LFTBs","Red Book","Green Book")</f>
        <v>Red Book</v>
      </c>
      <c r="H267" t="s">
        <v>761</v>
      </c>
      <c r="I267" t="s">
        <v>762</v>
      </c>
      <c r="J267" t="str">
        <f>Table2[[#This Row],[file_name]]&amp;".mp3"</f>
        <v>212r.mid.mp3</v>
      </c>
      <c r="M267">
        <v>156</v>
      </c>
      <c r="N2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No.148 (8.8.8.8.8.8.)" --artist="R. Arras" --comment="" --album="Red Book" --track="212" 212r.mid.mp3</v>
      </c>
      <c r="P267" s="4" t="e">
        <f ca="1">VLOOKUP(Table2[[#This Row],[mp3_file]],Table3[#All],3,FALSE)</f>
        <v>#NAME?</v>
      </c>
    </row>
    <row r="268" spans="1:16" x14ac:dyDescent="0.3">
      <c r="A268">
        <v>265</v>
      </c>
      <c r="B268" t="s">
        <v>763</v>
      </c>
      <c r="C268" t="s">
        <v>495</v>
      </c>
      <c r="D268" s="7">
        <f>IFERROR(VLOOKUP(Table2[[#This Row],[tune_meter]],Table1[#All],3,FALSE),"NONE")</f>
        <v>52</v>
      </c>
      <c r="F268" t="s">
        <v>459</v>
      </c>
      <c r="G268" t="str">
        <f>IF(Table2[[#This Row],[tune_book]]="LFTBs","Red Book","Green Book")</f>
        <v>Red Book</v>
      </c>
      <c r="H268" t="s">
        <v>761</v>
      </c>
      <c r="I268" t="s">
        <v>764</v>
      </c>
      <c r="J268" t="str">
        <f>Table2[[#This Row],[file_name]]&amp;".mp3"</f>
        <v>265r.mid.mp3</v>
      </c>
      <c r="M268">
        <v>157</v>
      </c>
      <c r="N2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No.219 (11.10.11.10.)" --artist="R. Arras" --comment="" --album="Red Book" --track="265" 265r.mid.mp3</v>
      </c>
      <c r="P268" s="4" t="e">
        <f ca="1">VLOOKUP(Table2[[#This Row],[mp3_file]],Table3[#All],3,FALSE)</f>
        <v>#NAME?</v>
      </c>
    </row>
    <row r="269" spans="1:16" x14ac:dyDescent="0.3">
      <c r="A269">
        <v>266</v>
      </c>
      <c r="B269" t="s">
        <v>765</v>
      </c>
      <c r="C269" t="s">
        <v>495</v>
      </c>
      <c r="D269" s="7">
        <f>IFERROR(VLOOKUP(Table2[[#This Row],[tune_meter]],Table1[#All],3,FALSE),"NONE")</f>
        <v>52</v>
      </c>
      <c r="F269" t="s">
        <v>459</v>
      </c>
      <c r="G269" t="str">
        <f>IF(Table2[[#This Row],[tune_book]]="LFTBs","Red Book","Green Book")</f>
        <v>Red Book</v>
      </c>
      <c r="H269" t="s">
        <v>344</v>
      </c>
      <c r="I269" t="s">
        <v>766</v>
      </c>
      <c r="J269" t="str">
        <f>Table2[[#This Row],[file_name]]&amp;".mp3"</f>
        <v>266r.mid.mp3</v>
      </c>
      <c r="M269">
        <v>158</v>
      </c>
      <c r="N2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No.222 (11.10.11.10.)" --artist="Unknown" --comment="" --album="Red Book" --track="266" 266r.mid.mp3</v>
      </c>
      <c r="P269" s="4" t="e">
        <f ca="1">VLOOKUP(Table2[[#This Row],[mp3_file]],Table3[#All],3,FALSE)</f>
        <v>#NAME?</v>
      </c>
    </row>
    <row r="270" spans="1:16" x14ac:dyDescent="0.3">
      <c r="A270">
        <v>103</v>
      </c>
      <c r="B270" t="s">
        <v>767</v>
      </c>
      <c r="C270" t="s">
        <v>467</v>
      </c>
      <c r="D270" s="7">
        <f>IFERROR(VLOOKUP(Table2[[#This Row],[tune_meter]],Table1[#All],3,FALSE),"NONE")</f>
        <v>34</v>
      </c>
      <c r="F270" t="s">
        <v>459</v>
      </c>
      <c r="G270" t="str">
        <f>IF(Table2[[#This Row],[tune_book]]="LFTBs","Red Book","Green Book")</f>
        <v>Red Book</v>
      </c>
      <c r="H270" t="s">
        <v>768</v>
      </c>
      <c r="I270" t="s">
        <v>769</v>
      </c>
      <c r="J270" t="str">
        <f>Table2[[#This Row],[file_name]]&amp;".mp3"</f>
        <v>103r.mid.mp3</v>
      </c>
      <c r="M270">
        <v>159</v>
      </c>
      <c r="N2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No.37 (7.6.7.6.7.6.7.6.)" --artist="J. Michael Haydn" --comment="" --album="Red Book" --track="103" 103r.mid.mp3</v>
      </c>
      <c r="P270" s="4" t="e">
        <f ca="1">VLOOKUP(Table2[[#This Row],[mp3_file]],Table3[#All],3,FALSE)</f>
        <v>#NAME?</v>
      </c>
    </row>
    <row r="271" spans="1:16" x14ac:dyDescent="0.3">
      <c r="A271">
        <v>104</v>
      </c>
      <c r="B271" t="s">
        <v>770</v>
      </c>
      <c r="C271" t="s">
        <v>467</v>
      </c>
      <c r="D271" s="7">
        <f>IFERROR(VLOOKUP(Table2[[#This Row],[tune_meter]],Table1[#All],3,FALSE),"NONE")</f>
        <v>34</v>
      </c>
      <c r="F271" t="s">
        <v>459</v>
      </c>
      <c r="G271" t="str">
        <f>IF(Table2[[#This Row],[tune_book]]="LFTBs","Red Book","Green Book")</f>
        <v>Red Book</v>
      </c>
      <c r="H271" t="s">
        <v>344</v>
      </c>
      <c r="I271" t="s">
        <v>771</v>
      </c>
      <c r="J271" t="str">
        <f>Table2[[#This Row],[file_name]]&amp;".mp3"</f>
        <v>104r.mid.mp3</v>
      </c>
      <c r="M271">
        <v>160</v>
      </c>
      <c r="N2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No.38 (7.6.7.6.7.6.7.6.)" --artist="Unknown" --comment="" --album="Red Book" --track="104" 104r.mid.mp3</v>
      </c>
      <c r="P271" s="4" t="e">
        <f ca="1">VLOOKUP(Table2[[#This Row],[mp3_file]],Table3[#All],3,FALSE)</f>
        <v>#NAME?</v>
      </c>
    </row>
    <row r="272" spans="1:16" x14ac:dyDescent="0.3">
      <c r="A272">
        <v>105</v>
      </c>
      <c r="B272" t="s">
        <v>772</v>
      </c>
      <c r="C272" t="s">
        <v>467</v>
      </c>
      <c r="D272" s="7">
        <f>IFERROR(VLOOKUP(Table2[[#This Row],[tune_meter]],Table1[#All],3,FALSE),"NONE")</f>
        <v>34</v>
      </c>
      <c r="F272" t="s">
        <v>459</v>
      </c>
      <c r="G272" t="str">
        <f>IF(Table2[[#This Row],[tune_book]]="LFTBs","Red Book","Green Book")</f>
        <v>Red Book</v>
      </c>
      <c r="H272" t="s">
        <v>344</v>
      </c>
      <c r="I272" t="s">
        <v>773</v>
      </c>
      <c r="J272" t="str">
        <f>Table2[[#This Row],[file_name]]&amp;".mp3"</f>
        <v>105r.mid.mp3</v>
      </c>
      <c r="M272">
        <v>161</v>
      </c>
      <c r="N2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No.41 (7.6.7.6.7.6.7.6.)" --artist="Unknown" --comment="" --album="Red Book" --track="105" 105r.mid.mp3</v>
      </c>
      <c r="P272" s="4" t="e">
        <f ca="1">VLOOKUP(Table2[[#This Row],[mp3_file]],Table3[#All],3,FALSE)</f>
        <v>#NAME?</v>
      </c>
    </row>
    <row r="273" spans="1:16" x14ac:dyDescent="0.3">
      <c r="A273">
        <v>116</v>
      </c>
      <c r="B273" t="s">
        <v>774</v>
      </c>
      <c r="C273" t="s">
        <v>775</v>
      </c>
      <c r="D273" s="7">
        <f>IFERROR(VLOOKUP(Table2[[#This Row],[tune_meter]],Table1[#All],3,FALSE),"NONE")</f>
        <v>83</v>
      </c>
      <c r="F273" t="s">
        <v>459</v>
      </c>
      <c r="G273" t="str">
        <f>IF(Table2[[#This Row],[tune_book]]="LFTBs","Red Book","Green Book")</f>
        <v>Red Book</v>
      </c>
      <c r="H273" t="s">
        <v>776</v>
      </c>
      <c r="I273" t="s">
        <v>777</v>
      </c>
      <c r="J273" t="str">
        <f>Table2[[#This Row],[file_name]]&amp;".mp3"</f>
        <v>116r.mid.mp3</v>
      </c>
      <c r="M273">
        <v>162</v>
      </c>
      <c r="N2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No.46 (7.7.7.7.7.7.)" --artist="Wilh. Moritz Vogel" --comment="" --album="Red Book" --track="116" 116r.mid.mp3</v>
      </c>
      <c r="P273" s="4" t="e">
        <f ca="1">VLOOKUP(Table2[[#This Row],[mp3_file]],Table3[#All],3,FALSE)</f>
        <v>#NAME?</v>
      </c>
    </row>
    <row r="274" spans="1:16" x14ac:dyDescent="0.3">
      <c r="A274">
        <v>23</v>
      </c>
      <c r="B274" t="s">
        <v>1749</v>
      </c>
      <c r="C274" t="s">
        <v>486</v>
      </c>
      <c r="D274" s="7">
        <f>IFERROR(VLOOKUP(Table2[[#This Row],[tune_meter]],Table1[#All],3,FALSE),"NONE")</f>
        <v>19</v>
      </c>
      <c r="F274" t="s">
        <v>324</v>
      </c>
      <c r="G274" t="str">
        <f>IF(Table2[[#This Row],[tune_book]]="LFTBs","Red Book","Green Book")</f>
        <v>Green Book</v>
      </c>
      <c r="H274" t="s">
        <v>761</v>
      </c>
      <c r="I274" t="s">
        <v>1750</v>
      </c>
      <c r="J274" t="str">
        <f>Table2[[#This Row],[file_name]]&amp;".mp3"</f>
        <v>23g.mid.mp3</v>
      </c>
      <c r="M274">
        <v>569</v>
      </c>
      <c r="N2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--song="German Tunes (1952) No.65 (C.M.)" --artist="R. Arras" --comment="" --album="Green Book" --track="23" 23g.mid.mp3</v>
      </c>
      <c r="P274" s="4" t="e">
        <f ca="1">VLOOKUP(Table2[[#This Row],[mp3_file]],Table3[#All],3,FALSE)</f>
        <v>#NAME?</v>
      </c>
    </row>
    <row r="275" spans="1:16" x14ac:dyDescent="0.3">
      <c r="A275">
        <v>24</v>
      </c>
      <c r="B275" t="s">
        <v>1751</v>
      </c>
      <c r="C275" t="s">
        <v>486</v>
      </c>
      <c r="D275" s="7">
        <f>IFERROR(VLOOKUP(Table2[[#This Row],[tune_meter]],Table1[#All],3,FALSE),"NONE")</f>
        <v>19</v>
      </c>
      <c r="F275" t="s">
        <v>324</v>
      </c>
      <c r="G275" t="str">
        <f>IF(Table2[[#This Row],[tune_book]]="LFTBs","Red Book","Green Book")</f>
        <v>Green Book</v>
      </c>
      <c r="H275" t="s">
        <v>2781</v>
      </c>
      <c r="I275" t="s">
        <v>1752</v>
      </c>
      <c r="J275" t="str">
        <f>Table2[[#This Row],[file_name]]&amp;".mp3"</f>
        <v>24g.mid.mp3</v>
      </c>
      <c r="M275">
        <v>570</v>
      </c>
      <c r="N2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--song="Gerontius (C.M.)" --artist="Dr J. B. Dykes" --comment="" --album="Green Book" --track="24" 24g.mid.mp3</v>
      </c>
      <c r="P275" s="4" t="e">
        <f ca="1">VLOOKUP(Table2[[#This Row],[mp3_file]],Table3[#All],3,FALSE)</f>
        <v>#NAME?</v>
      </c>
    </row>
    <row r="276" spans="1:16" x14ac:dyDescent="0.3">
      <c r="A276">
        <v>101</v>
      </c>
      <c r="B276" t="s">
        <v>1237</v>
      </c>
      <c r="C276" t="s">
        <v>516</v>
      </c>
      <c r="D276" s="7">
        <f>IFERROR(VLOOKUP(Table2[[#This Row],[tune_meter]],Table1[#All],3,FALSE),"NONE")</f>
        <v>16</v>
      </c>
      <c r="F276" t="s">
        <v>324</v>
      </c>
      <c r="G276" t="str">
        <f>IF(Table2[[#This Row],[tune_book]]="LFTBs","Red Book","Green Book")</f>
        <v>Green Book</v>
      </c>
      <c r="H276" t="s">
        <v>2825</v>
      </c>
      <c r="I276" t="s">
        <v>1239</v>
      </c>
      <c r="J276" t="str">
        <f>Table2[[#This Row],[file_name]]&amp;".mp3"</f>
        <v>101g.mid.mp3</v>
      </c>
      <c r="M276">
        <v>349</v>
      </c>
      <c r="N2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--song="Gethsemene (L.M.)" --artist="W. B. Bradbury" --comment="" --album="Green Book" --track="101" 101g.mid.mp3</v>
      </c>
      <c r="P276" s="4" t="e">
        <f ca="1">VLOOKUP(Table2[[#This Row],[mp3_file]],Table3[#All],3,FALSE)</f>
        <v>#NAME?</v>
      </c>
    </row>
    <row r="277" spans="1:16" x14ac:dyDescent="0.3">
      <c r="A277">
        <v>426</v>
      </c>
      <c r="B277" t="s">
        <v>2042</v>
      </c>
      <c r="C277" t="s">
        <v>520</v>
      </c>
      <c r="D277" s="7">
        <f>IFERROR(VLOOKUP(Table2[[#This Row],[tune_meter]],Table1[#All],3,FALSE),"NONE")</f>
        <v>58</v>
      </c>
      <c r="F277" t="s">
        <v>324</v>
      </c>
      <c r="G277" t="str">
        <f>IF(Table2[[#This Row],[tune_book]]="LFTBs","Red Book","Green Book")</f>
        <v>Green Book</v>
      </c>
      <c r="H277" t="s">
        <v>2756</v>
      </c>
      <c r="I277" t="s">
        <v>2043</v>
      </c>
      <c r="J277" t="str">
        <f>Table2[[#This Row],[file_name]]&amp;".mp3"</f>
        <v>426g.mid.mp3</v>
      </c>
      <c r="K277">
        <v>1952</v>
      </c>
      <c r="M277">
        <v>692</v>
      </c>
      <c r="N2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--song="Gift Unspeakable (8.8.8.8.6.)" --artist="A. F. Tipler" --comment="" --album="Green Book" --track="426" 426g.mid.mp3</v>
      </c>
      <c r="P277" s="4" t="e">
        <f ca="1">VLOOKUP(Table2[[#This Row],[mp3_file]],Table3[#All],3,FALSE)</f>
        <v>#NAME?</v>
      </c>
    </row>
    <row r="278" spans="1:16" x14ac:dyDescent="0.3">
      <c r="A278">
        <v>199</v>
      </c>
      <c r="B278" t="s">
        <v>778</v>
      </c>
      <c r="C278" t="s">
        <v>323</v>
      </c>
      <c r="D278" s="7">
        <f>IFERROR(VLOOKUP(Table2[[#This Row],[tune_meter]],Table1[#All],3,FALSE),"NONE")</f>
        <v>79</v>
      </c>
      <c r="F278" t="s">
        <v>459</v>
      </c>
      <c r="G278" t="str">
        <f>IF(Table2[[#This Row],[tune_book]]="LFTBs","Red Book","Green Book")</f>
        <v>Red Book</v>
      </c>
      <c r="H278" t="s">
        <v>2728</v>
      </c>
      <c r="I278" t="s">
        <v>779</v>
      </c>
      <c r="J278" t="str">
        <f>Table2[[#This Row],[file_name]]&amp;".mp3"</f>
        <v>199r.mid.mp3</v>
      </c>
      <c r="K278" s="4">
        <v>1964</v>
      </c>
      <c r="M278">
        <v>163</v>
      </c>
      <c r="N2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--song="Gihon (8.8.7.7.)" --artist="Miss E. C. Shanks" --comment="" --album="Red Book" --track="199" 199r.mid.mp3</v>
      </c>
      <c r="P278" s="4" t="e">
        <f ca="1">VLOOKUP(Table2[[#This Row],[mp3_file]],Table3[#All],3,FALSE)</f>
        <v>#NAME?</v>
      </c>
    </row>
    <row r="279" spans="1:16" x14ac:dyDescent="0.3">
      <c r="A279">
        <v>131</v>
      </c>
      <c r="B279" t="s">
        <v>780</v>
      </c>
      <c r="C279" t="s">
        <v>781</v>
      </c>
      <c r="D279" s="7">
        <f>IFERROR(VLOOKUP(Table2[[#This Row],[tune_meter]],Table1[#All],3,FALSE),"NONE")</f>
        <v>37</v>
      </c>
      <c r="F279" t="s">
        <v>459</v>
      </c>
      <c r="G279" t="str">
        <f>IF(Table2[[#This Row],[tune_book]]="LFTBs","Red Book","Green Book")</f>
        <v>Red Book</v>
      </c>
      <c r="H279" t="s">
        <v>384</v>
      </c>
      <c r="I279" t="s">
        <v>782</v>
      </c>
      <c r="J279" t="str">
        <f>Table2[[#This Row],[file_name]]&amp;".mp3"</f>
        <v>131r.mid.mp3</v>
      </c>
      <c r="M279">
        <v>164</v>
      </c>
      <c r="N2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--song="Gittit (8.5.8.5.8.5.8.5.)" --artist="E. Carren" --comment="" --album="Red Book" --track="131" 131r.mid.mp3</v>
      </c>
      <c r="P279" s="4" t="e">
        <f ca="1">VLOOKUP(Table2[[#This Row],[mp3_file]],Table3[#All],3,FALSE)</f>
        <v>#NAME?</v>
      </c>
    </row>
    <row r="280" spans="1:16" x14ac:dyDescent="0.3">
      <c r="A280">
        <v>25</v>
      </c>
      <c r="B280" t="s">
        <v>1753</v>
      </c>
      <c r="C280" t="s">
        <v>486</v>
      </c>
      <c r="D280" s="7">
        <f>IFERROR(VLOOKUP(Table2[[#This Row],[tune_meter]],Table1[#All],3,FALSE),"NONE")</f>
        <v>19</v>
      </c>
      <c r="F280" t="s">
        <v>324</v>
      </c>
      <c r="G280" t="str">
        <f>IF(Table2[[#This Row],[tune_book]]="LFTBs","Red Book","Green Book")</f>
        <v>Green Book</v>
      </c>
      <c r="H280" t="s">
        <v>1754</v>
      </c>
      <c r="I280" t="s">
        <v>1755</v>
      </c>
      <c r="J280" t="str">
        <f>Table2[[#This Row],[file_name]]&amp;".mp3"</f>
        <v>25g.mid.mp3</v>
      </c>
      <c r="M280">
        <v>571</v>
      </c>
      <c r="N2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--song="Glasgow (C.M.)" --artist="John Holden" --comment="" --album="Green Book" --track="25" 25g.mid.mp3</v>
      </c>
      <c r="P280" s="4" t="e">
        <f ca="1">VLOOKUP(Table2[[#This Row],[mp3_file]],Table3[#All],3,FALSE)</f>
        <v>#NAME?</v>
      </c>
    </row>
    <row r="281" spans="1:16" x14ac:dyDescent="0.3">
      <c r="A281">
        <v>486</v>
      </c>
      <c r="B281" t="s">
        <v>2120</v>
      </c>
      <c r="C281" t="s">
        <v>582</v>
      </c>
      <c r="D281" s="7">
        <f>IFERROR(VLOOKUP(Table2[[#This Row],[tune_meter]],Table1[#All],3,FALSE),"NONE")</f>
        <v>21</v>
      </c>
      <c r="F281" t="s">
        <v>324</v>
      </c>
      <c r="G281" t="str">
        <f>IF(Table2[[#This Row],[tune_book]]="LFTBs","Red Book","Green Book")</f>
        <v>Green Book</v>
      </c>
      <c r="H281" t="s">
        <v>2826</v>
      </c>
      <c r="I281" t="s">
        <v>2121</v>
      </c>
      <c r="J281" t="str">
        <f>Table2[[#This Row],[file_name]]&amp;".mp3"</f>
        <v>486g.mid.mp3</v>
      </c>
      <c r="K281">
        <v>1925</v>
      </c>
      <c r="M281">
        <v>729</v>
      </c>
      <c r="N2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--song="Glenartney (10.10.10.10.)" --artist="C. H. Gaskin" --comment="" --album="Green Book" --track="486" 486g.mid.mp3</v>
      </c>
      <c r="P281" s="4" t="e">
        <f ca="1">VLOOKUP(Table2[[#This Row],[mp3_file]],Table3[#All],3,FALSE)</f>
        <v>#NAME?</v>
      </c>
    </row>
    <row r="282" spans="1:16" x14ac:dyDescent="0.3">
      <c r="A282">
        <v>287</v>
      </c>
      <c r="B282" t="s">
        <v>783</v>
      </c>
      <c r="C282" t="s">
        <v>473</v>
      </c>
      <c r="D282" s="7">
        <f>IFERROR(VLOOKUP(Table2[[#This Row],[tune_meter]],Table1[#All],3,FALSE),"NONE")</f>
        <v>48</v>
      </c>
      <c r="F282" t="s">
        <v>459</v>
      </c>
      <c r="G282" t="str">
        <f>IF(Table2[[#This Row],[tune_book]]="LFTBs","Red Book","Green Book")</f>
        <v>Red Book</v>
      </c>
      <c r="H282" t="s">
        <v>2815</v>
      </c>
      <c r="I282" t="s">
        <v>784</v>
      </c>
      <c r="J282" t="str">
        <f>Table2[[#This Row],[file_name]]&amp;".mp3"</f>
        <v>287r.mid.mp3</v>
      </c>
      <c r="M282">
        <v>165</v>
      </c>
      <c r="N2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--song="Gloria (12.13.12.10.)" --artist="P. S. Pope" --comment="" --album="Red Book" --track="287" 287r.mid.mp3</v>
      </c>
      <c r="P282" s="4" t="e">
        <f ca="1">VLOOKUP(Table2[[#This Row],[mp3_file]],Table3[#All],3,FALSE)</f>
        <v>#NAME?</v>
      </c>
    </row>
    <row r="283" spans="1:16" x14ac:dyDescent="0.3">
      <c r="A283">
        <v>112</v>
      </c>
      <c r="B283" t="s">
        <v>785</v>
      </c>
      <c r="C283" t="s">
        <v>786</v>
      </c>
      <c r="D283" s="7">
        <f>IFERROR(VLOOKUP(Table2[[#This Row],[tune_meter]],Table1[#All],3,FALSE),"NONE")</f>
        <v>29</v>
      </c>
      <c r="F283" t="s">
        <v>459</v>
      </c>
      <c r="G283" t="str">
        <f>IF(Table2[[#This Row],[tune_book]]="LFTBs","Red Book","Green Book")</f>
        <v>Red Book</v>
      </c>
      <c r="H283" t="s">
        <v>384</v>
      </c>
      <c r="I283" t="s">
        <v>787</v>
      </c>
      <c r="J283" t="str">
        <f>Table2[[#This Row],[file_name]]&amp;".mp3"</f>
        <v>112r.mid.mp3</v>
      </c>
      <c r="M283">
        <v>166</v>
      </c>
      <c r="N2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--song="Glorious (7.7.7.7.)" --artist="E. Carren" --comment="" --album="Red Book" --track="112" 112r.mid.mp3</v>
      </c>
      <c r="P283" s="4" t="e">
        <f ca="1">VLOOKUP(Table2[[#This Row],[mp3_file]],Table3[#All],3,FALSE)</f>
        <v>#NAME?</v>
      </c>
    </row>
    <row r="284" spans="1:16" x14ac:dyDescent="0.3">
      <c r="A284">
        <v>26</v>
      </c>
      <c r="B284" t="s">
        <v>1756</v>
      </c>
      <c r="C284" t="s">
        <v>486</v>
      </c>
      <c r="D284" s="7">
        <f>IFERROR(VLOOKUP(Table2[[#This Row],[tune_meter]],Table1[#All],3,FALSE),"NONE")</f>
        <v>19</v>
      </c>
      <c r="F284" t="s">
        <v>324</v>
      </c>
      <c r="G284" t="str">
        <f>IF(Table2[[#This Row],[tune_book]]="LFTBs","Red Book","Green Book")</f>
        <v>Green Book</v>
      </c>
      <c r="H284" t="s">
        <v>1757</v>
      </c>
      <c r="I284" t="s">
        <v>1758</v>
      </c>
      <c r="J284" t="str">
        <f>Table2[[#This Row],[file_name]]&amp;".mp3"</f>
        <v>26g.mid.mp3</v>
      </c>
      <c r="M284">
        <v>572</v>
      </c>
      <c r="N2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--song="Golden Key (C.M.)" --artist="J.R. Sweney" --comment="" --album="Green Book" --track="26" 26g.mid.mp3</v>
      </c>
      <c r="P284" s="4" t="e">
        <f ca="1">VLOOKUP(Table2[[#This Row],[mp3_file]],Table3[#All],3,FALSE)</f>
        <v>#NAME?</v>
      </c>
    </row>
    <row r="285" spans="1:16" x14ac:dyDescent="0.3">
      <c r="A285">
        <v>124</v>
      </c>
      <c r="B285" t="s">
        <v>788</v>
      </c>
      <c r="C285" t="s">
        <v>789</v>
      </c>
      <c r="D285" s="7">
        <f>IFERROR(VLOOKUP(Table2[[#This Row],[tune_meter]],Table1[#All],3,FALSE),"NONE")</f>
        <v>47</v>
      </c>
      <c r="F285" t="s">
        <v>459</v>
      </c>
      <c r="G285" t="str">
        <f>IF(Table2[[#This Row],[tune_book]]="LFTBs","Red Book","Green Book")</f>
        <v>Red Book</v>
      </c>
      <c r="H285" t="s">
        <v>790</v>
      </c>
      <c r="I285" t="s">
        <v>791</v>
      </c>
      <c r="J285" t="str">
        <f>Table2[[#This Row],[file_name]]&amp;".mp3"</f>
        <v>124r.mid.mp3</v>
      </c>
      <c r="M285">
        <v>167</v>
      </c>
      <c r="N2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--song="Goodrest (8.4.8.4.8.8.8.4.)" --artist="C.E. Kettle" --comment="" --album="Red Book" --track="124" 124r.mid.mp3</v>
      </c>
      <c r="P285" s="4" t="e">
        <f ca="1">VLOOKUP(Table2[[#This Row],[mp3_file]],Table3[#All],3,FALSE)</f>
        <v>#NAME?</v>
      </c>
    </row>
    <row r="286" spans="1:16" x14ac:dyDescent="0.3">
      <c r="A286">
        <v>83</v>
      </c>
      <c r="B286" t="s">
        <v>792</v>
      </c>
      <c r="C286" t="s">
        <v>540</v>
      </c>
      <c r="D286" s="7">
        <f>IFERROR(VLOOKUP(Table2[[#This Row],[tune_meter]],Table1[#All],3,FALSE),"NONE")</f>
        <v>51</v>
      </c>
      <c r="F286" t="s">
        <v>459</v>
      </c>
      <c r="G286" t="str">
        <f>IF(Table2[[#This Row],[tune_book]]="LFTBs","Red Book","Green Book")</f>
        <v>Red Book</v>
      </c>
      <c r="H286" t="s">
        <v>793</v>
      </c>
      <c r="I286" t="s">
        <v>794</v>
      </c>
      <c r="J286" t="str">
        <f>Table2[[#This Row],[file_name]]&amp;".mp3"</f>
        <v>83r.mid.mp3</v>
      </c>
      <c r="M286">
        <v>168</v>
      </c>
      <c r="N2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--song="Gopsal (6.6.6.6.8.8.)" --artist="Georg Friedrich Handel" --comment="" --album="Red Book" --track="83" 83r.mid.mp3</v>
      </c>
      <c r="P286" s="4" t="e">
        <f ca="1">VLOOKUP(Table2[[#This Row],[mp3_file]],Table3[#All],3,FALSE)</f>
        <v>#NAME?</v>
      </c>
    </row>
    <row r="287" spans="1:16" x14ac:dyDescent="0.3">
      <c r="A287">
        <v>324</v>
      </c>
      <c r="B287" t="s">
        <v>1719</v>
      </c>
      <c r="C287" t="s">
        <v>370</v>
      </c>
      <c r="D287" s="7">
        <f>IFERROR(VLOOKUP(Table2[[#This Row],[tune_meter]],Table1[#All],3,FALSE),"NONE")</f>
        <v>24</v>
      </c>
      <c r="F287" t="s">
        <v>324</v>
      </c>
      <c r="G287" t="str">
        <f>IF(Table2[[#This Row],[tune_book]]="LFTBs","Red Book","Green Book")</f>
        <v>Green Book</v>
      </c>
      <c r="H287" t="s">
        <v>2831</v>
      </c>
      <c r="I287" t="s">
        <v>1720</v>
      </c>
      <c r="J287" t="str">
        <f>Table2[[#This Row],[file_name]]&amp;".mp3"</f>
        <v>324g.mid.mp3</v>
      </c>
      <c r="M287">
        <v>556</v>
      </c>
      <c r="N2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--song="Gotha (8.7.8.7.)" --artist="H. R. H. Prince Albert" --comment="" --album="Green Book" --track="324" 324g.mid.mp3</v>
      </c>
      <c r="P287" s="4" t="e">
        <f ca="1">VLOOKUP(Table2[[#This Row],[mp3_file]],Table3[#All],3,FALSE)</f>
        <v>#NAME?</v>
      </c>
    </row>
    <row r="288" spans="1:16" x14ac:dyDescent="0.3">
      <c r="A288">
        <v>137</v>
      </c>
      <c r="B288" t="s">
        <v>1860</v>
      </c>
      <c r="C288" t="s">
        <v>623</v>
      </c>
      <c r="D288" s="7">
        <f>IFERROR(VLOOKUP(Table2[[#This Row],[tune_meter]],Table1[#All],3,FALSE),"NONE")</f>
        <v>22</v>
      </c>
      <c r="F288" t="s">
        <v>324</v>
      </c>
      <c r="G288" t="str">
        <f>IF(Table2[[#This Row],[tune_book]]="LFTBs","Red Book","Green Book")</f>
        <v>Green Book</v>
      </c>
      <c r="H288" t="s">
        <v>2723</v>
      </c>
      <c r="I288" t="s">
        <v>1861</v>
      </c>
      <c r="J288" t="str">
        <f>Table2[[#This Row],[file_name]]&amp;".mp3"</f>
        <v>137g.mid.mp3</v>
      </c>
      <c r="K288">
        <v>1912</v>
      </c>
      <c r="M288">
        <v>613</v>
      </c>
      <c r="N2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--song="Grace (S.M.)" --artist="C. T. Lambert" --comment="" --album="Green Book" --track="137" 137g.mid.mp3</v>
      </c>
      <c r="P288" s="4" t="e">
        <f ca="1">VLOOKUP(Table2[[#This Row],[mp3_file]],Table3[#All],3,FALSE)</f>
        <v>#NAME?</v>
      </c>
    </row>
    <row r="289" spans="1:16" x14ac:dyDescent="0.3">
      <c r="A289">
        <v>200</v>
      </c>
      <c r="B289" t="s">
        <v>795</v>
      </c>
      <c r="C289" t="s">
        <v>323</v>
      </c>
      <c r="D289" s="7">
        <f>IFERROR(VLOOKUP(Table2[[#This Row],[tune_meter]],Table1[#All],3,FALSE),"NONE")</f>
        <v>79</v>
      </c>
      <c r="F289" t="s">
        <v>459</v>
      </c>
      <c r="G289" t="str">
        <f>IF(Table2[[#This Row],[tune_book]]="LFTBs","Red Book","Green Book")</f>
        <v>Red Book</v>
      </c>
      <c r="H289" t="s">
        <v>2074</v>
      </c>
      <c r="I289" t="s">
        <v>796</v>
      </c>
      <c r="J289" t="str">
        <f>Table2[[#This Row],[file_name]]&amp;".mp3"</f>
        <v>200r.mid.mp3</v>
      </c>
      <c r="K289" s="4">
        <v>1941</v>
      </c>
      <c r="M289">
        <v>169</v>
      </c>
      <c r="N2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--song="Granville (8.8.7.7.)" --artist="R.A. Evershed" --comment="" --album="Red Book" --track="200" 200r.mid.mp3</v>
      </c>
      <c r="P289" s="4" t="e">
        <f ca="1">VLOOKUP(Table2[[#This Row],[mp3_file]],Table3[#All],3,FALSE)</f>
        <v>#NAME?</v>
      </c>
    </row>
    <row r="290" spans="1:16" x14ac:dyDescent="0.3">
      <c r="A290">
        <v>245</v>
      </c>
      <c r="B290" t="s">
        <v>1288</v>
      </c>
      <c r="C290" t="s">
        <v>467</v>
      </c>
      <c r="D290" s="7">
        <f>IFERROR(VLOOKUP(Table2[[#This Row],[tune_meter]],Table1[#All],3,FALSE),"NONE")</f>
        <v>34</v>
      </c>
      <c r="F290" t="s">
        <v>324</v>
      </c>
      <c r="G290" t="str">
        <f>IF(Table2[[#This Row],[tune_book]]="LFTBs","Red Book","Green Book")</f>
        <v>Green Book</v>
      </c>
      <c r="H290" t="s">
        <v>2832</v>
      </c>
      <c r="I290" t="s">
        <v>1289</v>
      </c>
      <c r="J290" t="str">
        <f>Table2[[#This Row],[file_name]]&amp;".mp3"</f>
        <v>245g.mid.mp3</v>
      </c>
      <c r="M290">
        <v>369</v>
      </c>
      <c r="N2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--song="Greenland (7.6.7.6.7.6.7.6.)" --artist="J. M. Haydn" --comment="" --album="Green Book" --track="245" 245g.mid.mp3</v>
      </c>
      <c r="P290" s="4" t="e">
        <f ca="1">VLOOKUP(Table2[[#This Row],[mp3_file]],Table3[#All],3,FALSE)</f>
        <v>#NAME?</v>
      </c>
    </row>
    <row r="291" spans="1:16" x14ac:dyDescent="0.3">
      <c r="A291">
        <v>293</v>
      </c>
      <c r="B291" t="s">
        <v>797</v>
      </c>
      <c r="C291" t="s">
        <v>534</v>
      </c>
      <c r="D291" s="7">
        <f>IFERROR(VLOOKUP(Table2[[#This Row],[tune_meter]],Table1[#All],3,FALSE),"NONE")</f>
        <v>78</v>
      </c>
      <c r="F291" t="s">
        <v>459</v>
      </c>
      <c r="G291" t="str">
        <f>IF(Table2[[#This Row],[tune_book]]="LFTBs","Red Book","Green Book")</f>
        <v>Red Book</v>
      </c>
      <c r="H291" t="s">
        <v>367</v>
      </c>
      <c r="I291" t="s">
        <v>798</v>
      </c>
      <c r="J291" t="str">
        <f>Table2[[#This Row],[file_name]]&amp;".mp3"</f>
        <v>293r.mid.mp3</v>
      </c>
      <c r="K291" s="4">
        <v>1961</v>
      </c>
      <c r="M291">
        <v>170</v>
      </c>
      <c r="N2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--song="Grenville (14.14.4.7.8.)" --artist="Gordon Millar" --comment="" --album="Red Book" --track="293" 293r.mid.mp3</v>
      </c>
      <c r="P291" s="4" t="e">
        <f ca="1">VLOOKUP(Table2[[#This Row],[mp3_file]],Table3[#All],3,FALSE)</f>
        <v>#NAME?</v>
      </c>
    </row>
    <row r="292" spans="1:16" x14ac:dyDescent="0.3">
      <c r="A292">
        <v>465</v>
      </c>
      <c r="B292" t="s">
        <v>372</v>
      </c>
      <c r="C292" t="s">
        <v>373</v>
      </c>
      <c r="D292" s="7">
        <f>IFERROR(VLOOKUP(Table2[[#This Row],[tune_meter]],Table1[#All],3,FALSE),"NONE")</f>
        <v>87</v>
      </c>
      <c r="F292" t="s">
        <v>324</v>
      </c>
      <c r="G292" t="str">
        <f>IF(Table2[[#This Row],[tune_book]]="LFTBs","Red Book","Green Book")</f>
        <v>Green Book</v>
      </c>
      <c r="H292" t="s">
        <v>329</v>
      </c>
      <c r="I292" t="s">
        <v>374</v>
      </c>
      <c r="J292" t="str">
        <f>Table2[[#This Row],[file_name]]&amp;".mp3"</f>
        <v>465g.mid.mp3</v>
      </c>
      <c r="M292">
        <v>15</v>
      </c>
      <c r="N2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--song="Groomsport (10.10.10.2.)" --artist="T. Collins" --comment="" --album="Green Book" --track="465" 465g.mid.mp3</v>
      </c>
      <c r="P292" s="4" t="e">
        <f ca="1">VLOOKUP(Table2[[#This Row],[mp3_file]],Table3[#All],3,FALSE)</f>
        <v>#NAME?</v>
      </c>
    </row>
    <row r="293" spans="1:16" x14ac:dyDescent="0.3">
      <c r="A293">
        <v>214</v>
      </c>
      <c r="B293" t="s">
        <v>1499</v>
      </c>
      <c r="C293" t="s">
        <v>1496</v>
      </c>
      <c r="D293" s="7" t="str">
        <f>IFERROR(VLOOKUP(Table2[[#This Row],[tune_meter]],Table1[#All],3,FALSE),"NONE")</f>
        <v>NONE</v>
      </c>
      <c r="F293" t="s">
        <v>324</v>
      </c>
      <c r="G293" t="str">
        <f>IF(Table2[[#This Row],[tune_book]]="LFTBs","Red Book","Green Book")</f>
        <v>Green Book</v>
      </c>
      <c r="H293" t="s">
        <v>1500</v>
      </c>
      <c r="I293" t="s">
        <v>1501</v>
      </c>
      <c r="J293" t="str">
        <f>Table2[[#This Row],[file_name]]&amp;".mp3"</f>
        <v>214g.mid.mp3</v>
      </c>
      <c r="K293">
        <v>1952</v>
      </c>
      <c r="M293">
        <v>460</v>
      </c>
      <c r="N2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--song="Guidance (7.4.7.4.7.4.7.4.)" --artist="G. Millar" --comment="" --album="Green Book" --track="214" 214g.mid.mp3</v>
      </c>
      <c r="P293" s="4" t="e">
        <f ca="1">VLOOKUP(Table2[[#This Row],[mp3_file]],Table3[#All],3,FALSE)</f>
        <v>#NAME?</v>
      </c>
    </row>
    <row r="294" spans="1:16" x14ac:dyDescent="0.3">
      <c r="A294">
        <v>185</v>
      </c>
      <c r="B294" t="s">
        <v>799</v>
      </c>
      <c r="C294" t="s">
        <v>476</v>
      </c>
      <c r="D294" s="7">
        <f>IFERROR(VLOOKUP(Table2[[#This Row],[tune_meter]],Table1[#All],3,FALSE),"NONE")</f>
        <v>25</v>
      </c>
      <c r="F294" t="s">
        <v>459</v>
      </c>
      <c r="G294" t="str">
        <f>IF(Table2[[#This Row],[tune_book]]="LFTBs","Red Book","Green Book")</f>
        <v>Red Book</v>
      </c>
      <c r="H294" t="s">
        <v>800</v>
      </c>
      <c r="I294" t="s">
        <v>801</v>
      </c>
      <c r="J294" t="str">
        <f>Table2[[#This Row],[file_name]]&amp;".mp3"</f>
        <v>185r.mid.mp3</v>
      </c>
      <c r="L294" t="s">
        <v>802</v>
      </c>
      <c r="M294">
        <v>171</v>
      </c>
      <c r="N2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--song="Gwilym (8.7.8.7.8.7.8.7.)" --artist="Dr. Caradog Roberts" --comment="Copyright.  By permission of the Union of Welsh Independents" --album="Red Book" --track="185" 185r.mid.mp3</v>
      </c>
      <c r="P294" s="4" t="e">
        <f ca="1">VLOOKUP(Table2[[#This Row],[mp3_file]],Table3[#All],3,FALSE)</f>
        <v>#NAME?</v>
      </c>
    </row>
    <row r="295" spans="1:16" x14ac:dyDescent="0.3">
      <c r="A295">
        <v>44</v>
      </c>
      <c r="B295" t="s">
        <v>803</v>
      </c>
      <c r="C295" t="s">
        <v>623</v>
      </c>
      <c r="D295" s="7">
        <f>IFERROR(VLOOKUP(Table2[[#This Row],[tune_meter]],Table1[#All],3,FALSE),"NONE")</f>
        <v>22</v>
      </c>
      <c r="F295" t="s">
        <v>459</v>
      </c>
      <c r="G295" t="str">
        <f>IF(Table2[[#This Row],[tune_book]]="LFTBs","Red Book","Green Book")</f>
        <v>Red Book</v>
      </c>
      <c r="H295" t="s">
        <v>336</v>
      </c>
      <c r="I295" t="s">
        <v>804</v>
      </c>
      <c r="J295" t="str">
        <f>Table2[[#This Row],[file_name]]&amp;".mp3"</f>
        <v>44r.mid.mp3</v>
      </c>
      <c r="M295">
        <v>172</v>
      </c>
      <c r="N2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--song="Hadley (S.M.)" --artist="R.A. Evershead" --comment="" --album="Red Book" --track="44" 44r.mid.mp3</v>
      </c>
      <c r="P295" s="4" t="e">
        <f ca="1">VLOOKUP(Table2[[#This Row],[mp3_file]],Table3[#All],3,FALSE)</f>
        <v>#NAME?</v>
      </c>
    </row>
    <row r="296" spans="1:16" x14ac:dyDescent="0.3">
      <c r="A296">
        <v>298</v>
      </c>
      <c r="B296" t="s">
        <v>1951</v>
      </c>
      <c r="C296" t="s">
        <v>781</v>
      </c>
      <c r="D296" s="7">
        <f>IFERROR(VLOOKUP(Table2[[#This Row],[tune_meter]],Table1[#All],3,FALSE),"NONE")</f>
        <v>37</v>
      </c>
      <c r="F296" t="s">
        <v>324</v>
      </c>
      <c r="G296" t="str">
        <f>IF(Table2[[#This Row],[tune_book]]="LFTBs","Red Book","Green Book")</f>
        <v>Green Book</v>
      </c>
      <c r="H296" t="s">
        <v>329</v>
      </c>
      <c r="I296" t="s">
        <v>1952</v>
      </c>
      <c r="J296" t="str">
        <f>Table2[[#This Row],[file_name]]&amp;".mp3"</f>
        <v>298g.mid.mp3</v>
      </c>
      <c r="M296">
        <v>652</v>
      </c>
      <c r="N2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--song="Hallelujah (8.5.8.5.8.5.8.5.)" --artist="T. Collins" --comment="" --album="Green Book" --track="298" 298g.mid.mp3</v>
      </c>
      <c r="P296" s="4" t="e">
        <f ca="1">VLOOKUP(Table2[[#This Row],[mp3_file]],Table3[#All],3,FALSE)</f>
        <v>#NAME?</v>
      </c>
    </row>
    <row r="297" spans="1:16" x14ac:dyDescent="0.3">
      <c r="A297">
        <v>325</v>
      </c>
      <c r="B297" t="s">
        <v>1584</v>
      </c>
      <c r="C297" t="s">
        <v>370</v>
      </c>
      <c r="D297" s="7">
        <f>IFERROR(VLOOKUP(Table2[[#This Row],[tune_meter]],Table1[#All],3,FALSE),"NONE")</f>
        <v>24</v>
      </c>
      <c r="F297" t="s">
        <v>324</v>
      </c>
      <c r="G297" t="str">
        <f>IF(Table2[[#This Row],[tune_book]]="LFTBs","Red Book","Green Book")</f>
        <v>Green Book</v>
      </c>
      <c r="H297" t="s">
        <v>927</v>
      </c>
      <c r="I297" t="s">
        <v>1585</v>
      </c>
      <c r="J297" t="str">
        <f>Table2[[#This Row],[file_name]]&amp;".mp3"</f>
        <v>325g.mid.mp3</v>
      </c>
      <c r="K297">
        <v>1939</v>
      </c>
      <c r="M297">
        <v>497</v>
      </c>
      <c r="N2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--song="Hallsberg (8.7.8.7.)" --artist="Miss Norah Nilsson" --comment="" --album="Green Book" --track="325" 325g.mid.mp3</v>
      </c>
      <c r="P297" s="4" t="e">
        <f ca="1">VLOOKUP(Table2[[#This Row],[mp3_file]],Table3[#All],3,FALSE)</f>
        <v>#NAME?</v>
      </c>
    </row>
    <row r="298" spans="1:16" x14ac:dyDescent="0.3">
      <c r="A298">
        <v>326</v>
      </c>
      <c r="B298" t="s">
        <v>1586</v>
      </c>
      <c r="C298" t="s">
        <v>370</v>
      </c>
      <c r="D298" s="7">
        <f>IFERROR(VLOOKUP(Table2[[#This Row],[tune_meter]],Table1[#All],3,FALSE),"NONE")</f>
        <v>24</v>
      </c>
      <c r="F298" t="s">
        <v>324</v>
      </c>
      <c r="G298" t="str">
        <f>IF(Table2[[#This Row],[tune_book]]="LFTBs","Red Book","Green Book")</f>
        <v>Green Book</v>
      </c>
      <c r="H298" t="s">
        <v>329</v>
      </c>
      <c r="I298" t="s">
        <v>1587</v>
      </c>
      <c r="J298" t="str">
        <f>Table2[[#This Row],[file_name]]&amp;".mp3"</f>
        <v>326g.mid.mp3</v>
      </c>
      <c r="M298">
        <v>498</v>
      </c>
      <c r="N2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--song="Hananiah (8.7.8.7.)" --artist="T. Collins" --comment="" --album="Green Book" --track="326" 326g.mid.mp3</v>
      </c>
      <c r="P298" s="4" t="e">
        <f ca="1">VLOOKUP(Table2[[#This Row],[mp3_file]],Table3[#All],3,FALSE)</f>
        <v>#NAME?</v>
      </c>
    </row>
    <row r="299" spans="1:16" x14ac:dyDescent="0.3">
      <c r="A299">
        <v>511</v>
      </c>
      <c r="B299" t="s">
        <v>2143</v>
      </c>
      <c r="C299" t="s">
        <v>2144</v>
      </c>
      <c r="D299" s="7" t="str">
        <f>IFERROR(VLOOKUP(Table2[[#This Row],[tune_meter]],Table1[#All],3,FALSE),"NONE")</f>
        <v>NONE</v>
      </c>
      <c r="F299" t="s">
        <v>324</v>
      </c>
      <c r="G299" t="str">
        <f>IF(Table2[[#This Row],[tune_book]]="LFTBs","Red Book","Green Book")</f>
        <v>Green Book</v>
      </c>
      <c r="H299" t="s">
        <v>1678</v>
      </c>
      <c r="I299" t="s">
        <v>2145</v>
      </c>
      <c r="J299" t="str">
        <f>Table2[[#This Row],[file_name]]&amp;".mp3"</f>
        <v>511g.mid.mp3</v>
      </c>
      <c r="M299">
        <v>740</v>
      </c>
      <c r="N2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2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--song="Hanover (10.10.11.11.)" --artist="Dr. W. Croft" --comment="" --album="Green Book" --track="511" 511g.mid.mp3</v>
      </c>
      <c r="P299" s="4" t="e">
        <f ca="1">VLOOKUP(Table2[[#This Row],[mp3_file]],Table3[#All],3,FALSE)</f>
        <v>#NAME?</v>
      </c>
    </row>
    <row r="300" spans="1:16" x14ac:dyDescent="0.3">
      <c r="A300">
        <v>288</v>
      </c>
      <c r="B300" t="s">
        <v>805</v>
      </c>
      <c r="C300" t="s">
        <v>473</v>
      </c>
      <c r="D300" s="7">
        <f>IFERROR(VLOOKUP(Table2[[#This Row],[tune_meter]],Table1[#All],3,FALSE),"NONE")</f>
        <v>48</v>
      </c>
      <c r="F300" t="s">
        <v>459</v>
      </c>
      <c r="G300" t="str">
        <f>IF(Table2[[#This Row],[tune_book]]="LFTBs","Red Book","Green Book")</f>
        <v>Red Book</v>
      </c>
      <c r="H300" t="s">
        <v>464</v>
      </c>
      <c r="I300" t="s">
        <v>806</v>
      </c>
      <c r="J300" t="str">
        <f>Table2[[#This Row],[file_name]]&amp;".mp3"</f>
        <v>288r.mid.mp3</v>
      </c>
      <c r="M300">
        <v>173</v>
      </c>
      <c r="N3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--song="Happy Song (12.13.12.10.)" --artist="Miss E.C. Shanks" --comment="" --album="Red Book" --track="288" 288r.mid.mp3</v>
      </c>
      <c r="P300" s="4" t="e">
        <f ca="1">VLOOKUP(Table2[[#This Row],[mp3_file]],Table3[#All],3,FALSE)</f>
        <v>#NAME?</v>
      </c>
    </row>
    <row r="301" spans="1:16" x14ac:dyDescent="0.3">
      <c r="A301">
        <v>102</v>
      </c>
      <c r="B301" t="s">
        <v>807</v>
      </c>
      <c r="C301" t="s">
        <v>516</v>
      </c>
      <c r="D301" s="7">
        <f>IFERROR(VLOOKUP(Table2[[#This Row],[tune_meter]],Table1[#All],3,FALSE),"NONE")</f>
        <v>16</v>
      </c>
      <c r="F301" t="s">
        <v>324</v>
      </c>
      <c r="G301" t="str">
        <f>IF(Table2[[#This Row],[tune_book]]="LFTBs","Red Book","Green Book")</f>
        <v>Green Book</v>
      </c>
      <c r="H301" t="s">
        <v>808</v>
      </c>
      <c r="I301" t="s">
        <v>1417</v>
      </c>
      <c r="J301" t="str">
        <f>Table2[[#This Row],[file_name]]&amp;".mp3"</f>
        <v>102g.mid.mp3</v>
      </c>
      <c r="M301">
        <v>425</v>
      </c>
      <c r="N3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--song="Harbour Head (L.M.)" --artist="Simon Flett" --comment="" --album="Green Book" --track="102" 102g.mid.mp3</v>
      </c>
      <c r="P301" s="4" t="e">
        <f ca="1">VLOOKUP(Table2[[#This Row],[mp3_file]],Table3[#All],3,FALSE)</f>
        <v>#NAME?</v>
      </c>
    </row>
    <row r="302" spans="1:16" x14ac:dyDescent="0.3">
      <c r="A302">
        <v>268</v>
      </c>
      <c r="B302" t="s">
        <v>1299</v>
      </c>
      <c r="C302" t="s">
        <v>786</v>
      </c>
      <c r="D302" s="7">
        <f>IFERROR(VLOOKUP(Table2[[#This Row],[tune_meter]],Table1[#All],3,FALSE),"NONE")</f>
        <v>29</v>
      </c>
      <c r="F302" t="s">
        <v>324</v>
      </c>
      <c r="G302" t="str">
        <f>IF(Table2[[#This Row],[tune_book]]="LFTBs","Red Book","Green Book")</f>
        <v>Green Book</v>
      </c>
      <c r="H302" t="s">
        <v>1300</v>
      </c>
      <c r="I302" t="s">
        <v>1301</v>
      </c>
      <c r="J302" t="str">
        <f>Table2[[#This Row],[file_name]]&amp;".mp3"</f>
        <v>268g.mid.mp3</v>
      </c>
      <c r="M302">
        <v>374</v>
      </c>
      <c r="N3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--song="Hart's (7.7.7.7.)" --artist="B. Milgrove" --comment="" --album="Green Book" --track="268" 268g.mid.mp3</v>
      </c>
      <c r="P302" s="4" t="e">
        <f ca="1">VLOOKUP(Table2[[#This Row],[mp3_file]],Table3[#All],3,FALSE)</f>
        <v>#NAME?</v>
      </c>
    </row>
    <row r="303" spans="1:16" x14ac:dyDescent="0.3">
      <c r="A303">
        <v>512</v>
      </c>
      <c r="B303" t="s">
        <v>2146</v>
      </c>
      <c r="C303" t="s">
        <v>2144</v>
      </c>
      <c r="D303" s="7" t="str">
        <f>IFERROR(VLOOKUP(Table2[[#This Row],[tune_meter]],Table1[#All],3,FALSE),"NONE")</f>
        <v>NONE</v>
      </c>
      <c r="F303" t="s">
        <v>324</v>
      </c>
      <c r="G303" t="str">
        <f>IF(Table2[[#This Row],[tune_book]]="LFTBs","Red Book","Green Book")</f>
        <v>Green Book</v>
      </c>
      <c r="H303" t="s">
        <v>1598</v>
      </c>
      <c r="I303" t="s">
        <v>2147</v>
      </c>
      <c r="J303" t="str">
        <f>Table2[[#This Row],[file_name]]&amp;".mp3"</f>
        <v>512g.mid.mp3</v>
      </c>
      <c r="M303">
        <v>741</v>
      </c>
      <c r="N3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--song="Haughton (10.10.11.11.)" --artist="Dr. H.J. Gauntlett" --comment="" --album="Green Book" --track="512" 512g.mid.mp3</v>
      </c>
      <c r="P303" s="4" t="e">
        <f ca="1">VLOOKUP(Table2[[#This Row],[mp3_file]],Table3[#All],3,FALSE)</f>
        <v>#NAME?</v>
      </c>
    </row>
    <row r="304" spans="1:16" x14ac:dyDescent="0.3">
      <c r="A304">
        <v>72</v>
      </c>
      <c r="B304" t="s">
        <v>809</v>
      </c>
      <c r="C304" t="s">
        <v>446</v>
      </c>
      <c r="D304" s="7">
        <f>IFERROR(VLOOKUP(Table2[[#This Row],[tune_meter]],Table1[#All],3,FALSE),"NONE")</f>
        <v>44</v>
      </c>
      <c r="F304" t="s">
        <v>459</v>
      </c>
      <c r="G304" t="str">
        <f>IF(Table2[[#This Row],[tune_book]]="LFTBs","Red Book","Green Book")</f>
        <v>Red Book</v>
      </c>
      <c r="H304" t="s">
        <v>810</v>
      </c>
      <c r="I304" t="s">
        <v>811</v>
      </c>
      <c r="J304" t="str">
        <f>Table2[[#This Row],[file_name]]&amp;".mp3"</f>
        <v>72r.mid.mp3</v>
      </c>
      <c r="M304">
        <v>175</v>
      </c>
      <c r="N3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--song="Haverstock Hill (6.4.6.4.6.6.6.4.)" --artist="T.E. Perkins" --comment="" --album="Red Book" --track="72" 72r.mid.mp3</v>
      </c>
      <c r="P304" s="4" t="e">
        <f ca="1">VLOOKUP(Table2[[#This Row],[mp3_file]],Table3[#All],3,FALSE)</f>
        <v>#NAME?</v>
      </c>
    </row>
    <row r="305" spans="1:16" x14ac:dyDescent="0.3">
      <c r="A305">
        <v>127</v>
      </c>
      <c r="B305" t="s">
        <v>1429</v>
      </c>
      <c r="C305" t="s">
        <v>845</v>
      </c>
      <c r="D305" s="7">
        <f>IFERROR(VLOOKUP(Table2[[#This Row],[tune_meter]],Table1[#All],3,FALSE),"NONE")</f>
        <v>84</v>
      </c>
      <c r="F305" t="s">
        <v>324</v>
      </c>
      <c r="G305" t="str">
        <f>IF(Table2[[#This Row],[tune_book]]="LFTBs","Red Book","Green Book")</f>
        <v>Green Book</v>
      </c>
      <c r="H305" t="s">
        <v>1286</v>
      </c>
      <c r="I305" t="s">
        <v>1430</v>
      </c>
      <c r="J305" t="str">
        <f>Table2[[#This Row],[file_name]]&amp;".mp3"</f>
        <v>127g.mid.mp3</v>
      </c>
      <c r="M305">
        <v>431</v>
      </c>
      <c r="N3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--song="Hayes (L.M.D.)" --artist="From Beethoven" --comment="" --album="Green Book" --track="127" 127g.mid.mp3</v>
      </c>
      <c r="P305" s="4" t="e">
        <f ca="1">VLOOKUP(Table2[[#This Row],[mp3_file]],Table3[#All],3,FALSE)</f>
        <v>#NAME?</v>
      </c>
    </row>
    <row r="306" spans="1:16" x14ac:dyDescent="0.3">
      <c r="A306">
        <v>487</v>
      </c>
      <c r="B306" t="s">
        <v>2122</v>
      </c>
      <c r="C306" t="s">
        <v>582</v>
      </c>
      <c r="D306" s="7">
        <f>IFERROR(VLOOKUP(Table2[[#This Row],[tune_meter]],Table1[#All],3,FALSE),"NONE")</f>
        <v>21</v>
      </c>
      <c r="F306" t="s">
        <v>324</v>
      </c>
      <c r="G306" t="str">
        <f>IF(Table2[[#This Row],[tune_book]]="LFTBs","Red Book","Green Book")</f>
        <v>Green Book</v>
      </c>
      <c r="H306" t="s">
        <v>2833</v>
      </c>
      <c r="I306" t="s">
        <v>2123</v>
      </c>
      <c r="J306" t="str">
        <f>Table2[[#This Row],[file_name]]&amp;".mp3"</f>
        <v>487g.mid.mp3</v>
      </c>
      <c r="K306">
        <v>1945</v>
      </c>
      <c r="M306">
        <v>730</v>
      </c>
      <c r="N3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--song="He Loved Me (10.10.10.10.)" --artist="Miss F. R. Jones" --comment="" --album="Green Book" --track="487" 487g.mid.mp3</v>
      </c>
      <c r="P306" s="4" t="e">
        <f ca="1">VLOOKUP(Table2[[#This Row],[mp3_file]],Table3[#All],3,FALSE)</f>
        <v>#NAME?</v>
      </c>
    </row>
    <row r="307" spans="1:16" x14ac:dyDescent="0.3">
      <c r="A307">
        <v>488</v>
      </c>
      <c r="B307" t="s">
        <v>2124</v>
      </c>
      <c r="C307" t="s">
        <v>582</v>
      </c>
      <c r="D307" s="7">
        <f>IFERROR(VLOOKUP(Table2[[#This Row],[tune_meter]],Table1[#All],3,FALSE),"NONE")</f>
        <v>21</v>
      </c>
      <c r="F307" t="s">
        <v>324</v>
      </c>
      <c r="G307" t="str">
        <f>IF(Table2[[#This Row],[tune_book]]="LFTBs","Red Book","Green Book")</f>
        <v>Green Book</v>
      </c>
      <c r="H307" t="s">
        <v>2836</v>
      </c>
      <c r="I307" t="s">
        <v>2125</v>
      </c>
      <c r="J307" t="str">
        <f>Table2[[#This Row],[file_name]]&amp;".mp3"</f>
        <v>488g.mid.mp3</v>
      </c>
      <c r="M307">
        <v>731</v>
      </c>
      <c r="N3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--song="Heavenly Garden (Litany) (10.10.10.10.)" --artist="W. J. Maher" --comment="" --album="Green Book" --track="488" 488g.mid.mp3</v>
      </c>
      <c r="P307" s="4" t="e">
        <f ca="1">VLOOKUP(Table2[[#This Row],[mp3_file]],Table3[#All],3,FALSE)</f>
        <v>#NAME?</v>
      </c>
    </row>
    <row r="308" spans="1:16" x14ac:dyDescent="0.3">
      <c r="A308">
        <v>518</v>
      </c>
      <c r="B308" t="s">
        <v>1626</v>
      </c>
      <c r="C308" t="s">
        <v>495</v>
      </c>
      <c r="D308" s="7">
        <f>IFERROR(VLOOKUP(Table2[[#This Row],[tune_meter]],Table1[#All],3,FALSE),"NONE")</f>
        <v>52</v>
      </c>
      <c r="F308" t="s">
        <v>324</v>
      </c>
      <c r="G308" t="str">
        <f>IF(Table2[[#This Row],[tune_book]]="LFTBs","Red Book","Green Book")</f>
        <v>Green Book</v>
      </c>
      <c r="H308" t="s">
        <v>384</v>
      </c>
      <c r="I308" t="s">
        <v>1627</v>
      </c>
      <c r="J308" t="str">
        <f>Table2[[#This Row],[file_name]]&amp;".mp3"</f>
        <v>518g.mid.mp3</v>
      </c>
      <c r="K308">
        <v>1939</v>
      </c>
      <c r="M308">
        <v>516</v>
      </c>
      <c r="N3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--song="Heavenly Glory (11.10.11.10.)" --artist="E. Carren" --comment="" --album="Green Book" --track="518" 518g.mid.mp3</v>
      </c>
      <c r="P308" s="4" t="e">
        <f ca="1">VLOOKUP(Table2[[#This Row],[mp3_file]],Table3[#All],3,FALSE)</f>
        <v>#NAME?</v>
      </c>
    </row>
    <row r="309" spans="1:16" x14ac:dyDescent="0.3">
      <c r="A309">
        <v>103</v>
      </c>
      <c r="B309" t="s">
        <v>1240</v>
      </c>
      <c r="C309" t="s">
        <v>516</v>
      </c>
      <c r="D309" s="7">
        <f>IFERROR(VLOOKUP(Table2[[#This Row],[tune_meter]],Table1[#All],3,FALSE),"NONE")</f>
        <v>16</v>
      </c>
      <c r="F309" t="s">
        <v>324</v>
      </c>
      <c r="G309" t="str">
        <f>IF(Table2[[#This Row],[tune_book]]="LFTBs","Red Book","Green Book")</f>
        <v>Green Book</v>
      </c>
      <c r="H309" t="s">
        <v>351</v>
      </c>
      <c r="I309" t="s">
        <v>1241</v>
      </c>
      <c r="J309" t="str">
        <f>Table2[[#This Row],[file_name]]&amp;".mp3"</f>
        <v>103g.mid.mp3</v>
      </c>
      <c r="M309">
        <v>350</v>
      </c>
      <c r="N3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--song="Heimath (L.M.)" --artist="C. Leflaive" --comment="" --album="Green Book" --track="103" 103g.mid.mp3</v>
      </c>
      <c r="P309" s="4" t="e">
        <f ca="1">VLOOKUP(Table2[[#This Row],[mp3_file]],Table3[#All],3,FALSE)</f>
        <v>#NAME?</v>
      </c>
    </row>
    <row r="310" spans="1:16" x14ac:dyDescent="0.3">
      <c r="A310">
        <v>539</v>
      </c>
      <c r="B310" t="s">
        <v>2164</v>
      </c>
      <c r="C310" t="s">
        <v>509</v>
      </c>
      <c r="D310" s="7">
        <f>IFERROR(VLOOKUP(Table2[[#This Row],[tune_meter]],Table1[#All],3,FALSE),"NONE")</f>
        <v>64</v>
      </c>
      <c r="F310" t="s">
        <v>324</v>
      </c>
      <c r="G310" t="str">
        <f>IF(Table2[[#This Row],[tune_book]]="LFTBs","Red Book","Green Book")</f>
        <v>Green Book</v>
      </c>
      <c r="H310" t="s">
        <v>2837</v>
      </c>
      <c r="I310" t="s">
        <v>2165</v>
      </c>
      <c r="J310" t="str">
        <f>Table2[[#This Row],[file_name]]&amp;".mp3"</f>
        <v>539g.mid.mp3</v>
      </c>
      <c r="M310">
        <v>750</v>
      </c>
      <c r="N3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--song="Hermas (11.11.11.11. Trochaic)" --artist="Miss F. R. Havergal" --comment="" --album="Green Book" --track="539" 539g.mid.mp3</v>
      </c>
      <c r="P310" s="4" t="e">
        <f ca="1">VLOOKUP(Table2[[#This Row],[mp3_file]],Table3[#All],3,FALSE)</f>
        <v>#NAME?</v>
      </c>
    </row>
    <row r="311" spans="1:16" x14ac:dyDescent="0.3">
      <c r="A311">
        <v>277</v>
      </c>
      <c r="B311" t="s">
        <v>812</v>
      </c>
      <c r="C311" t="s">
        <v>669</v>
      </c>
      <c r="D311" s="7">
        <f>IFERROR(VLOOKUP(Table2[[#This Row],[tune_meter]],Table1[#All],3,FALSE),"NONE")</f>
        <v>31</v>
      </c>
      <c r="F311" t="s">
        <v>459</v>
      </c>
      <c r="G311" t="str">
        <f>IF(Table2[[#This Row],[tune_book]]="LFTBs","Red Book","Green Book")</f>
        <v>Red Book</v>
      </c>
      <c r="H311" t="s">
        <v>348</v>
      </c>
      <c r="I311" t="s">
        <v>813</v>
      </c>
      <c r="J311" t="str">
        <f>Table2[[#This Row],[file_name]]&amp;".mp3"</f>
        <v>277r.mid.mp3</v>
      </c>
      <c r="M311">
        <v>176</v>
      </c>
      <c r="N3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--song="Hiding in Thee (11.11.11.11.)" --artist="Ira D. Sankey" --comment="" --album="Red Book" --track="277" 277r.mid.mp3</v>
      </c>
      <c r="P311" s="4" t="e">
        <f ca="1">VLOOKUP(Table2[[#This Row],[mp3_file]],Table3[#All],3,FALSE)</f>
        <v>#NAME?</v>
      </c>
    </row>
    <row r="312" spans="1:16" x14ac:dyDescent="0.3">
      <c r="A312">
        <v>489</v>
      </c>
      <c r="B312" t="s">
        <v>2126</v>
      </c>
      <c r="C312" t="s">
        <v>582</v>
      </c>
      <c r="D312" s="7">
        <f>IFERROR(VLOOKUP(Table2[[#This Row],[tune_meter]],Table1[#All],3,FALSE),"NONE")</f>
        <v>21</v>
      </c>
      <c r="F312" t="s">
        <v>324</v>
      </c>
      <c r="G312" t="str">
        <f>IF(Table2[[#This Row],[tune_book]]="LFTBs","Red Book","Green Book")</f>
        <v>Green Book</v>
      </c>
      <c r="H312" t="s">
        <v>2839</v>
      </c>
      <c r="I312" t="s">
        <v>2127</v>
      </c>
      <c r="J312" t="str">
        <f>Table2[[#This Row],[file_name]]&amp;".mp3"</f>
        <v>489g.mid.mp3</v>
      </c>
      <c r="M312">
        <v>732</v>
      </c>
      <c r="N3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--song="Hold Thou My Hand (10.10.10.10.)" --artist="H. P. Main" --comment="" --album="Green Book" --track="489" 489g.mid.mp3</v>
      </c>
      <c r="P312" s="4" t="e">
        <f ca="1">VLOOKUP(Table2[[#This Row],[mp3_file]],Table3[#All],3,FALSE)</f>
        <v>#NAME?</v>
      </c>
    </row>
    <row r="313" spans="1:16" x14ac:dyDescent="0.3">
      <c r="A313">
        <v>104</v>
      </c>
      <c r="B313" t="s">
        <v>1242</v>
      </c>
      <c r="C313" t="s">
        <v>516</v>
      </c>
      <c r="D313" s="7">
        <f>IFERROR(VLOOKUP(Table2[[#This Row],[tune_meter]],Table1[#All],3,FALSE),"NONE")</f>
        <v>16</v>
      </c>
      <c r="F313" t="s">
        <v>324</v>
      </c>
      <c r="G313" t="str">
        <f>IF(Table2[[#This Row],[tune_book]]="LFTBs","Red Book","Green Book")</f>
        <v>Green Book</v>
      </c>
      <c r="H313" t="s">
        <v>1243</v>
      </c>
      <c r="I313" t="s">
        <v>1244</v>
      </c>
      <c r="J313" t="str">
        <f>Table2[[#This Row],[file_name]]&amp;".mp3"</f>
        <v>104g.mid.mp3</v>
      </c>
      <c r="M313">
        <v>351</v>
      </c>
      <c r="N3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--song="Holley (L.M.)" --artist="G. Hews" --comment="" --album="Green Book" --track="104" 104g.mid.mp3</v>
      </c>
      <c r="P313" s="4" t="e">
        <f ca="1">VLOOKUP(Table2[[#This Row],[mp3_file]],Table3[#All],3,FALSE)</f>
        <v>#NAME?</v>
      </c>
    </row>
    <row r="314" spans="1:16" x14ac:dyDescent="0.3">
      <c r="A314">
        <v>246</v>
      </c>
      <c r="B314" t="s">
        <v>1290</v>
      </c>
      <c r="C314" t="s">
        <v>467</v>
      </c>
      <c r="D314" s="7">
        <f>IFERROR(VLOOKUP(Table2[[#This Row],[tune_meter]],Table1[#All],3,FALSE),"NONE")</f>
        <v>34</v>
      </c>
      <c r="F314" t="s">
        <v>324</v>
      </c>
      <c r="G314" t="str">
        <f>IF(Table2[[#This Row],[tune_book]]="LFTBs","Red Book","Green Book")</f>
        <v>Green Book</v>
      </c>
      <c r="H314" t="s">
        <v>2729</v>
      </c>
      <c r="I314" t="s">
        <v>1291</v>
      </c>
      <c r="J314" t="str">
        <f>Table2[[#This Row],[file_name]]&amp;".mp3"</f>
        <v>246g.mid.mp3</v>
      </c>
      <c r="M314">
        <v>370</v>
      </c>
      <c r="N3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--song="Holmbridge (7.6.7.6.7.6.7.6.)" --artist="J. T. Lightwood" --comment="" --album="Green Book" --track="246" 246g.mid.mp3</v>
      </c>
      <c r="P314" s="4" t="e">
        <f ca="1">VLOOKUP(Table2[[#This Row],[mp3_file]],Table3[#All],3,FALSE)</f>
        <v>#NAME?</v>
      </c>
    </row>
    <row r="315" spans="1:16" x14ac:dyDescent="0.3">
      <c r="A315">
        <v>136</v>
      </c>
      <c r="B315" t="s">
        <v>814</v>
      </c>
      <c r="C315" t="s">
        <v>611</v>
      </c>
      <c r="D315" s="7">
        <f>IFERROR(VLOOKUP(Table2[[#This Row],[tune_meter]],Table1[#All],3,FALSE),"NONE")</f>
        <v>72</v>
      </c>
      <c r="F315" t="s">
        <v>459</v>
      </c>
      <c r="G315" t="str">
        <f>IF(Table2[[#This Row],[tune_book]]="LFTBs","Red Book","Green Book")</f>
        <v>Red Book</v>
      </c>
      <c r="H315" t="s">
        <v>2840</v>
      </c>
      <c r="I315" t="s">
        <v>816</v>
      </c>
      <c r="J315" t="str">
        <f>Table2[[#This Row],[file_name]]&amp;".mp3"</f>
        <v>136r.mid.mp3</v>
      </c>
      <c r="M315">
        <v>177</v>
      </c>
      <c r="N3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--song="Holy Cross (8.6.8.4.)" --artist="A. H. Brown" --comment="" --album="Red Book" --track="136" 136r.mid.mp3</v>
      </c>
      <c r="P315" s="4" t="e">
        <f ca="1">VLOOKUP(Table2[[#This Row],[mp3_file]],Table3[#All],3,FALSE)</f>
        <v>#NAME?</v>
      </c>
    </row>
    <row r="316" spans="1:16" x14ac:dyDescent="0.3">
      <c r="A316">
        <v>105</v>
      </c>
      <c r="B316" t="s">
        <v>1418</v>
      </c>
      <c r="C316" t="s">
        <v>516</v>
      </c>
      <c r="D316" s="7">
        <f>IFERROR(VLOOKUP(Table2[[#This Row],[tune_meter]],Table1[#All],3,FALSE),"NONE")</f>
        <v>16</v>
      </c>
      <c r="F316" t="s">
        <v>324</v>
      </c>
      <c r="G316" t="str">
        <f>IF(Table2[[#This Row],[tune_book]]="LFTBs","Red Book","Green Book")</f>
        <v>Green Book</v>
      </c>
      <c r="H316" t="s">
        <v>351</v>
      </c>
      <c r="I316" t="s">
        <v>1419</v>
      </c>
      <c r="J316" t="str">
        <f>Table2[[#This Row],[file_name]]&amp;".mp3"</f>
        <v>105g.mid.mp3</v>
      </c>
      <c r="M316">
        <v>426</v>
      </c>
      <c r="N3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--song="Homage (L.M.)" --artist="C. Leflaive" --comment="" --album="Green Book" --track="105" 105g.mid.mp3</v>
      </c>
      <c r="P316" s="4" t="e">
        <f ca="1">VLOOKUP(Table2[[#This Row],[mp3_file]],Table3[#All],3,FALSE)</f>
        <v>#NAME?</v>
      </c>
    </row>
    <row r="317" spans="1:16" x14ac:dyDescent="0.3">
      <c r="A317">
        <v>27</v>
      </c>
      <c r="B317" t="s">
        <v>1640</v>
      </c>
      <c r="C317" t="s">
        <v>486</v>
      </c>
      <c r="D317" s="7">
        <f>IFERROR(VLOOKUP(Table2[[#This Row],[tune_meter]],Table1[#All],3,FALSE),"NONE")</f>
        <v>19</v>
      </c>
      <c r="F317" t="s">
        <v>324</v>
      </c>
      <c r="G317" t="str">
        <f>IF(Table2[[#This Row],[tune_book]]="LFTBs","Red Book","Green Book")</f>
        <v>Green Book</v>
      </c>
      <c r="H317" t="s">
        <v>1444</v>
      </c>
      <c r="I317" t="s">
        <v>1641</v>
      </c>
      <c r="J317" t="str">
        <f>Table2[[#This Row],[file_name]]&amp;".mp3"</f>
        <v>27g.mid.mp3</v>
      </c>
      <c r="M317">
        <v>522</v>
      </c>
      <c r="N3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--song="Home (C.M.)" --artist="Earl of Mornington" --comment="" --album="Green Book" --track="27" 27g.mid.mp3</v>
      </c>
      <c r="P317" s="4" t="e">
        <f ca="1">VLOOKUP(Table2[[#This Row],[mp3_file]],Table3[#All],3,FALSE)</f>
        <v>#NAME?</v>
      </c>
    </row>
    <row r="318" spans="1:16" x14ac:dyDescent="0.3">
      <c r="A318">
        <v>460</v>
      </c>
      <c r="B318" t="s">
        <v>2088</v>
      </c>
      <c r="C318" t="s">
        <v>2089</v>
      </c>
      <c r="D318" s="7" t="str">
        <f>IFERROR(VLOOKUP(Table2[[#This Row],[tune_meter]],Table1[#All],3,FALSE),"NONE")</f>
        <v>NONE</v>
      </c>
      <c r="F318" t="s">
        <v>324</v>
      </c>
      <c r="G318" t="str">
        <f>IF(Table2[[#This Row],[tune_book]]="LFTBs","Red Book","Green Book")</f>
        <v>Green Book</v>
      </c>
      <c r="H318" t="s">
        <v>2842</v>
      </c>
      <c r="I318" t="s">
        <v>2090</v>
      </c>
      <c r="J318" t="str">
        <f>Table2[[#This Row],[file_name]]&amp;".mp3"</f>
        <v>460g.mid.mp3</v>
      </c>
      <c r="K318">
        <v>1952</v>
      </c>
      <c r="M318">
        <v>714</v>
      </c>
      <c r="N3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--song="Horeb (10.8.10.7.8.13.)" --artist="P. J. L. Hindle" --comment="" --album="Green Book" --track="460" 460g.mid.mp3</v>
      </c>
      <c r="P318" s="4" t="e">
        <f ca="1">VLOOKUP(Table2[[#This Row],[mp3_file]],Table3[#All],3,FALSE)</f>
        <v>#NAME?</v>
      </c>
    </row>
    <row r="319" spans="1:16" x14ac:dyDescent="0.3">
      <c r="A319">
        <v>28</v>
      </c>
      <c r="B319" t="s">
        <v>1644</v>
      </c>
      <c r="C319" t="s">
        <v>486</v>
      </c>
      <c r="D319" s="7">
        <f>IFERROR(VLOOKUP(Table2[[#This Row],[tune_meter]],Table1[#All],3,FALSE),"NONE")</f>
        <v>19</v>
      </c>
      <c r="F319" t="s">
        <v>324</v>
      </c>
      <c r="G319" t="str">
        <f>IF(Table2[[#This Row],[tune_book]]="LFTBs","Red Book","Green Book")</f>
        <v>Green Book</v>
      </c>
      <c r="H319" t="s">
        <v>1645</v>
      </c>
      <c r="I319" t="s">
        <v>1646</v>
      </c>
      <c r="J319" t="str">
        <f>Table2[[#This Row],[file_name]]&amp;".mp3"</f>
        <v>28g.mid.mp3</v>
      </c>
      <c r="M319">
        <v>524</v>
      </c>
      <c r="N3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--song="Horsley (C.M.)" --artist="W. Horsely" --comment="" --album="Green Book" --track="28" 28g.mid.mp3</v>
      </c>
      <c r="P319" s="4" t="e">
        <f ca="1">VLOOKUP(Table2[[#This Row],[mp3_file]],Table3[#All],3,FALSE)</f>
        <v>#NAME?</v>
      </c>
    </row>
    <row r="320" spans="1:16" x14ac:dyDescent="0.3">
      <c r="A320">
        <v>138</v>
      </c>
      <c r="B320" t="s">
        <v>1436</v>
      </c>
      <c r="C320" t="s">
        <v>623</v>
      </c>
      <c r="D320" s="7">
        <f>IFERROR(VLOOKUP(Table2[[#This Row],[tune_meter]],Table1[#All],3,FALSE),"NONE")</f>
        <v>22</v>
      </c>
      <c r="F320" t="s">
        <v>324</v>
      </c>
      <c r="G320" t="str">
        <f>IF(Table2[[#This Row],[tune_book]]="LFTBs","Red Book","Green Book")</f>
        <v>Green Book</v>
      </c>
      <c r="H320" t="s">
        <v>1437</v>
      </c>
      <c r="I320" t="s">
        <v>1438</v>
      </c>
      <c r="J320" t="str">
        <f>Table2[[#This Row],[file_name]]&amp;".mp3"</f>
        <v>138g.mid.mp3</v>
      </c>
      <c r="K320">
        <v>1770</v>
      </c>
      <c r="M320">
        <v>434</v>
      </c>
      <c r="N3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--song="Huddersfield (S.M.)" --artist="From 'Williams Psalmody'" --comment="" --album="Green Book" --track="138" 138g.mid.mp3</v>
      </c>
      <c r="P320" s="4" t="e">
        <f ca="1">VLOOKUP(Table2[[#This Row],[mp3_file]],Table3[#All],3,FALSE)</f>
        <v>#NAME?</v>
      </c>
    </row>
    <row r="321" spans="1:16" x14ac:dyDescent="0.3">
      <c r="A321">
        <v>405</v>
      </c>
      <c r="B321" t="s">
        <v>2021</v>
      </c>
      <c r="C321" t="s">
        <v>527</v>
      </c>
      <c r="D321" s="7">
        <f>IFERROR(VLOOKUP(Table2[[#This Row],[tune_meter]],Table1[#All],3,FALSE),"NONE")</f>
        <v>20</v>
      </c>
      <c r="F321" t="s">
        <v>324</v>
      </c>
      <c r="G321" t="str">
        <f>IF(Table2[[#This Row],[tune_book]]="LFTBs","Red Book","Green Book")</f>
        <v>Green Book</v>
      </c>
      <c r="H321" t="s">
        <v>2022</v>
      </c>
      <c r="I321" t="s">
        <v>2023</v>
      </c>
      <c r="J321" t="str">
        <f>Table2[[#This Row],[file_name]]&amp;".mp3"</f>
        <v>405g.mid.mp3</v>
      </c>
      <c r="K321">
        <v>1812</v>
      </c>
      <c r="M321">
        <v>683</v>
      </c>
      <c r="N3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--song="Hull (8.8.6.8.8.6.)" --artist="S. Chandler" --comment="" --album="Green Book" --track="405" 405g.mid.mp3</v>
      </c>
      <c r="P321" s="4" t="e">
        <f ca="1">VLOOKUP(Table2[[#This Row],[mp3_file]],Table3[#All],3,FALSE)</f>
        <v>#NAME?</v>
      </c>
    </row>
    <row r="322" spans="1:16" x14ac:dyDescent="0.3">
      <c r="A322">
        <v>382</v>
      </c>
      <c r="B322" t="s">
        <v>1997</v>
      </c>
      <c r="C322" t="s">
        <v>476</v>
      </c>
      <c r="D322" s="7">
        <f>IFERROR(VLOOKUP(Table2[[#This Row],[tune_meter]],Table1[#All],3,FALSE),"NONE")</f>
        <v>25</v>
      </c>
      <c r="F322" t="s">
        <v>324</v>
      </c>
      <c r="G322" t="str">
        <f>IF(Table2[[#This Row],[tune_book]]="LFTBs","Red Book","Green Book")</f>
        <v>Green Book</v>
      </c>
      <c r="H322" t="s">
        <v>2846</v>
      </c>
      <c r="I322" t="s">
        <v>1998</v>
      </c>
      <c r="J322" t="str">
        <f>Table2[[#This Row],[file_name]]&amp;".mp3"</f>
        <v>382g.mid.mp3</v>
      </c>
      <c r="M322">
        <v>672</v>
      </c>
      <c r="N3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--song="Hyfrydol (8.7.8.7.8.7.8.7.)" --artist="R. H. Prichard" --comment="" --album="Green Book" --track="382" 382g.mid.mp3</v>
      </c>
      <c r="P322" s="4" t="e">
        <f ca="1">VLOOKUP(Table2[[#This Row],[mp3_file]],Table3[#All],3,FALSE)</f>
        <v>#NAME?</v>
      </c>
    </row>
    <row r="323" spans="1:16" x14ac:dyDescent="0.3">
      <c r="A323">
        <v>271</v>
      </c>
      <c r="B323" t="s">
        <v>817</v>
      </c>
      <c r="C323" t="s">
        <v>543</v>
      </c>
      <c r="D323" s="7">
        <f>IFERROR(VLOOKUP(Table2[[#This Row],[tune_meter]],Table1[#All],3,FALSE),"NONE")</f>
        <v>17</v>
      </c>
      <c r="F323" t="s">
        <v>459</v>
      </c>
      <c r="G323" t="str">
        <f>IF(Table2[[#This Row],[tune_book]]="LFTBs","Red Book","Green Book")</f>
        <v>Red Book</v>
      </c>
      <c r="H323" t="s">
        <v>348</v>
      </c>
      <c r="I323" t="s">
        <v>818</v>
      </c>
      <c r="J323" t="str">
        <f>Table2[[#This Row],[file_name]]&amp;".mp3"</f>
        <v>271r.mid.mp3</v>
      </c>
      <c r="M323">
        <v>178</v>
      </c>
      <c r="N3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 Am Praying For You (11.10.11.10. Dactylic)" --artist="Ira D. Sankey" --comment="" --album="Red Book" --track="271" 271r.mid.mp3</v>
      </c>
      <c r="P323" s="4" t="e">
        <f ca="1">VLOOKUP(Table2[[#This Row],[mp3_file]],Table3[#All],3,FALSE)</f>
        <v>#NAME?</v>
      </c>
    </row>
    <row r="324" spans="1:16" x14ac:dyDescent="0.3">
      <c r="A324">
        <v>25</v>
      </c>
      <c r="B324" t="s">
        <v>819</v>
      </c>
      <c r="C324" t="s">
        <v>578</v>
      </c>
      <c r="D324" s="7">
        <f>IFERROR(VLOOKUP(Table2[[#This Row],[tune_meter]],Table1[#All],3,FALSE),"NONE")</f>
        <v>61</v>
      </c>
      <c r="F324" t="s">
        <v>459</v>
      </c>
      <c r="G324" t="str">
        <f>IF(Table2[[#This Row],[tune_book]]="LFTBs","Red Book","Green Book")</f>
        <v>Red Book</v>
      </c>
      <c r="H324" t="s">
        <v>348</v>
      </c>
      <c r="I324" t="s">
        <v>820</v>
      </c>
      <c r="J324" t="str">
        <f>Table2[[#This Row],[file_name]]&amp;".mp3"</f>
        <v>25r.mid.mp3</v>
      </c>
      <c r="M324">
        <v>179</v>
      </c>
      <c r="N3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 Came a Wanderer (C.M.D.)" --artist="Ira D. Sankey" --comment="" --album="Red Book" --track="25" 25r.mid.mp3</v>
      </c>
      <c r="P324" s="4" t="e">
        <f ca="1">VLOOKUP(Table2[[#This Row],[mp3_file]],Table3[#All],3,FALSE)</f>
        <v>#NAME?</v>
      </c>
    </row>
    <row r="325" spans="1:16" x14ac:dyDescent="0.3">
      <c r="A325">
        <v>29</v>
      </c>
      <c r="B325" t="s">
        <v>1647</v>
      </c>
      <c r="C325" t="s">
        <v>486</v>
      </c>
      <c r="D325" s="7">
        <f>IFERROR(VLOOKUP(Table2[[#This Row],[tune_meter]],Table1[#All],3,FALSE),"NONE")</f>
        <v>19</v>
      </c>
      <c r="F325" t="s">
        <v>324</v>
      </c>
      <c r="G325" t="str">
        <f>IF(Table2[[#This Row],[tune_book]]="LFTBs","Red Book","Green Book")</f>
        <v>Green Book</v>
      </c>
      <c r="H325" t="s">
        <v>2847</v>
      </c>
      <c r="I325" t="s">
        <v>1648</v>
      </c>
      <c r="J325" t="str">
        <f>Table2[[#This Row],[file_name]]&amp;".mp3"</f>
        <v>29g.mid.mp3</v>
      </c>
      <c r="K325">
        <v>1850</v>
      </c>
      <c r="M325">
        <v>525</v>
      </c>
      <c r="N3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--song="Ignatius (C.M.)" --artist="J. H. Lester" --comment="" --album="Green Book" --track="29" 29g.mid.mp3</v>
      </c>
      <c r="P325" s="4" t="e">
        <f ca="1">VLOOKUP(Table2[[#This Row],[mp3_file]],Table3[#All],3,FALSE)</f>
        <v>#NAME?</v>
      </c>
    </row>
    <row r="326" spans="1:16" x14ac:dyDescent="0.3">
      <c r="A326">
        <v>370</v>
      </c>
      <c r="B326" t="s">
        <v>375</v>
      </c>
      <c r="C326" t="s">
        <v>376</v>
      </c>
      <c r="D326" s="7">
        <f>IFERROR(VLOOKUP(Table2[[#This Row],[tune_meter]],Table1[#All],3,FALSE),"NONE")</f>
        <v>49</v>
      </c>
      <c r="F326" t="s">
        <v>324</v>
      </c>
      <c r="G326" t="str">
        <f>IF(Table2[[#This Row],[tune_book]]="LFTBs","Red Book","Green Book")</f>
        <v>Green Book</v>
      </c>
      <c r="H326" t="s">
        <v>377</v>
      </c>
      <c r="I326" t="s">
        <v>378</v>
      </c>
      <c r="J326" t="str">
        <f>Table2[[#This Row],[file_name]]&amp;".mp3"</f>
        <v>370g.mid.mp3</v>
      </c>
      <c r="M326">
        <v>16</v>
      </c>
      <c r="N3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--song="Ilford (8.7.8.7.8.7.7.)" --artist="Anonymous" --comment="" --album="Green Book" --track="370" 370g.mid.mp3</v>
      </c>
      <c r="P326" s="4" t="e">
        <f ca="1">VLOOKUP(Table2[[#This Row],[mp3_file]],Table3[#All],3,FALSE)</f>
        <v>#NAME?</v>
      </c>
    </row>
    <row r="327" spans="1:16" x14ac:dyDescent="0.3">
      <c r="A327">
        <v>416</v>
      </c>
      <c r="B327" t="s">
        <v>2038</v>
      </c>
      <c r="C327" t="s">
        <v>415</v>
      </c>
      <c r="D327" s="7">
        <f>IFERROR(VLOOKUP(Table2[[#This Row],[tune_meter]],Table1[#All],3,FALSE),"NONE")</f>
        <v>39</v>
      </c>
      <c r="F327" t="s">
        <v>324</v>
      </c>
      <c r="G327" t="str">
        <f>IF(Table2[[#This Row],[tune_book]]="LFTBs","Red Book","Green Book")</f>
        <v>Green Book</v>
      </c>
      <c r="H327" t="s">
        <v>2825</v>
      </c>
      <c r="I327" t="s">
        <v>2039</v>
      </c>
      <c r="J327" t="str">
        <f>Table2[[#This Row],[file_name]]&amp;".mp3"</f>
        <v>416g.mid.mp3</v>
      </c>
      <c r="M327">
        <v>689</v>
      </c>
      <c r="N3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--song="Ilsley (8.8.8.6.)" --artist="W. B. Bradbury" --comment="" --album="Green Book" --track="416" 416g.mid.mp3</v>
      </c>
      <c r="P327" s="4" t="e">
        <f ca="1">VLOOKUP(Table2[[#This Row],[mp3_file]],Table3[#All],3,FALSE)</f>
        <v>#NAME?</v>
      </c>
    </row>
    <row r="328" spans="1:16" x14ac:dyDescent="0.3">
      <c r="A328">
        <v>490</v>
      </c>
      <c r="B328" t="s">
        <v>2128</v>
      </c>
      <c r="C328" t="s">
        <v>582</v>
      </c>
      <c r="D328" s="7">
        <f>IFERROR(VLOOKUP(Table2[[#This Row],[tune_meter]],Table1[#All],3,FALSE),"NONE")</f>
        <v>21</v>
      </c>
      <c r="F328" t="s">
        <v>324</v>
      </c>
      <c r="G328" t="str">
        <f>IF(Table2[[#This Row],[tune_book]]="LFTBs","Red Book","Green Book")</f>
        <v>Green Book</v>
      </c>
      <c r="H328" t="s">
        <v>2782</v>
      </c>
      <c r="I328" t="s">
        <v>2129</v>
      </c>
      <c r="J328" t="str">
        <f>Table2[[#This Row],[file_name]]&amp;".mp3"</f>
        <v>490g.mid.mp3</v>
      </c>
      <c r="K328">
        <v>1912</v>
      </c>
      <c r="M328">
        <v>733</v>
      </c>
      <c r="N3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 Hope (10.10.10.10.)" --artist="Mrs. H. B. Cowie" --comment="" --album="Green Book" --track="490" 490g.mid.mp3</v>
      </c>
      <c r="P328" s="4" t="e">
        <f ca="1">VLOOKUP(Table2[[#This Row],[mp3_file]],Table3[#All],3,FALSE)</f>
        <v>#NAME?</v>
      </c>
    </row>
    <row r="329" spans="1:16" x14ac:dyDescent="0.3">
      <c r="A329">
        <v>186</v>
      </c>
      <c r="B329" t="s">
        <v>821</v>
      </c>
      <c r="C329" t="s">
        <v>476</v>
      </c>
      <c r="D329" s="7">
        <f>IFERROR(VLOOKUP(Table2[[#This Row],[tune_meter]],Table1[#All],3,FALSE),"NONE")</f>
        <v>25</v>
      </c>
      <c r="F329" t="s">
        <v>459</v>
      </c>
      <c r="G329" t="str">
        <f>IF(Table2[[#This Row],[tune_book]]="LFTBs","Red Book","Green Book")</f>
        <v>Red Book</v>
      </c>
      <c r="H329" t="s">
        <v>800</v>
      </c>
      <c r="I329" t="s">
        <v>822</v>
      </c>
      <c r="J329" t="str">
        <f>Table2[[#This Row],[file_name]]&amp;".mp3"</f>
        <v>186r.mid.mp3</v>
      </c>
      <c r="L329" t="s">
        <v>823</v>
      </c>
      <c r="M329">
        <v>180</v>
      </c>
      <c r="N3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 Memoriam (8.7.8.7.8.7.8.7.)" --artist="Dr. Caradog Roberts" --comment="Copyright. By permission of the Unioin of Welsh Independents" --album="Red Book" --track="186" 186r.mid.mp3</v>
      </c>
      <c r="P329" s="4" t="e">
        <f ca="1">VLOOKUP(Table2[[#This Row],[mp3_file]],Table3[#All],3,FALSE)</f>
        <v>#NAME?</v>
      </c>
    </row>
    <row r="330" spans="1:16" x14ac:dyDescent="0.3">
      <c r="A330">
        <v>201</v>
      </c>
      <c r="B330" t="s">
        <v>824</v>
      </c>
      <c r="C330" t="s">
        <v>323</v>
      </c>
      <c r="D330" s="7">
        <f>IFERROR(VLOOKUP(Table2[[#This Row],[tune_meter]],Table1[#All],3,FALSE),"NONE")</f>
        <v>79</v>
      </c>
      <c r="F330" t="s">
        <v>459</v>
      </c>
      <c r="G330" t="str">
        <f>IF(Table2[[#This Row],[tune_book]]="LFTBs","Red Book","Green Book")</f>
        <v>Red Book</v>
      </c>
      <c r="H330" t="s">
        <v>825</v>
      </c>
      <c r="I330" t="s">
        <v>826</v>
      </c>
      <c r="J330" t="str">
        <f>Table2[[#This Row],[file_name]]&amp;".mp3"</f>
        <v>201r.mid.mp3</v>
      </c>
      <c r="M330">
        <v>181</v>
      </c>
      <c r="N3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 the Midst (8.8.7.7.)" --artist="W.P." --comment="" --album="Red Book" --track="201" 201r.mid.mp3</v>
      </c>
      <c r="P330" s="4" t="e">
        <f ca="1">VLOOKUP(Table2[[#This Row],[mp3_file]],Table3[#All],3,FALSE)</f>
        <v>#NAME?</v>
      </c>
    </row>
    <row r="331" spans="1:16" x14ac:dyDescent="0.3">
      <c r="A331">
        <v>383</v>
      </c>
      <c r="B331" t="s">
        <v>1999</v>
      </c>
      <c r="C331" t="s">
        <v>476</v>
      </c>
      <c r="D331" s="7">
        <f>IFERROR(VLOOKUP(Table2[[#This Row],[tune_meter]],Table1[#All],3,FALSE),"NONE")</f>
        <v>25</v>
      </c>
      <c r="F331" t="s">
        <v>324</v>
      </c>
      <c r="G331" t="str">
        <f>IF(Table2[[#This Row],[tune_book]]="LFTBs","Red Book","Green Book")</f>
        <v>Green Book</v>
      </c>
      <c r="H331" t="s">
        <v>2718</v>
      </c>
      <c r="I331" t="s">
        <v>2000</v>
      </c>
      <c r="J331" t="str">
        <f>Table2[[#This Row],[file_name]]&amp;".mp3"</f>
        <v>383g.mid.mp3</v>
      </c>
      <c r="M331">
        <v>673</v>
      </c>
      <c r="N3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 The Secret Of His Presence (8.7.8.7.8.7.8.7.)" --artist="G. C. Stebbins" --comment="" --album="Green Book" --track="383" 383g.mid.mp3</v>
      </c>
      <c r="P331" s="4" t="e">
        <f ca="1">VLOOKUP(Table2[[#This Row],[mp3_file]],Table3[#All],3,FALSE)</f>
        <v>#NAME?</v>
      </c>
    </row>
    <row r="332" spans="1:16" x14ac:dyDescent="0.3">
      <c r="A332">
        <v>553</v>
      </c>
      <c r="B332" t="s">
        <v>1745</v>
      </c>
      <c r="C332" t="s">
        <v>588</v>
      </c>
      <c r="D332" s="7">
        <f>IFERROR(VLOOKUP(Table2[[#This Row],[tune_meter]],Table1[#All],3,FALSE),"NONE")</f>
        <v>85</v>
      </c>
      <c r="F332" t="s">
        <v>324</v>
      </c>
      <c r="G332" t="str">
        <f>IF(Table2[[#This Row],[tune_book]]="LFTBs","Red Book","Green Book")</f>
        <v>Green Book</v>
      </c>
      <c r="H332" t="s">
        <v>1746</v>
      </c>
      <c r="I332" t="s">
        <v>1747</v>
      </c>
      <c r="J332" t="str">
        <f>Table2[[#This Row],[file_name]]&amp;".mp3"</f>
        <v>553g.mid.mp3</v>
      </c>
      <c r="M332">
        <v>567</v>
      </c>
      <c r="N3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--song="Ingleside (14.14.14.14.)" --artist="Josiah Booth" --comment="" --album="Green Book" --track="553" 553g.mid.mp3</v>
      </c>
      <c r="P332" s="4" t="e">
        <f ca="1">VLOOKUP(Table2[[#This Row],[mp3_file]],Table3[#All],3,FALSE)</f>
        <v>#NAME?</v>
      </c>
    </row>
    <row r="333" spans="1:16" x14ac:dyDescent="0.3">
      <c r="A333">
        <v>269</v>
      </c>
      <c r="B333" t="s">
        <v>1534</v>
      </c>
      <c r="C333" t="s">
        <v>786</v>
      </c>
      <c r="D333" s="7">
        <f>IFERROR(VLOOKUP(Table2[[#This Row],[tune_meter]],Table1[#All],3,FALSE),"NONE")</f>
        <v>29</v>
      </c>
      <c r="F333" t="s">
        <v>324</v>
      </c>
      <c r="G333" t="str">
        <f>IF(Table2[[#This Row],[tune_book]]="LFTBs","Red Book","Green Book")</f>
        <v>Green Book</v>
      </c>
      <c r="H333" t="s">
        <v>2848</v>
      </c>
      <c r="I333" t="s">
        <v>1535</v>
      </c>
      <c r="J333" t="str">
        <f>Table2[[#This Row],[file_name]]&amp;".mp3"</f>
        <v>269g.mid.mp3</v>
      </c>
      <c r="M333">
        <v>476</v>
      </c>
      <c r="N3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--song="Innocents (7.7.7.7.)" --artist="G. B. Pergolesi" --comment="" --album="Green Book" --track="269" 269g.mid.mp3</v>
      </c>
      <c r="P333" s="4" t="e">
        <f ca="1">VLOOKUP(Table2[[#This Row],[mp3_file]],Table3[#All],3,FALSE)</f>
        <v>#NAME?</v>
      </c>
    </row>
    <row r="334" spans="1:16" x14ac:dyDescent="0.3">
      <c r="A334">
        <v>60</v>
      </c>
      <c r="B334" t="s">
        <v>827</v>
      </c>
      <c r="C334" t="s">
        <v>435</v>
      </c>
      <c r="D334" s="7">
        <f>IFERROR(VLOOKUP(Table2[[#This Row],[tune_meter]],Table1[#All],3,FALSE),"NONE")</f>
        <v>40</v>
      </c>
      <c r="F334" t="s">
        <v>459</v>
      </c>
      <c r="G334" t="str">
        <f>IF(Table2[[#This Row],[tune_book]]="LFTBs","Red Book","Green Book")</f>
        <v>Red Book</v>
      </c>
      <c r="H334" t="s">
        <v>384</v>
      </c>
      <c r="I334" t="s">
        <v>828</v>
      </c>
      <c r="J334" t="str">
        <f>Table2[[#This Row],[file_name]]&amp;".mp3"</f>
        <v>60r.mid.mp3</v>
      </c>
      <c r="M334">
        <v>182</v>
      </c>
      <c r="N3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--song="Inscrutable (5.5.4.5.5.4.)" --artist="E. Carren" --comment="" --album="Red Book" --track="60" 60r.mid.mp3</v>
      </c>
      <c r="P334" s="4" t="e">
        <f ca="1">VLOOKUP(Table2[[#This Row],[mp3_file]],Table3[#All],3,FALSE)</f>
        <v>#NAME?</v>
      </c>
    </row>
    <row r="335" spans="1:16" x14ac:dyDescent="0.3">
      <c r="A335">
        <v>191</v>
      </c>
      <c r="B335" t="s">
        <v>1484</v>
      </c>
      <c r="C335" t="s">
        <v>463</v>
      </c>
      <c r="D335" s="7">
        <f>IFERROR(VLOOKUP(Table2[[#This Row],[tune_meter]],Table1[#All],3,FALSE),"NONE")</f>
        <v>90</v>
      </c>
      <c r="F335" t="s">
        <v>324</v>
      </c>
      <c r="G335" t="str">
        <f>IF(Table2[[#This Row],[tune_book]]="LFTBs","Red Book","Green Book")</f>
        <v>Green Book</v>
      </c>
      <c r="H335" t="s">
        <v>2719</v>
      </c>
      <c r="I335" t="s">
        <v>1485</v>
      </c>
      <c r="J335" t="str">
        <f>Table2[[#This Row],[file_name]]&amp;".mp3"</f>
        <v>191g.mid.mp3</v>
      </c>
      <c r="M335">
        <v>454</v>
      </c>
      <c r="N3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--song="Invitation (6.6.6.6.6.6.6.6.)" --artist="F. C. Maker" --comment="" --album="Green Book" --track="191" 191g.mid.mp3</v>
      </c>
      <c r="P335" s="4" t="e">
        <f ca="1">VLOOKUP(Table2[[#This Row],[mp3_file]],Table3[#All],3,FALSE)</f>
        <v>#NAME?</v>
      </c>
    </row>
    <row r="336" spans="1:16" x14ac:dyDescent="0.3">
      <c r="A336">
        <v>30</v>
      </c>
      <c r="B336" t="s">
        <v>1649</v>
      </c>
      <c r="C336" t="s">
        <v>486</v>
      </c>
      <c r="D336" s="7">
        <f>IFERROR(VLOOKUP(Table2[[#This Row],[tune_meter]],Table1[#All],3,FALSE),"NONE")</f>
        <v>19</v>
      </c>
      <c r="F336" t="s">
        <v>324</v>
      </c>
      <c r="G336" t="str">
        <f>IF(Table2[[#This Row],[tune_book]]="LFTBs","Red Book","Green Book")</f>
        <v>Green Book</v>
      </c>
      <c r="H336" t="s">
        <v>1390</v>
      </c>
      <c r="I336" t="s">
        <v>1650</v>
      </c>
      <c r="J336" t="str">
        <f>Table2[[#This Row],[file_name]]&amp;".mp3"</f>
        <v>30g.mid.mp3</v>
      </c>
      <c r="M336">
        <v>526</v>
      </c>
      <c r="N3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--song="Irish (C.M.)" --artist="Isaac Smith" --comment="" --album="Green Book" --track="30" 30g.mid.mp3</v>
      </c>
      <c r="P336" s="4" t="e">
        <f ca="1">VLOOKUP(Table2[[#This Row],[mp3_file]],Table3[#All],3,FALSE)</f>
        <v>#NAME?</v>
      </c>
    </row>
    <row r="337" spans="1:16" x14ac:dyDescent="0.3">
      <c r="A337">
        <v>513</v>
      </c>
      <c r="B337" t="s">
        <v>379</v>
      </c>
      <c r="C337" t="s">
        <v>380</v>
      </c>
      <c r="D337" s="7">
        <f>IFERROR(VLOOKUP(Table2[[#This Row],[tune_meter]],Table1[#All],3,FALSE),"NONE")</f>
        <v>71</v>
      </c>
      <c r="F337" t="s">
        <v>324</v>
      </c>
      <c r="G337" t="str">
        <f>IF(Table2[[#This Row],[tune_book]]="LFTBs","Red Book","Green Book")</f>
        <v>Green Book</v>
      </c>
      <c r="H337" t="s">
        <v>2724</v>
      </c>
      <c r="I337" t="s">
        <v>382</v>
      </c>
      <c r="J337" t="str">
        <f>Table2[[#This Row],[file_name]]&amp;".mp3"</f>
        <v>513g.mid.mp3</v>
      </c>
      <c r="M337">
        <v>17</v>
      </c>
      <c r="N3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--song="It is Well (11.8.11.9.)" --artist="P. P. Bliss" --comment="" --album="Green Book" --track="513" 513g.mid.mp3</v>
      </c>
      <c r="P337" s="4" t="e">
        <f ca="1">VLOOKUP(Table2[[#This Row],[mp3_file]],Table3[#All],3,FALSE)</f>
        <v>#NAME?</v>
      </c>
    </row>
    <row r="338" spans="1:16" x14ac:dyDescent="0.3">
      <c r="A338">
        <v>506</v>
      </c>
      <c r="B338" t="s">
        <v>1725</v>
      </c>
      <c r="C338" t="s">
        <v>1726</v>
      </c>
      <c r="D338" s="7" t="str">
        <f>IFERROR(VLOOKUP(Table2[[#This Row],[tune_meter]],Table1[#All],3,FALSE),"NONE")</f>
        <v>NONE</v>
      </c>
      <c r="F338" t="s">
        <v>324</v>
      </c>
      <c r="G338" t="str">
        <f>IF(Table2[[#This Row],[tune_book]]="LFTBs","Red Book","Green Book")</f>
        <v>Green Book</v>
      </c>
      <c r="H338" t="s">
        <v>348</v>
      </c>
      <c r="I338" t="s">
        <v>1727</v>
      </c>
      <c r="J338" t="str">
        <f>Table2[[#This Row],[file_name]]&amp;".mp3"</f>
        <v>506g.mid.mp3</v>
      </c>
      <c r="M338">
        <v>559</v>
      </c>
      <c r="N3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--song="It Passeth Knowledge (10.10.10.10.4.)" --artist="Ira D. Sankey" --comment="" --album="Green Book" --track="506" 506g.mid.mp3</v>
      </c>
      <c r="P338" s="4" t="e">
        <f ca="1">VLOOKUP(Table2[[#This Row],[mp3_file]],Table3[#All],3,FALSE)</f>
        <v>#NAME?</v>
      </c>
    </row>
    <row r="339" spans="1:16" x14ac:dyDescent="0.3">
      <c r="A339">
        <v>31</v>
      </c>
      <c r="B339" t="s">
        <v>1651</v>
      </c>
      <c r="C339" t="s">
        <v>486</v>
      </c>
      <c r="D339" s="7">
        <f>IFERROR(VLOOKUP(Table2[[#This Row],[tune_meter]],Table1[#All],3,FALSE),"NONE")</f>
        <v>19</v>
      </c>
      <c r="F339" t="s">
        <v>324</v>
      </c>
      <c r="G339" t="str">
        <f>IF(Table2[[#This Row],[tune_book]]="LFTBs","Red Book","Green Book")</f>
        <v>Green Book</v>
      </c>
      <c r="H339" t="s">
        <v>1652</v>
      </c>
      <c r="I339" t="s">
        <v>1653</v>
      </c>
      <c r="J339" t="str">
        <f>Table2[[#This Row],[file_name]]&amp;".mp3"</f>
        <v>31g.mid.mp3</v>
      </c>
      <c r="M339">
        <v>527</v>
      </c>
      <c r="N3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--song="Jackson's (C.M.)" --artist="T. Jackson" --comment="" --album="Green Book" --track="31" 31g.mid.mp3</v>
      </c>
      <c r="P339" s="4" t="e">
        <f ca="1">VLOOKUP(Table2[[#This Row],[mp3_file]],Table3[#All],3,FALSE)</f>
        <v>#NAME?</v>
      </c>
    </row>
    <row r="340" spans="1:16" x14ac:dyDescent="0.3">
      <c r="A340">
        <v>106</v>
      </c>
      <c r="B340" t="s">
        <v>829</v>
      </c>
      <c r="C340" t="s">
        <v>467</v>
      </c>
      <c r="D340" s="7">
        <f>IFERROR(VLOOKUP(Table2[[#This Row],[tune_meter]],Table1[#All],3,FALSE),"NONE")</f>
        <v>34</v>
      </c>
      <c r="F340" t="s">
        <v>459</v>
      </c>
      <c r="G340" t="str">
        <f>IF(Table2[[#This Row],[tune_book]]="LFTBs","Red Book","Green Book")</f>
        <v>Red Book</v>
      </c>
      <c r="H340" t="s">
        <v>384</v>
      </c>
      <c r="I340" t="s">
        <v>830</v>
      </c>
      <c r="J340" t="str">
        <f>Table2[[#This Row],[file_name]]&amp;".mp3"</f>
        <v>106r.mid.mp3</v>
      </c>
      <c r="M340">
        <v>183</v>
      </c>
      <c r="N3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--song="Jedidja (7.6.7.6.7.6.7.6.)" --artist="E. Carren" --comment="" --album="Red Book" --track="106" 106r.mid.mp3</v>
      </c>
      <c r="P340" s="4" t="e">
        <f ca="1">VLOOKUP(Table2[[#This Row],[mp3_file]],Table3[#All],3,FALSE)</f>
        <v>#NAME?</v>
      </c>
    </row>
    <row r="341" spans="1:16" x14ac:dyDescent="0.3">
      <c r="A341">
        <v>45</v>
      </c>
      <c r="B341" t="s">
        <v>831</v>
      </c>
      <c r="C341" t="s">
        <v>623</v>
      </c>
      <c r="D341" s="7">
        <f>IFERROR(VLOOKUP(Table2[[#This Row],[tune_meter]],Table1[#All],3,FALSE),"NONE")</f>
        <v>22</v>
      </c>
      <c r="F341" t="s">
        <v>459</v>
      </c>
      <c r="G341" t="str">
        <f>IF(Table2[[#This Row],[tune_book]]="LFTBs","Red Book","Green Book")</f>
        <v>Red Book</v>
      </c>
      <c r="H341" t="s">
        <v>384</v>
      </c>
      <c r="I341" t="s">
        <v>832</v>
      </c>
      <c r="J341" t="str">
        <f>Table2[[#This Row],[file_name]]&amp;".mp3"</f>
        <v>45r.mid.mp3</v>
      </c>
      <c r="M341">
        <v>184</v>
      </c>
      <c r="N3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--song="Jedutun (S.M.)" --artist="E. Carren" --comment="" --album="Red Book" --track="45" 45r.mid.mp3</v>
      </c>
      <c r="P341" s="4" t="e">
        <f ca="1">VLOOKUP(Table2[[#This Row],[mp3_file]],Table3[#All],3,FALSE)</f>
        <v>#NAME?</v>
      </c>
    </row>
    <row r="342" spans="1:16" x14ac:dyDescent="0.3">
      <c r="A342">
        <v>190</v>
      </c>
      <c r="B342" t="s">
        <v>1702</v>
      </c>
      <c r="C342" t="s">
        <v>913</v>
      </c>
      <c r="D342" s="7">
        <f>IFERROR(VLOOKUP(Table2[[#This Row],[tune_meter]],Table1[#All],3,FALSE),"NONE")</f>
        <v>43</v>
      </c>
      <c r="F342" t="s">
        <v>324</v>
      </c>
      <c r="G342" t="str">
        <f>IF(Table2[[#This Row],[tune_book]]="LFTBs","Red Book","Green Book")</f>
        <v>Green Book</v>
      </c>
      <c r="H342" t="s">
        <v>1703</v>
      </c>
      <c r="I342" t="s">
        <v>1704</v>
      </c>
      <c r="J342" t="str">
        <f>Table2[[#This Row],[file_name]]&amp;".mp3"</f>
        <v>190g.mid.mp3</v>
      </c>
      <c r="M342">
        <v>549</v>
      </c>
      <c r="N3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--song="Jehovah Tsidkenu (6.6.6.5.6.6.6.5.)" --artist="H. Bennett" --comment="" --album="Green Book" --track="190" 190g.mid.mp3</v>
      </c>
      <c r="P342" s="4" t="e">
        <f ca="1">VLOOKUP(Table2[[#This Row],[mp3_file]],Table3[#All],3,FALSE)</f>
        <v>#NAME?</v>
      </c>
    </row>
    <row r="343" spans="1:16" x14ac:dyDescent="0.3">
      <c r="A343">
        <v>368</v>
      </c>
      <c r="B343" t="s">
        <v>1616</v>
      </c>
      <c r="C343" t="s">
        <v>498</v>
      </c>
      <c r="D343" s="7">
        <f>IFERROR(VLOOKUP(Table2[[#This Row],[tune_meter]],Table1[#All],3,FALSE),"NONE")</f>
        <v>77</v>
      </c>
      <c r="F343" t="s">
        <v>324</v>
      </c>
      <c r="G343" t="str">
        <f>IF(Table2[[#This Row],[tune_book]]="LFTBs","Red Book","Green Book")</f>
        <v>Green Book</v>
      </c>
      <c r="H343" t="s">
        <v>2849</v>
      </c>
      <c r="I343" t="s">
        <v>1617</v>
      </c>
      <c r="J343" t="str">
        <f>Table2[[#This Row],[file_name]]&amp;".mp3"</f>
        <v>368g.mid.mp3</v>
      </c>
      <c r="M343">
        <v>511</v>
      </c>
      <c r="N3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--song="Jera (8.7.8.7.7.7.)" --artist="S. J. Vail" --comment="" --album="Green Book" --track="368" 368g.mid.mp3</v>
      </c>
      <c r="P343" s="4" t="e">
        <f ca="1">VLOOKUP(Table2[[#This Row],[mp3_file]],Table3[#All],3,FALSE)</f>
        <v>#NAME?</v>
      </c>
    </row>
    <row r="344" spans="1:16" x14ac:dyDescent="0.3">
      <c r="A344">
        <v>15</v>
      </c>
      <c r="B344" t="s">
        <v>2851</v>
      </c>
      <c r="C344" t="s">
        <v>486</v>
      </c>
      <c r="D344" s="7">
        <f>IFERROR(VLOOKUP(Table2[[#This Row],[tune_meter]],Table1[#All],3,FALSE),"NONE")</f>
        <v>19</v>
      </c>
      <c r="F344" t="s">
        <v>459</v>
      </c>
      <c r="G344" t="str">
        <f>IF(Table2[[#This Row],[tune_book]]="LFTBs","Red Book","Green Book")</f>
        <v>Red Book</v>
      </c>
      <c r="H344" t="s">
        <v>2850</v>
      </c>
      <c r="I344" t="s">
        <v>833</v>
      </c>
      <c r="J344" t="str">
        <f>Table2[[#This Row],[file_name]]&amp;".mp3"</f>
        <v>15r.mid.mp3</v>
      </c>
      <c r="M344">
        <v>185</v>
      </c>
      <c r="N3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--song="Jerusalem (Staniforth) (C.M.)" --artist="T. W. Staniforth" --comment="" --album="Red Book" --track="15" 15r.mid.mp3</v>
      </c>
      <c r="P344" s="4" t="e">
        <f ca="1">VLOOKUP(Table2[[#This Row],[mp3_file]],Table3[#All],3,FALSE)</f>
        <v>#NAME?</v>
      </c>
    </row>
    <row r="345" spans="1:16" x14ac:dyDescent="0.3">
      <c r="A345">
        <v>461</v>
      </c>
      <c r="B345" t="s">
        <v>2091</v>
      </c>
      <c r="C345" t="s">
        <v>2089</v>
      </c>
      <c r="D345" s="7" t="str">
        <f>IFERROR(VLOOKUP(Table2[[#This Row],[tune_meter]],Table1[#All],3,FALSE),"NONE")</f>
        <v>NONE</v>
      </c>
      <c r="F345" t="s">
        <v>324</v>
      </c>
      <c r="G345" t="str">
        <f>IF(Table2[[#This Row],[tune_book]]="LFTBs","Red Book","Green Book")</f>
        <v>Green Book</v>
      </c>
      <c r="H345" t="s">
        <v>2718</v>
      </c>
      <c r="I345" t="s">
        <v>2092</v>
      </c>
      <c r="J345" t="str">
        <f>Table2[[#This Row],[file_name]]&amp;".mp3"</f>
        <v>461g.mid.mp3</v>
      </c>
      <c r="M345">
        <v>715</v>
      </c>
      <c r="N3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--song="Jesus is Calling (10.8.10.7.8.13.)" --artist="G. C. Stebbins" --comment="" --album="Green Book" --track="461" 461g.mid.mp3</v>
      </c>
      <c r="P345" s="4" t="e">
        <f ca="1">VLOOKUP(Table2[[#This Row],[mp3_file]],Table3[#All],3,FALSE)</f>
        <v>#NAME?</v>
      </c>
    </row>
    <row r="346" spans="1:16" x14ac:dyDescent="0.3">
      <c r="A346">
        <v>385</v>
      </c>
      <c r="B346" t="s">
        <v>2003</v>
      </c>
      <c r="C346" t="s">
        <v>476</v>
      </c>
      <c r="D346" s="7">
        <f>IFERROR(VLOOKUP(Table2[[#This Row],[tune_meter]],Table1[#All],3,FALSE),"NONE")</f>
        <v>25</v>
      </c>
      <c r="F346" t="s">
        <v>324</v>
      </c>
      <c r="G346" t="str">
        <f>IF(Table2[[#This Row],[tune_book]]="LFTBs","Red Book","Green Book")</f>
        <v>Green Book</v>
      </c>
      <c r="H346" t="s">
        <v>1267</v>
      </c>
      <c r="I346" t="s">
        <v>2004</v>
      </c>
      <c r="J346" t="str">
        <f>Table2[[#This Row],[file_name]]&amp;".mp3"</f>
        <v>385g.mid.mp3</v>
      </c>
      <c r="M346">
        <v>675</v>
      </c>
      <c r="N3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--song="Jesus Only (8.7.8.7.8.7.8.7.)" --artist="R. Lowry" --comment="" --album="Green Book" --track="385" 385g.mid.mp3</v>
      </c>
      <c r="P346" s="4" t="e">
        <f ca="1">VLOOKUP(Table2[[#This Row],[mp3_file]],Table3[#All],3,FALSE)</f>
        <v>#NAME?</v>
      </c>
    </row>
    <row r="347" spans="1:16" x14ac:dyDescent="0.3">
      <c r="A347">
        <v>384</v>
      </c>
      <c r="B347" t="s">
        <v>2001</v>
      </c>
      <c r="C347" t="s">
        <v>476</v>
      </c>
      <c r="D347" s="7">
        <f>IFERROR(VLOOKUP(Table2[[#This Row],[tune_meter]],Table1[#All],3,FALSE),"NONE")</f>
        <v>25</v>
      </c>
      <c r="F347" t="s">
        <v>324</v>
      </c>
      <c r="G347" t="str">
        <f>IF(Table2[[#This Row],[tune_book]]="LFTBs","Red Book","Green Book")</f>
        <v>Green Book</v>
      </c>
      <c r="H347" t="s">
        <v>2782</v>
      </c>
      <c r="I347" t="s">
        <v>2002</v>
      </c>
      <c r="J347" t="str">
        <f>Table2[[#This Row],[file_name]]&amp;".mp3"</f>
        <v>384g.mid.mp3</v>
      </c>
      <c r="K347">
        <v>1932</v>
      </c>
      <c r="M347">
        <v>674</v>
      </c>
      <c r="N3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--song="Jesus' Call (8.7.8.7.8.7.8.7.)" --artist="Mrs. H. B. Cowie" --comment="" --album="Green Book" --track="384" 384g.mid.mp3</v>
      </c>
      <c r="P347" s="4" t="e">
        <f ca="1">VLOOKUP(Table2[[#This Row],[mp3_file]],Table3[#All],3,FALSE)</f>
        <v>#NAME?</v>
      </c>
    </row>
    <row r="348" spans="1:16" x14ac:dyDescent="0.3">
      <c r="A348">
        <v>351</v>
      </c>
      <c r="B348" t="s">
        <v>1332</v>
      </c>
      <c r="C348" t="s">
        <v>1042</v>
      </c>
      <c r="D348" s="7">
        <f>IFERROR(VLOOKUP(Table2[[#This Row],[tune_meter]],Table1[#All],3,FALSE),"NONE")</f>
        <v>54</v>
      </c>
      <c r="F348" t="s">
        <v>324</v>
      </c>
      <c r="G348" t="str">
        <f>IF(Table2[[#This Row],[tune_book]]="LFTBs","Red Book","Green Book")</f>
        <v>Green Book</v>
      </c>
      <c r="H348" t="s">
        <v>2723</v>
      </c>
      <c r="I348" t="s">
        <v>1333</v>
      </c>
      <c r="J348" t="str">
        <f>Table2[[#This Row],[file_name]]&amp;".mp3"</f>
        <v>351g.mid.mp3</v>
      </c>
      <c r="K348">
        <v>1931</v>
      </c>
      <c r="M348">
        <v>388</v>
      </c>
      <c r="N3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--song="Jevington (8.7.8.7. Dactylic Chorus 5.7.8.7.)" --artist="C. T. Lambert" --comment="" --album="Green Book" --track="351" 351g.mid.mp3</v>
      </c>
      <c r="P348" s="4" t="e">
        <f ca="1">VLOOKUP(Table2[[#This Row],[mp3_file]],Table3[#All],3,FALSE)</f>
        <v>#NAME?</v>
      </c>
    </row>
    <row r="349" spans="1:16" x14ac:dyDescent="0.3">
      <c r="A349">
        <v>187</v>
      </c>
      <c r="B349" t="s">
        <v>834</v>
      </c>
      <c r="C349" t="s">
        <v>476</v>
      </c>
      <c r="D349" s="7">
        <f>IFERROR(VLOOKUP(Table2[[#This Row],[tune_meter]],Table1[#All],3,FALSE),"NONE")</f>
        <v>25</v>
      </c>
      <c r="F349" t="s">
        <v>459</v>
      </c>
      <c r="G349" t="str">
        <f>IF(Table2[[#This Row],[tune_book]]="LFTBs","Red Book","Green Book")</f>
        <v>Red Book</v>
      </c>
      <c r="H349" t="s">
        <v>344</v>
      </c>
      <c r="I349" t="s">
        <v>835</v>
      </c>
      <c r="J349" t="str">
        <f>Table2[[#This Row],[file_name]]&amp;".mp3"</f>
        <v>187r.mid.mp3</v>
      </c>
      <c r="M349">
        <v>186</v>
      </c>
      <c r="N3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--song="Jewish Melody (8.7.8.7.8.7.8.7.)" --artist="Unknown" --comment="" --album="Red Book" --track="187" 187r.mid.mp3</v>
      </c>
      <c r="P349" s="4" t="e">
        <f ca="1">VLOOKUP(Table2[[#This Row],[mp3_file]],Table3[#All],3,FALSE)</f>
        <v>#NAME?</v>
      </c>
    </row>
    <row r="350" spans="1:16" x14ac:dyDescent="0.3">
      <c r="A350">
        <v>113</v>
      </c>
      <c r="B350" t="s">
        <v>836</v>
      </c>
      <c r="C350" t="s">
        <v>786</v>
      </c>
      <c r="D350" s="7">
        <f>IFERROR(VLOOKUP(Table2[[#This Row],[tune_meter]],Table1[#All],3,FALSE),"NONE")</f>
        <v>29</v>
      </c>
      <c r="F350" t="s">
        <v>459</v>
      </c>
      <c r="G350" t="str">
        <f>IF(Table2[[#This Row],[tune_book]]="LFTBs","Red Book","Green Book")</f>
        <v>Red Book</v>
      </c>
      <c r="H350" t="s">
        <v>837</v>
      </c>
      <c r="I350" t="s">
        <v>838</v>
      </c>
      <c r="J350" t="str">
        <f>Table2[[#This Row],[file_name]]&amp;".mp3"</f>
        <v>113r.mid.mp3</v>
      </c>
      <c r="M350">
        <v>187</v>
      </c>
      <c r="N3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--song="John (7.7.7.7.)" --artist="D.G. Spary" --comment="" --album="Red Book" --track="113" 113r.mid.mp3</v>
      </c>
      <c r="P350" s="4" t="e">
        <f ca="1">VLOOKUP(Table2[[#This Row],[mp3_file]],Table3[#All],3,FALSE)</f>
        <v>#NAME?</v>
      </c>
    </row>
    <row r="351" spans="1:16" x14ac:dyDescent="0.3">
      <c r="A351">
        <v>205</v>
      </c>
      <c r="B351" t="s">
        <v>839</v>
      </c>
      <c r="C351" t="s">
        <v>383</v>
      </c>
      <c r="D351" s="7">
        <f>IFERROR(VLOOKUP(Table2[[#This Row],[tune_meter]],Table1[#All],3,FALSE),"NONE")</f>
        <v>75</v>
      </c>
      <c r="F351" t="s">
        <v>459</v>
      </c>
      <c r="G351" t="str">
        <f>IF(Table2[[#This Row],[tune_book]]="LFTBs","Red Book","Green Book")</f>
        <v>Red Book</v>
      </c>
      <c r="H351" t="s">
        <v>840</v>
      </c>
      <c r="I351" t="s">
        <v>841</v>
      </c>
      <c r="J351" t="str">
        <f>Table2[[#This Row],[file_name]]&amp;".mp3"</f>
        <v>205r.mid.mp3</v>
      </c>
      <c r="M351">
        <v>188</v>
      </c>
      <c r="N3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--song="Joyful Sound (8.8.8.8.4.4.6.)" --artist="Royston Lewis" --comment="" --album="Red Book" --track="205" 205r.mid.mp3</v>
      </c>
      <c r="P351" s="4" t="e">
        <f ca="1">VLOOKUP(Table2[[#This Row],[mp3_file]],Table3[#All],3,FALSE)</f>
        <v>#NAME?</v>
      </c>
    </row>
    <row r="352" spans="1:16" x14ac:dyDescent="0.3">
      <c r="A352">
        <v>32</v>
      </c>
      <c r="B352" t="s">
        <v>1654</v>
      </c>
      <c r="C352" t="s">
        <v>486</v>
      </c>
      <c r="D352" s="7">
        <f>IFERROR(VLOOKUP(Table2[[#This Row],[tune_meter]],Table1[#All],3,FALSE),"NONE")</f>
        <v>19</v>
      </c>
      <c r="F352" t="s">
        <v>324</v>
      </c>
      <c r="G352" t="str">
        <f>IF(Table2[[#This Row],[tune_book]]="LFTBs","Red Book","Green Book")</f>
        <v>Green Book</v>
      </c>
      <c r="H352" t="s">
        <v>384</v>
      </c>
      <c r="I352" t="s">
        <v>1655</v>
      </c>
      <c r="J352" t="str">
        <f>Table2[[#This Row],[file_name]]&amp;".mp3"</f>
        <v>32g.mid.mp3</v>
      </c>
      <c r="K352">
        <v>1938</v>
      </c>
      <c r="M352">
        <v>528</v>
      </c>
      <c r="N3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--song="Jubilant (C.M.)" --artist="E. Carren" --comment="" --album="Green Book" --track="32" 32g.mid.mp3</v>
      </c>
      <c r="P352" s="4" t="e">
        <f ca="1">VLOOKUP(Table2[[#This Row],[mp3_file]],Table3[#All],3,FALSE)</f>
        <v>#NAME?</v>
      </c>
    </row>
    <row r="353" spans="1:16" x14ac:dyDescent="0.3">
      <c r="A353">
        <v>424</v>
      </c>
      <c r="B353" t="s">
        <v>2852</v>
      </c>
      <c r="C353" t="s">
        <v>383</v>
      </c>
      <c r="D353" s="7">
        <f>IFERROR(VLOOKUP(Table2[[#This Row],[tune_meter]],Table1[#All],3,FALSE),"NONE")</f>
        <v>75</v>
      </c>
      <c r="F353" t="s">
        <v>324</v>
      </c>
      <c r="G353" t="str">
        <f>IF(Table2[[#This Row],[tune_book]]="LFTBs","Red Book","Green Book")</f>
        <v>Green Book</v>
      </c>
      <c r="H353" t="s">
        <v>384</v>
      </c>
      <c r="I353" t="s">
        <v>385</v>
      </c>
      <c r="J353" t="str">
        <f>Table2[[#This Row],[file_name]]&amp;".mp3"</f>
        <v>424g.mid.mp3</v>
      </c>
      <c r="K353">
        <v>1939</v>
      </c>
      <c r="M353">
        <v>18</v>
      </c>
      <c r="N3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--song="Jubilee (Carren) (8.8.8.8.4.4.6.)" --artist="E. Carren" --comment="" --album="Green Book" --track="424" 424g.mid.mp3</v>
      </c>
      <c r="P353" s="4" t="e">
        <f ca="1">VLOOKUP(Table2[[#This Row],[mp3_file]],Table3[#All],3,FALSE)</f>
        <v>#NAME?</v>
      </c>
    </row>
    <row r="354" spans="1:16" x14ac:dyDescent="0.3">
      <c r="A354">
        <v>84</v>
      </c>
      <c r="B354" t="s">
        <v>2853</v>
      </c>
      <c r="C354" t="s">
        <v>540</v>
      </c>
      <c r="D354" s="7">
        <f>IFERROR(VLOOKUP(Table2[[#This Row],[tune_meter]],Table1[#All],3,FALSE),"NONE")</f>
        <v>51</v>
      </c>
      <c r="F354" t="s">
        <v>459</v>
      </c>
      <c r="G354" t="str">
        <f>IF(Table2[[#This Row],[tune_book]]="LFTBs","Red Book","Green Book")</f>
        <v>Red Book</v>
      </c>
      <c r="H354" t="s">
        <v>842</v>
      </c>
      <c r="I354" t="s">
        <v>843</v>
      </c>
      <c r="J354" t="str">
        <f>Table2[[#This Row],[file_name]]&amp;".mp3"</f>
        <v>84r.mid.mp3</v>
      </c>
      <c r="M354">
        <v>189</v>
      </c>
      <c r="N3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--song="Jubilee (Hope) (6.6.6.6.8.8.)" --artist="Walter R.F. Hope" --comment="" --album="Red Book" --track="84" 84r.mid.mp3</v>
      </c>
      <c r="P354" s="4" t="e">
        <f ca="1">VLOOKUP(Table2[[#This Row],[mp3_file]],Table3[#All],3,FALSE)</f>
        <v>#NAME?</v>
      </c>
    </row>
    <row r="355" spans="1:16" x14ac:dyDescent="0.3">
      <c r="A355">
        <v>41</v>
      </c>
      <c r="B355" t="s">
        <v>844</v>
      </c>
      <c r="C355" t="s">
        <v>845</v>
      </c>
      <c r="D355" s="7">
        <f>IFERROR(VLOOKUP(Table2[[#This Row],[tune_meter]],Table1[#All],3,FALSE),"NONE")</f>
        <v>84</v>
      </c>
      <c r="F355" t="s">
        <v>459</v>
      </c>
      <c r="G355" t="str">
        <f>IF(Table2[[#This Row],[tune_book]]="LFTBs","Red Book","Green Book")</f>
        <v>Red Book</v>
      </c>
      <c r="H355" t="s">
        <v>846</v>
      </c>
      <c r="I355" t="s">
        <v>847</v>
      </c>
      <c r="J355" t="str">
        <f>Table2[[#This Row],[file_name]]&amp;".mp3"</f>
        <v>41r.mid.mp3</v>
      </c>
      <c r="M355">
        <v>190</v>
      </c>
      <c r="N3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--song="Julian (L.M.D.)" --artist="F.C. Maker" --comment="" --album="Red Book" --track="41" 41r.mid.mp3</v>
      </c>
      <c r="P355" s="4" t="e">
        <f ca="1">VLOOKUP(Table2[[#This Row],[mp3_file]],Table3[#All],3,FALSE)</f>
        <v>#NAME?</v>
      </c>
    </row>
    <row r="356" spans="1:16" x14ac:dyDescent="0.3">
      <c r="A356">
        <v>178</v>
      </c>
      <c r="B356" t="s">
        <v>848</v>
      </c>
      <c r="C356" t="s">
        <v>498</v>
      </c>
      <c r="D356" s="7">
        <f>IFERROR(VLOOKUP(Table2[[#This Row],[tune_meter]],Table1[#All],3,FALSE),"NONE")</f>
        <v>77</v>
      </c>
      <c r="F356" t="s">
        <v>459</v>
      </c>
      <c r="G356" t="str">
        <f>IF(Table2[[#This Row],[tune_book]]="LFTBs","Red Book","Green Book")</f>
        <v>Red Book</v>
      </c>
      <c r="H356" t="s">
        <v>849</v>
      </c>
      <c r="I356" t="s">
        <v>850</v>
      </c>
      <c r="J356" t="str">
        <f>Table2[[#This Row],[file_name]]&amp;".mp3"</f>
        <v>178r.mid.mp3</v>
      </c>
      <c r="L356" t="s">
        <v>851</v>
      </c>
      <c r="M356">
        <v>191</v>
      </c>
      <c r="N3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--song="Jura (8.7.8.7.7.7.)" --artist="S.J. Vail" --comment="Repeat last line of each verse" --album="Red Book" --track="178" 178r.mid.mp3</v>
      </c>
      <c r="P356" s="4" t="e">
        <f ca="1">VLOOKUP(Table2[[#This Row],[mp3_file]],Table3[#All],3,FALSE)</f>
        <v>#NAME?</v>
      </c>
    </row>
    <row r="357" spans="1:16" x14ac:dyDescent="0.3">
      <c r="A357">
        <v>417</v>
      </c>
      <c r="B357" t="s">
        <v>2854</v>
      </c>
      <c r="C357" t="s">
        <v>415</v>
      </c>
      <c r="D357" s="7">
        <f>IFERROR(VLOOKUP(Table2[[#This Row],[tune_meter]],Table1[#All],3,FALSE),"NONE")</f>
        <v>39</v>
      </c>
      <c r="F357" t="s">
        <v>324</v>
      </c>
      <c r="G357" t="str">
        <f>IF(Table2[[#This Row],[tune_book]]="LFTBs","Red Book","Green Book")</f>
        <v>Green Book</v>
      </c>
      <c r="H357" t="s">
        <v>443</v>
      </c>
      <c r="I357" t="s">
        <v>2040</v>
      </c>
      <c r="J357" t="str">
        <f>Table2[[#This Row],[file_name]]&amp;".mp3"</f>
        <v>417g.mid.mp3</v>
      </c>
      <c r="M357">
        <v>690</v>
      </c>
      <c r="N3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--song="Just As I Am (Barnby) (8.8.8.6.)" --artist="Sir Joseph Barnby" --comment="" --album="Green Book" --track="417" 417g.mid.mp3</v>
      </c>
      <c r="P357" s="4" t="e">
        <f ca="1">VLOOKUP(Table2[[#This Row],[mp3_file]],Table3[#All],3,FALSE)</f>
        <v>#NAME?</v>
      </c>
    </row>
    <row r="358" spans="1:16" x14ac:dyDescent="0.3">
      <c r="A358">
        <v>418</v>
      </c>
      <c r="B358" t="s">
        <v>2855</v>
      </c>
      <c r="C358" t="s">
        <v>415</v>
      </c>
      <c r="D358" s="7">
        <f>IFERROR(VLOOKUP(Table2[[#This Row],[tune_meter]],Table1[#All],3,FALSE),"NONE")</f>
        <v>39</v>
      </c>
      <c r="F358" t="s">
        <v>324</v>
      </c>
      <c r="G358" t="str">
        <f>IF(Table2[[#This Row],[tune_book]]="LFTBs","Red Book","Green Book")</f>
        <v>Green Book</v>
      </c>
      <c r="H358" t="s">
        <v>1238</v>
      </c>
      <c r="I358" t="s">
        <v>2041</v>
      </c>
      <c r="J358" t="str">
        <f>Table2[[#This Row],[file_name]]&amp;".mp3"</f>
        <v>418g.mid.mp3</v>
      </c>
      <c r="M358">
        <v>691</v>
      </c>
      <c r="N3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--song="Just As I Am (Bradbury) (8.8.8.6.)" --artist="W.B. Bradbury" --comment="" --album="Green Book" --track="418" 418g.mid.mp3</v>
      </c>
      <c r="P358" s="4" t="e">
        <f ca="1">VLOOKUP(Table2[[#This Row],[mp3_file]],Table3[#All],3,FALSE)</f>
        <v>#NAME?</v>
      </c>
    </row>
    <row r="359" spans="1:16" x14ac:dyDescent="0.3">
      <c r="A359">
        <v>106</v>
      </c>
      <c r="B359" t="s">
        <v>1420</v>
      </c>
      <c r="C359" t="s">
        <v>516</v>
      </c>
      <c r="D359" s="7">
        <f>IFERROR(VLOOKUP(Table2[[#This Row],[tune_meter]],Table1[#All],3,FALSE),"NONE")</f>
        <v>16</v>
      </c>
      <c r="F359" t="s">
        <v>324</v>
      </c>
      <c r="G359" t="str">
        <f>IF(Table2[[#This Row],[tune_book]]="LFTBs","Red Book","Green Book")</f>
        <v>Green Book</v>
      </c>
      <c r="H359" t="s">
        <v>2716</v>
      </c>
      <c r="I359" t="s">
        <v>1421</v>
      </c>
      <c r="J359" t="str">
        <f>Table2[[#This Row],[file_name]]&amp;".mp3"</f>
        <v>106g.mid.mp3</v>
      </c>
      <c r="M359">
        <v>427</v>
      </c>
      <c r="N3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--song="Keble (L.M.)" --artist="Dr. J. B. Dykes" --comment="" --album="Green Book" --track="106" 106g.mid.mp3</v>
      </c>
      <c r="P359" s="4" t="e">
        <f ca="1">VLOOKUP(Table2[[#This Row],[mp3_file]],Table3[#All],3,FALSE)</f>
        <v>#NAME?</v>
      </c>
    </row>
    <row r="360" spans="1:16" x14ac:dyDescent="0.3">
      <c r="A360">
        <v>107</v>
      </c>
      <c r="B360" t="s">
        <v>852</v>
      </c>
      <c r="C360" t="s">
        <v>467</v>
      </c>
      <c r="D360" s="7">
        <f>IFERROR(VLOOKUP(Table2[[#This Row],[tune_meter]],Table1[#All],3,FALSE),"NONE")</f>
        <v>34</v>
      </c>
      <c r="F360" t="s">
        <v>459</v>
      </c>
      <c r="G360" t="str">
        <f>IF(Table2[[#This Row],[tune_book]]="LFTBs","Red Book","Green Book")</f>
        <v>Red Book</v>
      </c>
      <c r="H360" t="s">
        <v>367</v>
      </c>
      <c r="I360" t="s">
        <v>853</v>
      </c>
      <c r="J360" t="str">
        <f>Table2[[#This Row],[file_name]]&amp;".mp3"</f>
        <v>107r.mid.mp3</v>
      </c>
      <c r="M360">
        <v>192</v>
      </c>
      <c r="N3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--song="Kelvin (7.6.7.6.7.6.7.6.)" --artist="Gordon Millar" --comment="" --album="Red Book" --track="107" 107r.mid.mp3</v>
      </c>
      <c r="P360" s="4" t="e">
        <f ca="1">VLOOKUP(Table2[[#This Row],[mp3_file]],Table3[#All],3,FALSE)</f>
        <v>#NAME?</v>
      </c>
    </row>
    <row r="361" spans="1:16" x14ac:dyDescent="0.3">
      <c r="A361">
        <v>114</v>
      </c>
      <c r="B361" t="s">
        <v>854</v>
      </c>
      <c r="C361" t="s">
        <v>786</v>
      </c>
      <c r="D361" s="7">
        <f>IFERROR(VLOOKUP(Table2[[#This Row],[tune_meter]],Table1[#All],3,FALSE),"NONE")</f>
        <v>29</v>
      </c>
      <c r="F361" t="s">
        <v>459</v>
      </c>
      <c r="G361" t="str">
        <f>IF(Table2[[#This Row],[tune_book]]="LFTBs","Red Book","Green Book")</f>
        <v>Red Book</v>
      </c>
      <c r="H361" t="s">
        <v>464</v>
      </c>
      <c r="I361" t="s">
        <v>855</v>
      </c>
      <c r="J361" t="str">
        <f>Table2[[#This Row],[file_name]]&amp;".mp3"</f>
        <v>114r.mid.mp3</v>
      </c>
      <c r="M361">
        <v>193</v>
      </c>
      <c r="N3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--song="Kenaz (7.7.7.7.)" --artist="Miss E.C. Shanks" --comment="" --album="Red Book" --track="114" 114r.mid.mp3</v>
      </c>
      <c r="P361" s="4" t="e">
        <f ca="1">VLOOKUP(Table2[[#This Row],[mp3_file]],Table3[#All],3,FALSE)</f>
        <v>#NAME?</v>
      </c>
    </row>
    <row r="362" spans="1:16" x14ac:dyDescent="0.3">
      <c r="A362">
        <v>387</v>
      </c>
      <c r="B362" t="s">
        <v>1339</v>
      </c>
      <c r="C362" t="s">
        <v>476</v>
      </c>
      <c r="D362" s="7">
        <f>IFERROR(VLOOKUP(Table2[[#This Row],[tune_meter]],Table1[#All],3,FALSE),"NONE")</f>
        <v>25</v>
      </c>
      <c r="F362" t="s">
        <v>324</v>
      </c>
      <c r="G362" t="str">
        <f>IF(Table2[[#This Row],[tune_book]]="LFTBs","Red Book","Green Book")</f>
        <v>Green Book</v>
      </c>
      <c r="H362" t="s">
        <v>344</v>
      </c>
      <c r="I362" t="s">
        <v>1340</v>
      </c>
      <c r="J362" t="str">
        <f>Table2[[#This Row],[file_name]]&amp;".mp3"</f>
        <v>387g.mid.mp3</v>
      </c>
      <c r="M362">
        <v>391</v>
      </c>
      <c r="N3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--song="Kenelgin (8.7.8.7.8.7.8.7.)" --artist="Unknown" --comment="" --album="Green Book" --track="387" 387g.mid.mp3</v>
      </c>
      <c r="P362" s="4" t="e">
        <f ca="1">VLOOKUP(Table2[[#This Row],[mp3_file]],Table3[#All],3,FALSE)</f>
        <v>#NAME?</v>
      </c>
    </row>
    <row r="363" spans="1:16" x14ac:dyDescent="0.3">
      <c r="A363">
        <v>358</v>
      </c>
      <c r="B363" t="s">
        <v>1334</v>
      </c>
      <c r="C363" t="s">
        <v>470</v>
      </c>
      <c r="D363" s="7">
        <f>IFERROR(VLOOKUP(Table2[[#This Row],[tune_meter]],Table1[#All],3,FALSE),"NONE")</f>
        <v>50</v>
      </c>
      <c r="F363" t="s">
        <v>324</v>
      </c>
      <c r="G363" t="str">
        <f>IF(Table2[[#This Row],[tune_book]]="LFTBs","Red Book","Green Book")</f>
        <v>Green Book</v>
      </c>
      <c r="H363" t="s">
        <v>1335</v>
      </c>
      <c r="I363" t="s">
        <v>1336</v>
      </c>
      <c r="J363" t="str">
        <f>Table2[[#This Row],[file_name]]&amp;".mp3"</f>
        <v>358g.mid.mp3</v>
      </c>
      <c r="M363">
        <v>389</v>
      </c>
      <c r="N3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--song="Kensington New (8.7.8.7.4.7.)" --artist="J. Tilleard" --comment="" --album="Green Book" --track="358" 358g.mid.mp3</v>
      </c>
      <c r="P363" s="4" t="e">
        <f ca="1">VLOOKUP(Table2[[#This Row],[mp3_file]],Table3[#All],3,FALSE)</f>
        <v>#NAME?</v>
      </c>
    </row>
    <row r="364" spans="1:16" x14ac:dyDescent="0.3">
      <c r="A364">
        <v>179</v>
      </c>
      <c r="B364" t="s">
        <v>856</v>
      </c>
      <c r="C364" t="s">
        <v>498</v>
      </c>
      <c r="D364" s="7">
        <f>IFERROR(VLOOKUP(Table2[[#This Row],[tune_meter]],Table1[#All],3,FALSE),"NONE")</f>
        <v>77</v>
      </c>
      <c r="F364" t="s">
        <v>459</v>
      </c>
      <c r="G364" t="str">
        <f>IF(Table2[[#This Row],[tune_book]]="LFTBs","Red Book","Green Book")</f>
        <v>Red Book</v>
      </c>
      <c r="H364" t="s">
        <v>857</v>
      </c>
      <c r="I364" t="s">
        <v>858</v>
      </c>
      <c r="J364" t="str">
        <f>Table2[[#This Row],[file_name]]&amp;".mp3"</f>
        <v>179r.mid.mp3</v>
      </c>
      <c r="M364">
        <v>194</v>
      </c>
      <c r="N3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--song="Keturah (8.7.8.7.7.7.)" --artist="Miss A.H. Lee" --comment="" --album="Red Book" --track="179" 179r.mid.mp3</v>
      </c>
      <c r="P364" s="4" t="e">
        <f ca="1">VLOOKUP(Table2[[#This Row],[mp3_file]],Table3[#All],3,FALSE)</f>
        <v>#NAME?</v>
      </c>
    </row>
    <row r="365" spans="1:16" x14ac:dyDescent="0.3">
      <c r="A365">
        <v>33</v>
      </c>
      <c r="B365" t="s">
        <v>1656</v>
      </c>
      <c r="C365" t="s">
        <v>486</v>
      </c>
      <c r="D365" s="7">
        <f>IFERROR(VLOOKUP(Table2[[#This Row],[tune_meter]],Table1[#All],3,FALSE),"NONE")</f>
        <v>19</v>
      </c>
      <c r="F365" t="s">
        <v>324</v>
      </c>
      <c r="G365" t="str">
        <f>IF(Table2[[#This Row],[tune_book]]="LFTBs","Red Book","Green Book")</f>
        <v>Green Book</v>
      </c>
      <c r="H365" t="s">
        <v>1657</v>
      </c>
      <c r="I365" t="s">
        <v>1658</v>
      </c>
      <c r="J365" t="str">
        <f>Table2[[#This Row],[file_name]]&amp;".mp3"</f>
        <v>33g.mid.mp3</v>
      </c>
      <c r="M365">
        <v>529</v>
      </c>
      <c r="N3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--song="Kilmarnock (C.M.)" --artist="Niel Dougall" --comment="" --album="Green Book" --track="33" 33g.mid.mp3</v>
      </c>
      <c r="P365" s="4" t="e">
        <f ca="1">VLOOKUP(Table2[[#This Row],[mp3_file]],Table3[#All],3,FALSE)</f>
        <v>#NAME?</v>
      </c>
    </row>
    <row r="366" spans="1:16" x14ac:dyDescent="0.3">
      <c r="A366">
        <v>226</v>
      </c>
      <c r="B366" t="s">
        <v>859</v>
      </c>
      <c r="C366" t="s">
        <v>492</v>
      </c>
      <c r="D366" s="7">
        <f>IFERROR(VLOOKUP(Table2[[#This Row],[tune_meter]],Table1[#All],3,FALSE),"NONE")</f>
        <v>35</v>
      </c>
      <c r="F366" t="s">
        <v>459</v>
      </c>
      <c r="G366" t="str">
        <f>IF(Table2[[#This Row],[tune_book]]="LFTBs","Red Book","Green Book")</f>
        <v>Red Book</v>
      </c>
      <c r="H366" t="s">
        <v>585</v>
      </c>
      <c r="I366" t="s">
        <v>860</v>
      </c>
      <c r="J366" t="str">
        <f>Table2[[#This Row],[file_name]]&amp;".mp3"</f>
        <v>226r.mid.mp3</v>
      </c>
      <c r="M366">
        <v>195</v>
      </c>
      <c r="N3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--song="Kingsthorpe (9.8.9.8.)" --artist="Eric Burgess" --comment="" --album="Red Book" --track="226" 226r.mid.mp3</v>
      </c>
      <c r="P366" s="4" t="e">
        <f ca="1">VLOOKUP(Table2[[#This Row],[mp3_file]],Table3[#All],3,FALSE)</f>
        <v>#NAME?</v>
      </c>
    </row>
    <row r="367" spans="1:16" x14ac:dyDescent="0.3">
      <c r="A367">
        <v>217</v>
      </c>
      <c r="B367" t="s">
        <v>1277</v>
      </c>
      <c r="C367" t="s">
        <v>886</v>
      </c>
      <c r="D367" s="7">
        <f>IFERROR(VLOOKUP(Table2[[#This Row],[tune_meter]],Table1[#All],3,FALSE),"NONE")</f>
        <v>41</v>
      </c>
      <c r="F367" t="s">
        <v>324</v>
      </c>
      <c r="G367" t="str">
        <f>IF(Table2[[#This Row],[tune_book]]="LFTBs","Red Book","Green Book")</f>
        <v>Green Book</v>
      </c>
      <c r="H367" t="s">
        <v>2856</v>
      </c>
      <c r="I367" t="s">
        <v>1278</v>
      </c>
      <c r="J367" t="str">
        <f>Table2[[#This Row],[file_name]]&amp;".mp3"</f>
        <v>217g.mid.mp3</v>
      </c>
      <c r="M367">
        <v>365</v>
      </c>
      <c r="N3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--song="Kocher (7.6.7.6.)" --artist="J. H. Knecht" --comment="" --album="Green Book" --track="217" 217g.mid.mp3</v>
      </c>
      <c r="P367" s="4" t="e">
        <f ca="1">VLOOKUP(Table2[[#This Row],[mp3_file]],Table3[#All],3,FALSE)</f>
        <v>#NAME?</v>
      </c>
    </row>
    <row r="368" spans="1:16" x14ac:dyDescent="0.3">
      <c r="A368">
        <v>456</v>
      </c>
      <c r="B368" t="s">
        <v>2084</v>
      </c>
      <c r="C368" t="s">
        <v>424</v>
      </c>
      <c r="D368" s="7">
        <f>IFERROR(VLOOKUP(Table2[[#This Row],[tune_meter]],Table1[#All],3,FALSE),"NONE")</f>
        <v>45</v>
      </c>
      <c r="F368" t="s">
        <v>324</v>
      </c>
      <c r="G368" t="str">
        <f>IF(Table2[[#This Row],[tune_book]]="LFTBs","Red Book","Green Book")</f>
        <v>Green Book</v>
      </c>
      <c r="H368" t="s">
        <v>2782</v>
      </c>
      <c r="I368" t="s">
        <v>2085</v>
      </c>
      <c r="J368" t="str">
        <f>Table2[[#This Row],[file_name]]&amp;".mp3"</f>
        <v>456g.mid.mp3</v>
      </c>
      <c r="K368">
        <v>1936</v>
      </c>
      <c r="M368">
        <v>712</v>
      </c>
      <c r="N3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--song="Lamorna (10.4.10.4.10.10.)" --artist="Mrs. H. B. Cowie" --comment="" --album="Green Book" --track="456" 456g.mid.mp3</v>
      </c>
      <c r="P368" s="4" t="e">
        <f ca="1">VLOOKUP(Table2[[#This Row],[mp3_file]],Table3[#All],3,FALSE)</f>
        <v>#NAME?</v>
      </c>
    </row>
    <row r="369" spans="1:16" x14ac:dyDescent="0.3">
      <c r="A369">
        <v>248</v>
      </c>
      <c r="B369" t="s">
        <v>1520</v>
      </c>
      <c r="C369" t="s">
        <v>467</v>
      </c>
      <c r="D369" s="7">
        <f>IFERROR(VLOOKUP(Table2[[#This Row],[tune_meter]],Table1[#All],3,FALSE),"NONE")</f>
        <v>34</v>
      </c>
      <c r="F369" t="s">
        <v>324</v>
      </c>
      <c r="G369" t="str">
        <f>IF(Table2[[#This Row],[tune_book]]="LFTBs","Red Book","Green Book")</f>
        <v>Green Book</v>
      </c>
      <c r="H369" t="s">
        <v>2734</v>
      </c>
      <c r="I369" t="s">
        <v>1521</v>
      </c>
      <c r="J369" t="str">
        <f>Table2[[#This Row],[file_name]]&amp;".mp3"</f>
        <v>248g.mid.mp3</v>
      </c>
      <c r="M369">
        <v>470</v>
      </c>
      <c r="N3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--song="Lancashire (7.6.7.6.7.6.7.6.)" --artist="H. T. Smart" --comment="" --album="Green Book" --track="248" 248g.mid.mp3</v>
      </c>
      <c r="P369" s="4" t="e">
        <f ca="1">VLOOKUP(Table2[[#This Row],[mp3_file]],Table3[#All],3,FALSE)</f>
        <v>#NAME?</v>
      </c>
    </row>
    <row r="370" spans="1:16" x14ac:dyDescent="0.3">
      <c r="A370">
        <v>35</v>
      </c>
      <c r="B370" t="s">
        <v>861</v>
      </c>
      <c r="C370" t="s">
        <v>516</v>
      </c>
      <c r="D370" s="7">
        <f>IFERROR(VLOOKUP(Table2[[#This Row],[tune_meter]],Table1[#All],3,FALSE),"NONE")</f>
        <v>16</v>
      </c>
      <c r="F370" t="s">
        <v>459</v>
      </c>
      <c r="G370" t="str">
        <f>IF(Table2[[#This Row],[tune_book]]="LFTBs","Red Book","Green Book")</f>
        <v>Red Book</v>
      </c>
      <c r="H370" t="s">
        <v>502</v>
      </c>
      <c r="I370" t="s">
        <v>862</v>
      </c>
      <c r="J370" t="str">
        <f>Table2[[#This Row],[file_name]]&amp;".mp3"</f>
        <v>35r.mid.mp3</v>
      </c>
      <c r="M370">
        <v>196</v>
      </c>
      <c r="N3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--song="Lasus (L.M.)" --artist="Dr. A.H. Mann" --comment="" --album="Red Book" --track="35" 35r.mid.mp3</v>
      </c>
      <c r="P370" s="4" t="e">
        <f ca="1">VLOOKUP(Table2[[#This Row],[mp3_file]],Table3[#All],3,FALSE)</f>
        <v>#NAME?</v>
      </c>
    </row>
    <row r="371" spans="1:16" x14ac:dyDescent="0.3">
      <c r="A371">
        <v>173</v>
      </c>
      <c r="B371" t="s">
        <v>1473</v>
      </c>
      <c r="C371" t="s">
        <v>360</v>
      </c>
      <c r="D371" s="7">
        <f>IFERROR(VLOOKUP(Table2[[#This Row],[tune_meter]],Table1[#All],3,FALSE),"NONE")</f>
        <v>32</v>
      </c>
      <c r="F371" t="s">
        <v>324</v>
      </c>
      <c r="G371" t="str">
        <f>IF(Table2[[#This Row],[tune_book]]="LFTBs","Red Book","Green Book")</f>
        <v>Green Book</v>
      </c>
      <c r="H371" t="s">
        <v>2857</v>
      </c>
      <c r="I371" t="s">
        <v>1474</v>
      </c>
      <c r="J371" t="str">
        <f>Table2[[#This Row],[file_name]]&amp;".mp3"</f>
        <v>173g.mid.mp3</v>
      </c>
      <c r="M371">
        <v>449</v>
      </c>
      <c r="N3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--song="Lathbury (6.4.6.4.6.4.6.4.)" --artist="W. F. Sherwin" --comment="" --album="Green Book" --track="173" 173g.mid.mp3</v>
      </c>
      <c r="P371" s="4" t="e">
        <f ca="1">VLOOKUP(Table2[[#This Row],[mp3_file]],Table3[#All],3,FALSE)</f>
        <v>#NAME?</v>
      </c>
    </row>
    <row r="372" spans="1:16" x14ac:dyDescent="0.3">
      <c r="A372">
        <v>491</v>
      </c>
      <c r="B372" t="s">
        <v>2130</v>
      </c>
      <c r="C372" t="s">
        <v>582</v>
      </c>
      <c r="D372" s="7">
        <f>IFERROR(VLOOKUP(Table2[[#This Row],[tune_meter]],Table1[#All],3,FALSE),"NONE")</f>
        <v>21</v>
      </c>
      <c r="F372" t="s">
        <v>324</v>
      </c>
      <c r="G372" t="str">
        <f>IF(Table2[[#This Row],[tune_book]]="LFTBs","Red Book","Green Book")</f>
        <v>Green Book</v>
      </c>
      <c r="H372" t="s">
        <v>1442</v>
      </c>
      <c r="I372" t="s">
        <v>2131</v>
      </c>
      <c r="J372" t="str">
        <f>Table2[[#This Row],[file_name]]&amp;".mp3"</f>
        <v>491g.mid.mp3</v>
      </c>
      <c r="M372">
        <v>734</v>
      </c>
      <c r="N3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--song="Laus Patri (10.10.10.10.)" --artist="From 'Melodies and Chants'" --comment="" --album="Green Book" --track="491" 491g.mid.mp3</v>
      </c>
      <c r="P372" s="4" t="e">
        <f ca="1">VLOOKUP(Table2[[#This Row],[mp3_file]],Table3[#All],3,FALSE)</f>
        <v>#NAME?</v>
      </c>
    </row>
    <row r="373" spans="1:16" x14ac:dyDescent="0.3">
      <c r="A373">
        <v>174</v>
      </c>
      <c r="B373" t="s">
        <v>863</v>
      </c>
      <c r="C373" t="s">
        <v>470</v>
      </c>
      <c r="D373" s="7">
        <f>IFERROR(VLOOKUP(Table2[[#This Row],[tune_meter]],Table1[#All],3,FALSE),"NONE")</f>
        <v>50</v>
      </c>
      <c r="F373" t="s">
        <v>459</v>
      </c>
      <c r="G373" t="str">
        <f>IF(Table2[[#This Row],[tune_book]]="LFTBs","Red Book","Green Book")</f>
        <v>Red Book</v>
      </c>
      <c r="H373" t="s">
        <v>842</v>
      </c>
      <c r="I373" t="s">
        <v>864</v>
      </c>
      <c r="J373" t="str">
        <f>Table2[[#This Row],[file_name]]&amp;".mp3"</f>
        <v>174r.mid.mp3</v>
      </c>
      <c r="L373" t="s">
        <v>865</v>
      </c>
      <c r="M373">
        <v>197</v>
      </c>
      <c r="N3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--song="Lavrock (8.7.8.7.4.7.)" --artist="Walter R.F. Hope" --comment="Repeat 5th line of each verse" --album="Red Book" --track="174" 174r.mid.mp3</v>
      </c>
      <c r="P373" s="4" t="e">
        <f ca="1">VLOOKUP(Table2[[#This Row],[mp3_file]],Table3[#All],3,FALSE)</f>
        <v>#NAME?</v>
      </c>
    </row>
    <row r="374" spans="1:16" x14ac:dyDescent="0.3">
      <c r="A374">
        <v>34</v>
      </c>
      <c r="B374" t="s">
        <v>1659</v>
      </c>
      <c r="C374" t="s">
        <v>486</v>
      </c>
      <c r="D374" s="7">
        <f>IFERROR(VLOOKUP(Table2[[#This Row],[tune_meter]],Table1[#All],3,FALSE),"NONE")</f>
        <v>19</v>
      </c>
      <c r="F374" t="s">
        <v>324</v>
      </c>
      <c r="G374" t="str">
        <f>IF(Table2[[#This Row],[tune_book]]="LFTBs","Red Book","Green Book")</f>
        <v>Green Book</v>
      </c>
      <c r="H374" t="s">
        <v>1660</v>
      </c>
      <c r="I374" t="s">
        <v>1661</v>
      </c>
      <c r="J374" t="str">
        <f>Table2[[#This Row],[file_name]]&amp;".mp3"</f>
        <v>34g.mid.mp3</v>
      </c>
      <c r="M374">
        <v>530</v>
      </c>
      <c r="N3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--song="Leichester (C.M.)" --artist="W. Hurst" --comment="" --album="Green Book" --track="34" 34g.mid.mp3</v>
      </c>
      <c r="P374" s="4" t="e">
        <f ca="1">VLOOKUP(Table2[[#This Row],[mp3_file]],Table3[#All],3,FALSE)</f>
        <v>#NAME?</v>
      </c>
    </row>
    <row r="375" spans="1:16" x14ac:dyDescent="0.3">
      <c r="A375">
        <v>139</v>
      </c>
      <c r="B375" t="s">
        <v>1439</v>
      </c>
      <c r="C375" t="s">
        <v>623</v>
      </c>
      <c r="D375" s="7">
        <f>IFERROR(VLOOKUP(Table2[[#This Row],[tune_meter]],Table1[#All],3,FALSE),"NONE")</f>
        <v>22</v>
      </c>
      <c r="F375" t="s">
        <v>324</v>
      </c>
      <c r="G375" t="str">
        <f>IF(Table2[[#This Row],[tune_book]]="LFTBs","Red Book","Green Book")</f>
        <v>Green Book</v>
      </c>
      <c r="H375" t="s">
        <v>761</v>
      </c>
      <c r="I375" t="s">
        <v>1440</v>
      </c>
      <c r="J375" t="str">
        <f>Table2[[#This Row],[file_name]]&amp;".mp3"</f>
        <v>139g.mid.mp3</v>
      </c>
      <c r="M375">
        <v>435</v>
      </c>
      <c r="N3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--song="Leipzig (S.M.)" --artist="R. Arras" --comment="" --album="Green Book" --track="139" 139g.mid.mp3</v>
      </c>
      <c r="P375" s="4" t="e">
        <f ca="1">VLOOKUP(Table2[[#This Row],[mp3_file]],Table3[#All],3,FALSE)</f>
        <v>#NAME?</v>
      </c>
    </row>
    <row r="376" spans="1:16" x14ac:dyDescent="0.3">
      <c r="A376">
        <v>209</v>
      </c>
      <c r="B376" t="s">
        <v>386</v>
      </c>
      <c r="C376" t="s">
        <v>387</v>
      </c>
      <c r="D376" s="7">
        <f>IFERROR(VLOOKUP(Table2[[#This Row],[tune_meter]],Table1[#All],3,FALSE),"NONE")</f>
        <v>23</v>
      </c>
      <c r="F376" t="s">
        <v>324</v>
      </c>
      <c r="G376" t="str">
        <f>IF(Table2[[#This Row],[tune_book]]="LFTBs","Red Book","Green Book")</f>
        <v>Green Book</v>
      </c>
      <c r="H376" t="s">
        <v>388</v>
      </c>
      <c r="I376" t="s">
        <v>389</v>
      </c>
      <c r="J376" t="str">
        <f>Table2[[#This Row],[file_name]]&amp;".mp3"</f>
        <v>208g.mid.mp3</v>
      </c>
      <c r="M376">
        <v>19</v>
      </c>
      <c r="N376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3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--song="Leoni (6.6.8.4.6.6.8.4.)" --artist="Hebrew Melody" --comment="" --album="Green Book" --track="209" 208g.mid.mp3</v>
      </c>
      <c r="P376" s="4" t="e">
        <f>VLOOKUP(Table2[[#This Row],[mp3_file]],Table3[#All],3,FALSE)</f>
        <v>#N/A</v>
      </c>
    </row>
    <row r="377" spans="1:16" x14ac:dyDescent="0.3">
      <c r="A377">
        <v>75</v>
      </c>
      <c r="B377" t="s">
        <v>866</v>
      </c>
      <c r="C377" t="s">
        <v>406</v>
      </c>
      <c r="D377" s="7">
        <f>IFERROR(VLOOKUP(Table2[[#This Row],[tune_meter]],Table1[#All],3,FALSE),"NONE")</f>
        <v>93</v>
      </c>
      <c r="F377" t="s">
        <v>459</v>
      </c>
      <c r="G377" t="str">
        <f>IF(Table2[[#This Row],[tune_book]]="LFTBs","Red Book","Green Book")</f>
        <v>Red Book</v>
      </c>
      <c r="H377" t="s">
        <v>867</v>
      </c>
      <c r="I377" t="s">
        <v>868</v>
      </c>
      <c r="J377" t="str">
        <f>Table2[[#This Row],[file_name]]&amp;".mp3"</f>
        <v>75r.mid.mp3</v>
      </c>
      <c r="M377">
        <v>198</v>
      </c>
      <c r="N3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--song="Light (6.6.4.6.6.6.4.)" --artist="H. Ford Benson" --comment="" --album="Red Book" --track="75" 75r.mid.mp3</v>
      </c>
      <c r="P377" s="4" t="e">
        <f ca="1">VLOOKUP(Table2[[#This Row],[mp3_file]],Table3[#All],3,FALSE)</f>
        <v>#NAME?</v>
      </c>
    </row>
    <row r="378" spans="1:16" x14ac:dyDescent="0.3">
      <c r="A378">
        <v>174</v>
      </c>
      <c r="B378" t="s">
        <v>1475</v>
      </c>
      <c r="C378" t="s">
        <v>360</v>
      </c>
      <c r="D378" s="7">
        <f>IFERROR(VLOOKUP(Table2[[#This Row],[tune_meter]],Table1[#All],3,FALSE),"NONE")</f>
        <v>32</v>
      </c>
      <c r="F378" t="s">
        <v>324</v>
      </c>
      <c r="G378" t="str">
        <f>IF(Table2[[#This Row],[tune_book]]="LFTBs","Red Book","Green Book")</f>
        <v>Green Book</v>
      </c>
      <c r="H378" t="s">
        <v>348</v>
      </c>
      <c r="I378" t="s">
        <v>1476</v>
      </c>
      <c r="J378" t="str">
        <f>Table2[[#This Row],[file_name]]&amp;".mp3"</f>
        <v>174g.mid.mp3</v>
      </c>
      <c r="M378">
        <v>450</v>
      </c>
      <c r="N3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--song="Light After Darkness (6.4.6.4.6.4.6.4.)" --artist="Ira D. Sankey" --comment="" --album="Green Book" --track="174" 174g.mid.mp3</v>
      </c>
      <c r="P378" s="4" t="e">
        <f ca="1">VLOOKUP(Table2[[#This Row],[mp3_file]],Table3[#All],3,FALSE)</f>
        <v>#NAME?</v>
      </c>
    </row>
    <row r="379" spans="1:16" x14ac:dyDescent="0.3">
      <c r="A379">
        <v>166</v>
      </c>
      <c r="B379" t="s">
        <v>390</v>
      </c>
      <c r="C379" t="s">
        <v>391</v>
      </c>
      <c r="D379" s="7">
        <f>IFERROR(VLOOKUP(Table2[[#This Row],[tune_meter]],Table1[#All],3,FALSE),"NONE")</f>
        <v>86</v>
      </c>
      <c r="F379" t="s">
        <v>324</v>
      </c>
      <c r="G379" t="str">
        <f>IF(Table2[[#This Row],[tune_book]]="LFTBs","Red Book","Green Book")</f>
        <v>Green Book</v>
      </c>
      <c r="H379" t="s">
        <v>351</v>
      </c>
      <c r="I379" t="s">
        <v>392</v>
      </c>
      <c r="J379" t="str">
        <f>Table2[[#This Row],[file_name]]&amp;".mp3"</f>
        <v>166g.mid.mp3</v>
      </c>
      <c r="M379">
        <v>20</v>
      </c>
      <c r="N3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--song="Lilies (5.4.5.4.5.4.5.4.)" --artist="C. Leflaive" --comment="" --album="Green Book" --track="166" 166g.mid.mp3</v>
      </c>
      <c r="P379" s="4" t="e">
        <f ca="1">VLOOKUP(Table2[[#This Row],[mp3_file]],Table3[#All],3,FALSE)</f>
        <v>#NAME?</v>
      </c>
    </row>
    <row r="380" spans="1:16" x14ac:dyDescent="0.3">
      <c r="A380">
        <v>64</v>
      </c>
      <c r="B380" t="s">
        <v>869</v>
      </c>
      <c r="C380" t="s">
        <v>360</v>
      </c>
      <c r="D380" s="7">
        <f>IFERROR(VLOOKUP(Table2[[#This Row],[tune_meter]],Table1[#All],3,FALSE),"NONE")</f>
        <v>32</v>
      </c>
      <c r="F380" t="s">
        <v>459</v>
      </c>
      <c r="G380" t="str">
        <f>IF(Table2[[#This Row],[tune_book]]="LFTBs","Red Book","Green Book")</f>
        <v>Red Book</v>
      </c>
      <c r="H380" t="s">
        <v>870</v>
      </c>
      <c r="I380" t="s">
        <v>871</v>
      </c>
      <c r="J380" t="str">
        <f>Table2[[#This Row],[file_name]]&amp;".mp3"</f>
        <v>64r.mid.mp3</v>
      </c>
      <c r="M380">
        <v>199</v>
      </c>
      <c r="N3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--song="Linnwood (6.4.6.4.6.4.6.4.)" --artist="Alastair Millar" --comment="" --album="Red Book" --track="64" 64r.mid.mp3</v>
      </c>
      <c r="P380" s="4" t="e">
        <f ca="1">VLOOKUP(Table2[[#This Row],[mp3_file]],Table3[#All],3,FALSE)</f>
        <v>#NAME?</v>
      </c>
    </row>
    <row r="381" spans="1:16" x14ac:dyDescent="0.3">
      <c r="A381">
        <v>46</v>
      </c>
      <c r="B381" t="s">
        <v>872</v>
      </c>
      <c r="C381" t="s">
        <v>623</v>
      </c>
      <c r="D381" s="7">
        <f>IFERROR(VLOOKUP(Table2[[#This Row],[tune_meter]],Table1[#All],3,FALSE),"NONE")</f>
        <v>22</v>
      </c>
      <c r="F381" t="s">
        <v>459</v>
      </c>
      <c r="G381" t="str">
        <f>IF(Table2[[#This Row],[tune_book]]="LFTBs","Red Book","Green Book")</f>
        <v>Red Book</v>
      </c>
      <c r="H381" t="s">
        <v>2759</v>
      </c>
      <c r="I381" t="s">
        <v>873</v>
      </c>
      <c r="J381" t="str">
        <f>Table2[[#This Row],[file_name]]&amp;".mp3"</f>
        <v>46r.mid.mp3</v>
      </c>
      <c r="K381" s="4">
        <v>1962</v>
      </c>
      <c r="M381">
        <v>200</v>
      </c>
      <c r="N3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--song="Little Langdale (S.M.)" --artist="D. Alan Clarke" --comment="" --album="Red Book" --track="46" 46r.mid.mp3</v>
      </c>
      <c r="P381" s="4" t="e">
        <f ca="1">VLOOKUP(Table2[[#This Row],[mp3_file]],Table3[#All],3,FALSE)</f>
        <v>#NAME?</v>
      </c>
    </row>
    <row r="382" spans="1:16" x14ac:dyDescent="0.3">
      <c r="A382">
        <v>349</v>
      </c>
      <c r="B382" t="s">
        <v>1327</v>
      </c>
      <c r="C382" t="s">
        <v>906</v>
      </c>
      <c r="D382" s="7">
        <f>IFERROR(VLOOKUP(Table2[[#This Row],[tune_meter]],Table1[#All],3,FALSE),"NONE")</f>
        <v>80</v>
      </c>
      <c r="F382" t="s">
        <v>324</v>
      </c>
      <c r="G382" t="str">
        <f>IF(Table2[[#This Row],[tune_book]]="LFTBs","Red Book","Green Book")</f>
        <v>Green Book</v>
      </c>
      <c r="H382" t="s">
        <v>2728</v>
      </c>
      <c r="I382" t="s">
        <v>1328</v>
      </c>
      <c r="J382" t="str">
        <f>Table2[[#This Row],[file_name]]&amp;".mp3"</f>
        <v>349g.mid.mp3</v>
      </c>
      <c r="K382">
        <v>1953</v>
      </c>
      <c r="M382">
        <v>386</v>
      </c>
      <c r="N3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--song="Living Spring (8.7.8.7. Dactylic)" --artist="Miss E. C. Shanks" --comment="" --album="Green Book" --track="349" 349g.mid.mp3</v>
      </c>
      <c r="P382" s="4" t="e">
        <f ca="1">VLOOKUP(Table2[[#This Row],[mp3_file]],Table3[#All],3,FALSE)</f>
        <v>#NAME?</v>
      </c>
    </row>
    <row r="383" spans="1:16" x14ac:dyDescent="0.3">
      <c r="A383">
        <v>36</v>
      </c>
      <c r="B383" t="s">
        <v>874</v>
      </c>
      <c r="C383" t="s">
        <v>516</v>
      </c>
      <c r="D383" s="7">
        <f>IFERROR(VLOOKUP(Table2[[#This Row],[tune_meter]],Table1[#All],3,FALSE),"NONE")</f>
        <v>16</v>
      </c>
      <c r="F383" t="s">
        <v>459</v>
      </c>
      <c r="G383" t="str">
        <f>IF(Table2[[#This Row],[tune_book]]="LFTBs","Red Book","Green Book")</f>
        <v>Red Book</v>
      </c>
      <c r="H383" t="s">
        <v>875</v>
      </c>
      <c r="I383" t="s">
        <v>876</v>
      </c>
      <c r="J383" t="str">
        <f>Table2[[#This Row],[file_name]]&amp;".mp3"</f>
        <v>36r.mid.mp3</v>
      </c>
      <c r="M383">
        <v>201</v>
      </c>
      <c r="N3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--song="Llef (L.M.)" --artist="Griffiths H. Jones" --comment="" --album="Red Book" --track="36" 36r.mid.mp3</v>
      </c>
      <c r="P383" s="4" t="e">
        <f ca="1">VLOOKUP(Table2[[#This Row],[mp3_file]],Table3[#All],3,FALSE)</f>
        <v>#NAME?</v>
      </c>
    </row>
    <row r="384" spans="1:16" x14ac:dyDescent="0.3">
      <c r="A384">
        <v>35</v>
      </c>
      <c r="B384" t="s">
        <v>1759</v>
      </c>
      <c r="C384" t="s">
        <v>486</v>
      </c>
      <c r="D384" s="7">
        <f>IFERROR(VLOOKUP(Table2[[#This Row],[tune_meter]],Table1[#All],3,FALSE),"NONE")</f>
        <v>19</v>
      </c>
      <c r="F384" t="s">
        <v>324</v>
      </c>
      <c r="G384" t="str">
        <f>IF(Table2[[#This Row],[tune_book]]="LFTBs","Red Book","Green Book")</f>
        <v>Green Book</v>
      </c>
      <c r="H384" t="s">
        <v>2858</v>
      </c>
      <c r="I384" t="s">
        <v>1760</v>
      </c>
      <c r="J384" t="str">
        <f>Table2[[#This Row],[file_name]]&amp;".mp3"</f>
        <v>35g.mid.mp3</v>
      </c>
      <c r="M384">
        <v>573</v>
      </c>
      <c r="N3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--song="Lloyd (C.M.)" --artist="C. Howard" --comment="" --album="Green Book" --track="35" 35g.mid.mp3</v>
      </c>
      <c r="P384" s="4" t="e">
        <f ca="1">VLOOKUP(Table2[[#This Row],[mp3_file]],Table3[#All],3,FALSE)</f>
        <v>#NAME?</v>
      </c>
    </row>
    <row r="385" spans="1:16" x14ac:dyDescent="0.3">
      <c r="A385">
        <v>234</v>
      </c>
      <c r="B385" t="s">
        <v>877</v>
      </c>
      <c r="C385" t="s">
        <v>878</v>
      </c>
      <c r="D385" s="7">
        <f>IFERROR(VLOOKUP(Table2[[#This Row],[tune_meter]],Table1[#All],3,FALSE),"NONE")</f>
        <v>59</v>
      </c>
      <c r="F385" t="s">
        <v>459</v>
      </c>
      <c r="G385" t="str">
        <f>IF(Table2[[#This Row],[tune_book]]="LFTBs","Red Book","Green Book")</f>
        <v>Red Book</v>
      </c>
      <c r="H385" t="s">
        <v>384</v>
      </c>
      <c r="I385" t="s">
        <v>879</v>
      </c>
      <c r="J385" t="str">
        <f>Table2[[#This Row],[file_name]]&amp;".mp3"</f>
        <v>234r.mid.mp3</v>
      </c>
      <c r="M385">
        <v>202</v>
      </c>
      <c r="N3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--song="Logos (9.8.9.8.9.8.9.8.)" --artist="E. Carren" --comment="" --album="Red Book" --track="234" 234r.mid.mp3</v>
      </c>
      <c r="P385" s="4" t="e">
        <f ca="1">VLOOKUP(Table2[[#This Row],[mp3_file]],Table3[#All],3,FALSE)</f>
        <v>#NAME?</v>
      </c>
    </row>
    <row r="386" spans="1:16" x14ac:dyDescent="0.3">
      <c r="A386">
        <v>535</v>
      </c>
      <c r="B386" t="s">
        <v>1731</v>
      </c>
      <c r="C386" t="s">
        <v>669</v>
      </c>
      <c r="D386" s="7">
        <f>IFERROR(VLOOKUP(Table2[[#This Row],[tune_meter]],Table1[#All],3,FALSE),"NONE")</f>
        <v>31</v>
      </c>
      <c r="F386" t="s">
        <v>324</v>
      </c>
      <c r="G386" t="str">
        <f>IF(Table2[[#This Row],[tune_book]]="LFTBs","Red Book","Green Book")</f>
        <v>Green Book</v>
      </c>
      <c r="H386" t="s">
        <v>2718</v>
      </c>
      <c r="I386" t="s">
        <v>1732</v>
      </c>
      <c r="J386" t="str">
        <f>Table2[[#This Row],[file_name]]&amp;".mp3"</f>
        <v>535g.mid.mp3</v>
      </c>
      <c r="M386">
        <v>561</v>
      </c>
      <c r="N3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--song="Longstaff (11.11.11.11.)" --artist="G. C. Stebbins" --comment="" --album="Green Book" --track="535" 535g.mid.mp3</v>
      </c>
      <c r="P386" s="4" t="e">
        <f ca="1">VLOOKUP(Table2[[#This Row],[mp3_file]],Table3[#All],3,FALSE)</f>
        <v>#NAME?</v>
      </c>
    </row>
    <row r="387" spans="1:16" x14ac:dyDescent="0.3">
      <c r="A387">
        <v>540</v>
      </c>
      <c r="B387" t="s">
        <v>2166</v>
      </c>
      <c r="C387" t="s">
        <v>509</v>
      </c>
      <c r="D387" s="7">
        <f>IFERROR(VLOOKUP(Table2[[#This Row],[tune_meter]],Table1[#All],3,FALSE),"NONE")</f>
        <v>64</v>
      </c>
      <c r="F387" t="s">
        <v>324</v>
      </c>
      <c r="G387" t="str">
        <f>IF(Table2[[#This Row],[tune_book]]="LFTBs","Red Book","Green Book")</f>
        <v>Green Book</v>
      </c>
      <c r="H387" t="s">
        <v>2724</v>
      </c>
      <c r="I387" t="s">
        <v>2167</v>
      </c>
      <c r="J387" t="str">
        <f>Table2[[#This Row],[file_name]]&amp;".mp3"</f>
        <v>540g.mid.mp3</v>
      </c>
      <c r="M387">
        <v>751</v>
      </c>
      <c r="N3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--song="Look Away To Jesus (11.11.11.11. Trochaic)" --artist="P. P. Bliss" --comment="" --album="Green Book" --track="540" 540g.mid.mp3</v>
      </c>
      <c r="P387" s="4" t="e">
        <f ca="1">VLOOKUP(Table2[[#This Row],[mp3_file]],Table3[#All],3,FALSE)</f>
        <v>#NAME?</v>
      </c>
    </row>
    <row r="388" spans="1:16" x14ac:dyDescent="0.3">
      <c r="A388">
        <v>162</v>
      </c>
      <c r="B388" t="s">
        <v>393</v>
      </c>
      <c r="C388" t="s">
        <v>394</v>
      </c>
      <c r="D388" s="7">
        <f>IFERROR(VLOOKUP(Table2[[#This Row],[tune_meter]],Table1[#All],3,FALSE),"NONE")</f>
        <v>74</v>
      </c>
      <c r="F388" t="s">
        <v>324</v>
      </c>
      <c r="G388" t="str">
        <f>IF(Table2[[#This Row],[tune_book]]="LFTBs","Red Book","Green Book")</f>
        <v>Green Book</v>
      </c>
      <c r="H388" t="s">
        <v>344</v>
      </c>
      <c r="I388" t="s">
        <v>395</v>
      </c>
      <c r="J388" t="str">
        <f>Table2[[#This Row],[file_name]]&amp;".mp3"</f>
        <v>162g.mid.mp3</v>
      </c>
      <c r="M388">
        <v>21</v>
      </c>
      <c r="N3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--song="Lord Jesus Come (4.6.8.8.4.)" --artist="Unknown" --comment="" --album="Green Book" --track="162" 162g.mid.mp3</v>
      </c>
      <c r="P388" s="4" t="e">
        <f ca="1">VLOOKUP(Table2[[#This Row],[mp3_file]],Table3[#All],3,FALSE)</f>
        <v>#NAME?</v>
      </c>
    </row>
    <row r="389" spans="1:16" x14ac:dyDescent="0.3">
      <c r="A389">
        <v>369</v>
      </c>
      <c r="B389" t="s">
        <v>1618</v>
      </c>
      <c r="C389" t="s">
        <v>498</v>
      </c>
      <c r="D389" s="7">
        <f>IFERROR(VLOOKUP(Table2[[#This Row],[tune_meter]],Table1[#All],3,FALSE),"NONE")</f>
        <v>77</v>
      </c>
      <c r="F389" t="s">
        <v>324</v>
      </c>
      <c r="G389" t="str">
        <f>IF(Table2[[#This Row],[tune_book]]="LFTBs","Red Book","Green Book")</f>
        <v>Green Book</v>
      </c>
      <c r="H389" t="s">
        <v>2859</v>
      </c>
      <c r="I389" t="s">
        <v>1619</v>
      </c>
      <c r="J389" t="str">
        <f>Table2[[#This Row],[file_name]]&amp;".mp3"</f>
        <v>369g.mid.mp3</v>
      </c>
      <c r="L389" t="s">
        <v>1620</v>
      </c>
      <c r="M389">
        <v>512</v>
      </c>
      <c r="N3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--song="Lord of Glory (8.7.8.7.7.7.)" --artist="Miss. S. M. Walker" --comment="From 'Precious Saviour'" --album="Green Book" --track="369" 369g.mid.mp3</v>
      </c>
      <c r="P389" s="4" t="e">
        <f ca="1">VLOOKUP(Table2[[#This Row],[mp3_file]],Table3[#All],3,FALSE)</f>
        <v>#NAME?</v>
      </c>
    </row>
    <row r="390" spans="1:16" x14ac:dyDescent="0.3">
      <c r="A390">
        <v>249</v>
      </c>
      <c r="B390" t="s">
        <v>1907</v>
      </c>
      <c r="C390" t="s">
        <v>467</v>
      </c>
      <c r="D390" s="7">
        <f>IFERROR(VLOOKUP(Table2[[#This Row],[tune_meter]],Table1[#All],3,FALSE),"NONE")</f>
        <v>34</v>
      </c>
      <c r="F390" t="s">
        <v>324</v>
      </c>
      <c r="G390" t="str">
        <f>IF(Table2[[#This Row],[tune_book]]="LFTBs","Red Book","Green Book")</f>
        <v>Green Book</v>
      </c>
      <c r="H390" t="s">
        <v>1908</v>
      </c>
      <c r="I390" t="s">
        <v>1909</v>
      </c>
      <c r="J390" t="str">
        <f>Table2[[#This Row],[file_name]]&amp;".mp3"</f>
        <v>249g.mid.mp3</v>
      </c>
      <c r="M390">
        <v>634</v>
      </c>
      <c r="N3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--song="Lorraine (7.6.7.6.7.6.7.6.)" --artist="Mrs. F. Houghton" --comment="" --album="Green Book" --track="249" 249g.mid.mp3</v>
      </c>
      <c r="P390" s="4" t="e">
        <f ca="1">VLOOKUP(Table2[[#This Row],[mp3_file]],Table3[#All],3,FALSE)</f>
        <v>#NAME?</v>
      </c>
    </row>
    <row r="391" spans="1:16" x14ac:dyDescent="0.3">
      <c r="A391">
        <v>327</v>
      </c>
      <c r="B391" t="s">
        <v>2860</v>
      </c>
      <c r="C391" t="s">
        <v>370</v>
      </c>
      <c r="D391" s="7">
        <f>IFERROR(VLOOKUP(Table2[[#This Row],[tune_meter]],Table1[#All],3,FALSE),"NONE")</f>
        <v>24</v>
      </c>
      <c r="F391" t="s">
        <v>324</v>
      </c>
      <c r="G391" t="str">
        <f>IF(Table2[[#This Row],[tune_book]]="LFTBs","Red Book","Green Book")</f>
        <v>Green Book</v>
      </c>
      <c r="H391" t="s">
        <v>541</v>
      </c>
      <c r="I391" t="s">
        <v>1588</v>
      </c>
      <c r="J391" t="str">
        <f>Table2[[#This Row],[file_name]]&amp;".mp3"</f>
        <v>327g.mid.mp3</v>
      </c>
      <c r="M391">
        <v>499</v>
      </c>
      <c r="N3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--song="Love Divine (Stainer) (8.7.8.7.)" --artist="Sir John Stainer" --comment="" --album="Green Book" --track="327" 327g.mid.mp3</v>
      </c>
      <c r="P391" s="4" t="e">
        <f ca="1">VLOOKUP(Table2[[#This Row],[mp3_file]],Table3[#All],3,FALSE)</f>
        <v>#NAME?</v>
      </c>
    </row>
    <row r="392" spans="1:16" x14ac:dyDescent="0.3">
      <c r="A392">
        <v>388</v>
      </c>
      <c r="B392" t="s">
        <v>2861</v>
      </c>
      <c r="C392" t="s">
        <v>476</v>
      </c>
      <c r="D392" s="7">
        <f>IFERROR(VLOOKUP(Table2[[#This Row],[tune_meter]],Table1[#All],3,FALSE),"NONE")</f>
        <v>25</v>
      </c>
      <c r="F392" t="s">
        <v>324</v>
      </c>
      <c r="G392" t="str">
        <f>IF(Table2[[#This Row],[tune_book]]="LFTBs","Red Book","Green Book")</f>
        <v>Green Book</v>
      </c>
      <c r="H392" t="s">
        <v>2005</v>
      </c>
      <c r="I392" t="s">
        <v>2006</v>
      </c>
      <c r="J392" t="str">
        <f>Table2[[#This Row],[file_name]]&amp;".mp3"</f>
        <v>388g.mid.mp3</v>
      </c>
      <c r="M392">
        <v>676</v>
      </c>
      <c r="N3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--song="Love Divine (Zundel) (8.7.8.7.8.7.8.7.)" --artist="J. Zundel" --comment="" --album="Green Book" --track="388" 388g.mid.mp3</v>
      </c>
      <c r="P392" s="4" t="e">
        <f ca="1">VLOOKUP(Table2[[#This Row],[mp3_file]],Table3[#All],3,FALSE)</f>
        <v>#NAME?</v>
      </c>
    </row>
    <row r="393" spans="1:16" x14ac:dyDescent="0.3">
      <c r="A393">
        <v>259</v>
      </c>
      <c r="B393" t="s">
        <v>880</v>
      </c>
      <c r="C393" t="s">
        <v>881</v>
      </c>
      <c r="D393" s="7">
        <f>IFERROR(VLOOKUP(Table2[[#This Row],[tune_meter]],Table1[#All],3,FALSE),"NONE")</f>
        <v>63</v>
      </c>
      <c r="F393" t="s">
        <v>459</v>
      </c>
      <c r="G393" t="str">
        <f>IF(Table2[[#This Row],[tune_book]]="LFTBs","Red Book","Green Book")</f>
        <v>Red Book</v>
      </c>
      <c r="H393" t="s">
        <v>367</v>
      </c>
      <c r="I393" t="s">
        <v>882</v>
      </c>
      <c r="J393" t="str">
        <f>Table2[[#This Row],[file_name]]&amp;".mp3"</f>
        <v>259r.mid.mp3</v>
      </c>
      <c r="K393" s="4">
        <v>1952</v>
      </c>
      <c r="M393">
        <v>203</v>
      </c>
      <c r="N3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--song="Love's Appeal (10.10.10.10. Dactylic)" --artist="Gordon Millar" --comment="" --album="Red Book" --track="259" 259r.mid.mp3</v>
      </c>
      <c r="P393" s="4" t="e">
        <f ca="1">VLOOKUP(Table2[[#This Row],[mp3_file]],Table3[#All],3,FALSE)</f>
        <v>#NAME?</v>
      </c>
    </row>
    <row r="394" spans="1:16" x14ac:dyDescent="0.3">
      <c r="A394">
        <v>246</v>
      </c>
      <c r="B394" t="s">
        <v>883</v>
      </c>
      <c r="C394" t="s">
        <v>438</v>
      </c>
      <c r="D394" s="7">
        <f>IFERROR(VLOOKUP(Table2[[#This Row],[tune_meter]],Table1[#All],3,FALSE),"NONE")</f>
        <v>18</v>
      </c>
      <c r="F394" t="s">
        <v>459</v>
      </c>
      <c r="G394" t="str">
        <f>IF(Table2[[#This Row],[tune_book]]="LFTBs","Red Book","Green Book")</f>
        <v>Red Book</v>
      </c>
      <c r="H394" t="s">
        <v>745</v>
      </c>
      <c r="I394" t="s">
        <v>884</v>
      </c>
      <c r="J394" t="str">
        <f>Table2[[#This Row],[file_name]]&amp;".mp3"</f>
        <v>246r.mid.mp3</v>
      </c>
      <c r="M394">
        <v>204</v>
      </c>
      <c r="N3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--song="Love's Return (10.10.4.10.10.4.)" --artist="P.S. Pope" --comment="" --album="Red Book" --track="246" 246r.mid.mp3</v>
      </c>
      <c r="P394" s="4" t="e">
        <f ca="1">VLOOKUP(Table2[[#This Row],[mp3_file]],Table3[#All],3,FALSE)</f>
        <v>#NAME?</v>
      </c>
    </row>
    <row r="395" spans="1:16" x14ac:dyDescent="0.3">
      <c r="A395">
        <v>178</v>
      </c>
      <c r="B395" t="s">
        <v>1266</v>
      </c>
      <c r="C395" t="s">
        <v>446</v>
      </c>
      <c r="D395" s="7">
        <f>IFERROR(VLOOKUP(Table2[[#This Row],[tune_meter]],Table1[#All],3,FALSE),"NONE")</f>
        <v>44</v>
      </c>
      <c r="F395" t="s">
        <v>324</v>
      </c>
      <c r="G395" t="str">
        <f>IF(Table2[[#This Row],[tune_book]]="LFTBs","Red Book","Green Book")</f>
        <v>Green Book</v>
      </c>
      <c r="H395" t="s">
        <v>1267</v>
      </c>
      <c r="I395" t="s">
        <v>1268</v>
      </c>
      <c r="J395" t="str">
        <f>Table2[[#This Row],[file_name]]&amp;".mp3"</f>
        <v>178g.mid.mp3</v>
      </c>
      <c r="M395">
        <v>360</v>
      </c>
      <c r="N3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--song="Lowry (6.4.6.4.6.6.6.4.)" --artist="R. Lowry" --comment="" --album="Green Book" --track="178" 178g.mid.mp3</v>
      </c>
      <c r="P395" s="4" t="e">
        <f ca="1">VLOOKUP(Table2[[#This Row],[mp3_file]],Table3[#All],3,FALSE)</f>
        <v>#NAME?</v>
      </c>
    </row>
    <row r="396" spans="1:16" x14ac:dyDescent="0.3">
      <c r="A396">
        <v>371</v>
      </c>
      <c r="B396" t="s">
        <v>396</v>
      </c>
      <c r="C396" t="s">
        <v>376</v>
      </c>
      <c r="D396" s="7">
        <f>IFERROR(VLOOKUP(Table2[[#This Row],[tune_meter]],Table1[#All],3,FALSE),"NONE")</f>
        <v>49</v>
      </c>
      <c r="F396" t="s">
        <v>324</v>
      </c>
      <c r="G396" t="str">
        <f>IF(Table2[[#This Row],[tune_book]]="LFTBs","Red Book","Green Book")</f>
        <v>Green Book</v>
      </c>
      <c r="H396" t="s">
        <v>397</v>
      </c>
      <c r="I396" t="s">
        <v>398</v>
      </c>
      <c r="J396" t="str">
        <f>Table2[[#This Row],[file_name]]&amp;".mp3"</f>
        <v>371g.mid.mp3</v>
      </c>
      <c r="M396">
        <v>22</v>
      </c>
      <c r="N3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--song="Luther (8.7.8.7.8.7.7.)" --artist="Martin Luther" --comment="" --album="Green Book" --track="371" 371g.mid.mp3</v>
      </c>
      <c r="P396" s="4" t="e">
        <f ca="1">VLOOKUP(Table2[[#This Row],[mp3_file]],Table3[#All],3,FALSE)</f>
        <v>#NAME?</v>
      </c>
    </row>
    <row r="397" spans="1:16" x14ac:dyDescent="0.3">
      <c r="A397">
        <v>107</v>
      </c>
      <c r="B397" t="s">
        <v>1422</v>
      </c>
      <c r="C397" t="s">
        <v>516</v>
      </c>
      <c r="D397" s="7">
        <f>IFERROR(VLOOKUP(Table2[[#This Row],[tune_meter]],Table1[#All],3,FALSE),"NONE")</f>
        <v>16</v>
      </c>
      <c r="F397" t="s">
        <v>324</v>
      </c>
      <c r="G397" t="str">
        <f>IF(Table2[[#This Row],[tune_book]]="LFTBs","Red Book","Green Book")</f>
        <v>Green Book</v>
      </c>
      <c r="H397" t="s">
        <v>397</v>
      </c>
      <c r="I397" t="s">
        <v>1423</v>
      </c>
      <c r="J397" t="str">
        <f>Table2[[#This Row],[file_name]]&amp;".mp3"</f>
        <v>107g.mid.mp3</v>
      </c>
      <c r="M397">
        <v>428</v>
      </c>
      <c r="N3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--song="Luther's Chant (L.M.)" --artist="Martin Luther" --comment="" --album="Green Book" --track="107" 107g.mid.mp3</v>
      </c>
      <c r="P397" s="4" t="e">
        <f ca="1">VLOOKUP(Table2[[#This Row],[mp3_file]],Table3[#All],3,FALSE)</f>
        <v>#NAME?</v>
      </c>
    </row>
    <row r="398" spans="1:16" x14ac:dyDescent="0.3">
      <c r="A398">
        <v>457</v>
      </c>
      <c r="B398" t="s">
        <v>2086</v>
      </c>
      <c r="C398" t="s">
        <v>424</v>
      </c>
      <c r="D398" s="7">
        <f>IFERROR(VLOOKUP(Table2[[#This Row],[tune_meter]],Table1[#All],3,FALSE),"NONE")</f>
        <v>45</v>
      </c>
      <c r="F398" t="s">
        <v>324</v>
      </c>
      <c r="G398" t="str">
        <f>IF(Table2[[#This Row],[tune_book]]="LFTBs","Red Book","Green Book")</f>
        <v>Green Book</v>
      </c>
      <c r="H398" t="s">
        <v>2716</v>
      </c>
      <c r="I398" t="s">
        <v>2087</v>
      </c>
      <c r="J398" t="str">
        <f>Table2[[#This Row],[file_name]]&amp;".mp3"</f>
        <v>457g.mid.mp3</v>
      </c>
      <c r="M398">
        <v>713</v>
      </c>
      <c r="N3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--song="Lux Benigna (10.4.10.4.10.10.)" --artist="Dr. J. B. Dykes" --comment="" --album="Green Book" --track="457" 457g.mid.mp3</v>
      </c>
      <c r="P398" s="4" t="e">
        <f ca="1">VLOOKUP(Table2[[#This Row],[mp3_file]],Table3[#All],3,FALSE)</f>
        <v>#NAME?</v>
      </c>
    </row>
    <row r="399" spans="1:16" x14ac:dyDescent="0.3">
      <c r="A399">
        <v>389</v>
      </c>
      <c r="B399" t="s">
        <v>2007</v>
      </c>
      <c r="C399" t="s">
        <v>476</v>
      </c>
      <c r="D399" s="7">
        <f>IFERROR(VLOOKUP(Table2[[#This Row],[tune_meter]],Table1[#All],3,FALSE),"NONE")</f>
        <v>25</v>
      </c>
      <c r="F399" t="s">
        <v>324</v>
      </c>
      <c r="G399" t="str">
        <f>IF(Table2[[#This Row],[tune_book]]="LFTBs","Red Book","Green Book")</f>
        <v>Green Book</v>
      </c>
      <c r="H399" t="s">
        <v>1149</v>
      </c>
      <c r="I399" t="s">
        <v>2008</v>
      </c>
      <c r="J399" t="str">
        <f>Table2[[#This Row],[file_name]]&amp;".mp3"</f>
        <v>389g.mid.mp3</v>
      </c>
      <c r="M399">
        <v>677</v>
      </c>
      <c r="N3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3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--song="Lux Eoi (8.7.8.7.8.7.8.7.)" --artist="Sir Arthur S. Sullivan" --comment="" --album="Green Book" --track="389" 389g.mid.mp3</v>
      </c>
      <c r="P399" s="4" t="e">
        <f ca="1">VLOOKUP(Table2[[#This Row],[mp3_file]],Table3[#All],3,FALSE)</f>
        <v>#NAME?</v>
      </c>
    </row>
    <row r="400" spans="1:16" x14ac:dyDescent="0.3">
      <c r="A400">
        <v>81</v>
      </c>
      <c r="B400" t="s">
        <v>1215</v>
      </c>
      <c r="C400" t="s">
        <v>578</v>
      </c>
      <c r="D400" s="7">
        <f>IFERROR(VLOOKUP(Table2[[#This Row],[tune_meter]],Table1[#All],3,FALSE),"NONE")</f>
        <v>61</v>
      </c>
      <c r="F400" t="s">
        <v>324</v>
      </c>
      <c r="G400" t="str">
        <f>IF(Table2[[#This Row],[tune_book]]="LFTBs","Red Book","Green Book")</f>
        <v>Green Book</v>
      </c>
      <c r="H400" t="s">
        <v>351</v>
      </c>
      <c r="I400" t="s">
        <v>1216</v>
      </c>
      <c r="J400" t="str">
        <f>Table2[[#This Row],[file_name]]&amp;".mp3"</f>
        <v>81g.mid.mp3</v>
      </c>
      <c r="M400">
        <v>340</v>
      </c>
      <c r="N4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--song="Lux Mundi (C.M.D.)" --artist="C. Leflaive" --comment="" --album="Green Book" --track="81" 81g.mid.mp3</v>
      </c>
      <c r="P400" s="4" t="e">
        <f ca="1">VLOOKUP(Table2[[#This Row],[mp3_file]],Table3[#All],3,FALSE)</f>
        <v>#NAME?</v>
      </c>
    </row>
    <row r="401" spans="1:16" x14ac:dyDescent="0.3">
      <c r="A401">
        <v>36</v>
      </c>
      <c r="B401" t="s">
        <v>1761</v>
      </c>
      <c r="C401" t="s">
        <v>486</v>
      </c>
      <c r="D401" s="7">
        <f>IFERROR(VLOOKUP(Table2[[#This Row],[tune_meter]],Table1[#All],3,FALSE),"NONE")</f>
        <v>19</v>
      </c>
      <c r="F401" t="s">
        <v>324</v>
      </c>
      <c r="G401" t="str">
        <f>IF(Table2[[#This Row],[tune_book]]="LFTBs","Red Book","Green Book")</f>
        <v>Green Book</v>
      </c>
      <c r="H401" t="s">
        <v>1762</v>
      </c>
      <c r="I401" t="s">
        <v>1763</v>
      </c>
      <c r="J401" t="str">
        <f>Table2[[#This Row],[file_name]]&amp;".mp3"</f>
        <v>36g.mid.mp3</v>
      </c>
      <c r="M401">
        <v>574</v>
      </c>
      <c r="N4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--song="Lydia (C.M.)" --artist="T. Philips" --comment="" --album="Green Book" --track="36" 36g.mid.mp3</v>
      </c>
      <c r="P401" s="4" t="e">
        <f ca="1">VLOOKUP(Table2[[#This Row],[mp3_file]],Table3[#All],3,FALSE)</f>
        <v>#NAME?</v>
      </c>
    </row>
    <row r="402" spans="1:16" x14ac:dyDescent="0.3">
      <c r="A402">
        <v>541</v>
      </c>
      <c r="B402" t="s">
        <v>1385</v>
      </c>
      <c r="C402" t="s">
        <v>509</v>
      </c>
      <c r="D402" s="7">
        <f>IFERROR(VLOOKUP(Table2[[#This Row],[tune_meter]],Table1[#All],3,FALSE),"NONE")</f>
        <v>64</v>
      </c>
      <c r="F402" t="s">
        <v>324</v>
      </c>
      <c r="G402" t="str">
        <f>IF(Table2[[#This Row],[tune_book]]="LFTBs","Red Book","Green Book")</f>
        <v>Green Book</v>
      </c>
      <c r="H402" t="s">
        <v>2862</v>
      </c>
      <c r="I402" t="s">
        <v>1386</v>
      </c>
      <c r="J402" t="str">
        <f>Table2[[#This Row],[file_name]]&amp;".mp3"</f>
        <v>541g.mid.mp3</v>
      </c>
      <c r="M402">
        <v>411</v>
      </c>
      <c r="N4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--song="Lyndhurst (11.11.11.11. Trochaic)" --artist="F. W. Hunt" --comment="" --album="Green Book" --track="541" 541g.mid.mp3</v>
      </c>
      <c r="P402" s="4" t="e">
        <f ca="1">VLOOKUP(Table2[[#This Row],[mp3_file]],Table3[#All],3,FALSE)</f>
        <v>#NAME?</v>
      </c>
    </row>
    <row r="403" spans="1:16" x14ac:dyDescent="0.3">
      <c r="A403">
        <v>296</v>
      </c>
      <c r="B403" t="s">
        <v>2863</v>
      </c>
      <c r="C403" t="s">
        <v>744</v>
      </c>
      <c r="D403" s="7">
        <f>IFERROR(VLOOKUP(Table2[[#This Row],[tune_meter]],Table1[#All],3,FALSE),"NONE")</f>
        <v>56</v>
      </c>
      <c r="F403" t="s">
        <v>324</v>
      </c>
      <c r="G403" t="str">
        <f>IF(Table2[[#This Row],[tune_book]]="LFTBs","Red Book","Green Book")</f>
        <v>Green Book</v>
      </c>
      <c r="H403" t="s">
        <v>1310</v>
      </c>
      <c r="I403" t="s">
        <v>1559</v>
      </c>
      <c r="J403" t="str">
        <f>Table2[[#This Row],[file_name]]&amp;".mp3"</f>
        <v>296g.mid.mp3</v>
      </c>
      <c r="M403">
        <v>486</v>
      </c>
      <c r="N4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--song="Lynton (Willey) (8.5.8.5.)" --artist="T. Willey" --comment="" --album="Green Book" --track="296" 296g.mid.mp3</v>
      </c>
      <c r="P403" s="4" t="e">
        <f ca="1">VLOOKUP(Table2[[#This Row],[mp3_file]],Table3[#All],3,FALSE)</f>
        <v>#NAME?</v>
      </c>
    </row>
    <row r="404" spans="1:16" x14ac:dyDescent="0.3">
      <c r="A404">
        <v>96</v>
      </c>
      <c r="B404" t="s">
        <v>885</v>
      </c>
      <c r="C404" t="s">
        <v>886</v>
      </c>
      <c r="D404" s="7">
        <f>IFERROR(VLOOKUP(Table2[[#This Row],[tune_meter]],Table1[#All],3,FALSE),"NONE")</f>
        <v>41</v>
      </c>
      <c r="F404" t="s">
        <v>459</v>
      </c>
      <c r="G404" t="str">
        <f>IF(Table2[[#This Row],[tune_book]]="LFTBs","Red Book","Green Book")</f>
        <v>Red Book</v>
      </c>
      <c r="H404" t="s">
        <v>333</v>
      </c>
      <c r="I404" t="s">
        <v>887</v>
      </c>
      <c r="J404" t="str">
        <f>Table2[[#This Row],[file_name]]&amp;".mp3"</f>
        <v>96r.mid.mp3</v>
      </c>
      <c r="M404">
        <v>205</v>
      </c>
      <c r="N4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--song="Magdalena (7.6.7.6.)" --artist="German Melody" --comment="" --album="Red Book" --track="96" 96r.mid.mp3</v>
      </c>
      <c r="P404" s="4" t="e">
        <f ca="1">VLOOKUP(Table2[[#This Row],[mp3_file]],Table3[#All],3,FALSE)</f>
        <v>#NAME?</v>
      </c>
    </row>
    <row r="405" spans="1:16" x14ac:dyDescent="0.3">
      <c r="A405">
        <v>108</v>
      </c>
      <c r="B405" t="s">
        <v>1424</v>
      </c>
      <c r="C405" t="s">
        <v>516</v>
      </c>
      <c r="D405" s="7">
        <f>IFERROR(VLOOKUP(Table2[[#This Row],[tune_meter]],Table1[#All],3,FALSE),"NONE")</f>
        <v>16</v>
      </c>
      <c r="F405" t="s">
        <v>324</v>
      </c>
      <c r="G405" t="str">
        <f>IF(Table2[[#This Row],[tune_book]]="LFTBs","Red Book","Green Book")</f>
        <v>Green Book</v>
      </c>
      <c r="H405" t="s">
        <v>1425</v>
      </c>
      <c r="I405" t="s">
        <v>1426</v>
      </c>
      <c r="J405" t="str">
        <f>Table2[[#This Row],[file_name]]&amp;".mp3"</f>
        <v>108g.mid.mp3</v>
      </c>
      <c r="M405">
        <v>429</v>
      </c>
      <c r="N4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--song="Mainzer (L.M.)" --artist="J. Mainzer" --comment="" --album="Green Book" --track="108" 108g.mid.mp3</v>
      </c>
      <c r="P405" s="4" t="e">
        <f ca="1">VLOOKUP(Table2[[#This Row],[mp3_file]],Table3[#All],3,FALSE)</f>
        <v>#NAME?</v>
      </c>
    </row>
    <row r="406" spans="1:16" x14ac:dyDescent="0.3">
      <c r="A406">
        <v>281</v>
      </c>
      <c r="B406" t="s">
        <v>399</v>
      </c>
      <c r="C406" t="s">
        <v>400</v>
      </c>
      <c r="D406" s="7">
        <f>IFERROR(VLOOKUP(Table2[[#This Row],[tune_meter]],Table1[#All],3,FALSE),"NONE")</f>
        <v>88</v>
      </c>
      <c r="F406" t="s">
        <v>324</v>
      </c>
      <c r="G406" t="str">
        <f>IF(Table2[[#This Row],[tune_book]]="LFTBs","Red Book","Green Book")</f>
        <v>Green Book</v>
      </c>
      <c r="H406" t="s">
        <v>381</v>
      </c>
      <c r="I406" t="s">
        <v>401</v>
      </c>
      <c r="J406" t="str">
        <f>Table2[[#This Row],[file_name]]&amp;".mp3"</f>
        <v>281g.mid.mp3</v>
      </c>
      <c r="M406">
        <v>23</v>
      </c>
      <c r="N4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--song="Man of Sorrows (7.7.7.8.)" --artist="P.P. Bliss" --comment="" --album="Green Book" --track="281" 281g.mid.mp3</v>
      </c>
      <c r="P406" s="4" t="e">
        <f ca="1">VLOOKUP(Table2[[#This Row],[mp3_file]],Table3[#All],3,FALSE)</f>
        <v>#NAME?</v>
      </c>
    </row>
    <row r="407" spans="1:16" x14ac:dyDescent="0.3">
      <c r="A407">
        <v>360</v>
      </c>
      <c r="B407" t="s">
        <v>1607</v>
      </c>
      <c r="C407" t="s">
        <v>470</v>
      </c>
      <c r="D407" s="7">
        <f>IFERROR(VLOOKUP(Table2[[#This Row],[tune_meter]],Table1[#All],3,FALSE),"NONE")</f>
        <v>50</v>
      </c>
      <c r="F407" t="s">
        <v>324</v>
      </c>
      <c r="G407" t="str">
        <f>IF(Table2[[#This Row],[tune_book]]="LFTBs","Red Book","Green Book")</f>
        <v>Green Book</v>
      </c>
      <c r="H407" t="s">
        <v>1608</v>
      </c>
      <c r="I407" t="s">
        <v>1609</v>
      </c>
      <c r="J407" t="str">
        <f>Table2[[#This Row],[file_name]]&amp;".mp3"</f>
        <v>360g.mid.mp3</v>
      </c>
      <c r="M407">
        <v>507</v>
      </c>
      <c r="N4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--song="Mannheim (8.7.8.7.4.7.)" --artist="Dr. F. Filitz" --comment="" --album="Green Book" --track="360" 360g.mid.mp3</v>
      </c>
      <c r="P407" s="4" t="e">
        <f ca="1">VLOOKUP(Table2[[#This Row],[mp3_file]],Table3[#All],3,FALSE)</f>
        <v>#NAME?</v>
      </c>
    </row>
    <row r="408" spans="1:16" x14ac:dyDescent="0.3">
      <c r="A408">
        <v>235</v>
      </c>
      <c r="B408" t="s">
        <v>888</v>
      </c>
      <c r="C408" t="s">
        <v>878</v>
      </c>
      <c r="D408" s="7">
        <f>IFERROR(VLOOKUP(Table2[[#This Row],[tune_meter]],Table1[#All],3,FALSE),"NONE")</f>
        <v>59</v>
      </c>
      <c r="F408" t="s">
        <v>459</v>
      </c>
      <c r="G408" t="str">
        <f>IF(Table2[[#This Row],[tune_book]]="LFTBs","Red Book","Green Book")</f>
        <v>Red Book</v>
      </c>
      <c r="H408" t="s">
        <v>367</v>
      </c>
      <c r="I408" t="s">
        <v>889</v>
      </c>
      <c r="J408" t="str">
        <f>Table2[[#This Row],[file_name]]&amp;".mp3"</f>
        <v>235r.mid.mp3</v>
      </c>
      <c r="M408">
        <v>206</v>
      </c>
      <c r="N4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--song="Mansewood (9.8.9.8.9.8.9.8.)" --artist="Gordon Millar" --comment="" --album="Red Book" --track="235" 235r.mid.mp3</v>
      </c>
      <c r="P408" s="4" t="e">
        <f ca="1">VLOOKUP(Table2[[#This Row],[mp3_file]],Table3[#All],3,FALSE)</f>
        <v>#NAME?</v>
      </c>
    </row>
    <row r="409" spans="1:16" x14ac:dyDescent="0.3">
      <c r="A409">
        <v>328</v>
      </c>
      <c r="B409" t="s">
        <v>1589</v>
      </c>
      <c r="C409" t="s">
        <v>370</v>
      </c>
      <c r="D409" s="7">
        <f>IFERROR(VLOOKUP(Table2[[#This Row],[tune_meter]],Table1[#All],3,FALSE),"NONE")</f>
        <v>24</v>
      </c>
      <c r="F409" t="s">
        <v>324</v>
      </c>
      <c r="G409" t="str">
        <f>IF(Table2[[#This Row],[tune_book]]="LFTBs","Red Book","Green Book")</f>
        <v>Green Book</v>
      </c>
      <c r="H409" t="s">
        <v>1590</v>
      </c>
      <c r="I409" t="s">
        <v>1591</v>
      </c>
      <c r="J409" t="str">
        <f>Table2[[#This Row],[file_name]]&amp;".mp3"</f>
        <v>328g.mid.mp3</v>
      </c>
      <c r="K409">
        <v>1876</v>
      </c>
      <c r="M409">
        <v>500</v>
      </c>
      <c r="N4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--song="Marching (8.7.8.7.)" --artist="M. Shaw" --comment="" --album="Green Book" --track="328" 328g.mid.mp3</v>
      </c>
      <c r="P409" s="4" t="e">
        <f ca="1">VLOOKUP(Table2[[#This Row],[mp3_file]],Table3[#All],3,FALSE)</f>
        <v>#NAME?</v>
      </c>
    </row>
    <row r="410" spans="1:16" x14ac:dyDescent="0.3">
      <c r="A410">
        <v>289</v>
      </c>
      <c r="B410" t="s">
        <v>890</v>
      </c>
      <c r="C410" t="s">
        <v>473</v>
      </c>
      <c r="D410" s="7">
        <f>IFERROR(VLOOKUP(Table2[[#This Row],[tune_meter]],Table1[#All],3,FALSE),"NONE")</f>
        <v>48</v>
      </c>
      <c r="F410" t="s">
        <v>459</v>
      </c>
      <c r="G410" t="str">
        <f>IF(Table2[[#This Row],[tune_book]]="LFTBs","Red Book","Green Book")</f>
        <v>Red Book</v>
      </c>
      <c r="H410" t="s">
        <v>549</v>
      </c>
      <c r="I410" t="s">
        <v>891</v>
      </c>
      <c r="J410" t="str">
        <f>Table2[[#This Row],[file_name]]&amp;".mp3"</f>
        <v>289r.mid.mp3</v>
      </c>
      <c r="M410">
        <v>207</v>
      </c>
      <c r="N4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--song="Marion (12.13.12.10.)" --artist="E.J. Judd" --comment="" --album="Red Book" --track="289" 289r.mid.mp3</v>
      </c>
      <c r="P410" s="4" t="e">
        <f ca="1">VLOOKUP(Table2[[#This Row],[mp3_file]],Table3[#All],3,FALSE)</f>
        <v>#NAME?</v>
      </c>
    </row>
    <row r="411" spans="1:16" x14ac:dyDescent="0.3">
      <c r="A411">
        <v>253</v>
      </c>
      <c r="B411" t="s">
        <v>892</v>
      </c>
      <c r="C411" t="s">
        <v>582</v>
      </c>
      <c r="D411" s="7">
        <f>IFERROR(VLOOKUP(Table2[[#This Row],[tune_meter]],Table1[#All],3,FALSE),"NONE")</f>
        <v>21</v>
      </c>
      <c r="F411" t="s">
        <v>459</v>
      </c>
      <c r="G411" t="str">
        <f>IF(Table2[[#This Row],[tune_book]]="LFTBs","Red Book","Green Book")</f>
        <v>Red Book</v>
      </c>
      <c r="H411" t="s">
        <v>893</v>
      </c>
      <c r="I411" t="s">
        <v>894</v>
      </c>
      <c r="J411" t="str">
        <f>Table2[[#This Row],[file_name]]&amp;".mp3"</f>
        <v>253r.mid.mp3</v>
      </c>
      <c r="M411">
        <v>208</v>
      </c>
      <c r="N4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--song="Marston (10.10.10.10.)" --artist="Mrs. A.L. Bloomfield" --comment="" --album="Red Book" --track="253" 253r.mid.mp3</v>
      </c>
      <c r="P411" s="4" t="e">
        <f ca="1">VLOOKUP(Table2[[#This Row],[mp3_file]],Table3[#All],3,FALSE)</f>
        <v>#NAME?</v>
      </c>
    </row>
    <row r="412" spans="1:16" x14ac:dyDescent="0.3">
      <c r="A412">
        <v>37</v>
      </c>
      <c r="B412" t="s">
        <v>1764</v>
      </c>
      <c r="C412" t="s">
        <v>486</v>
      </c>
      <c r="D412" s="7">
        <f>IFERROR(VLOOKUP(Table2[[#This Row],[tune_meter]],Table1[#All],3,FALSE),"NONE")</f>
        <v>19</v>
      </c>
      <c r="F412" t="s">
        <v>324</v>
      </c>
      <c r="G412" t="str">
        <f>IF(Table2[[#This Row],[tune_book]]="LFTBs","Red Book","Green Book")</f>
        <v>Green Book</v>
      </c>
      <c r="H412" t="s">
        <v>1765</v>
      </c>
      <c r="I412" t="s">
        <v>1766</v>
      </c>
      <c r="J412" t="str">
        <f>Table2[[#This Row],[file_name]]&amp;".mp3"</f>
        <v>37g.mid.mp3</v>
      </c>
      <c r="M412">
        <v>575</v>
      </c>
      <c r="N4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--song="Martyrdom (C.M.)" --artist="H. Wilson" --comment="" --album="Green Book" --track="37" 37g.mid.mp3</v>
      </c>
      <c r="P412" s="4" t="e">
        <f ca="1">VLOOKUP(Table2[[#This Row],[mp3_file]],Table3[#All],3,FALSE)</f>
        <v>#NAME?</v>
      </c>
    </row>
    <row r="413" spans="1:16" x14ac:dyDescent="0.3">
      <c r="A413">
        <v>82</v>
      </c>
      <c r="B413" t="s">
        <v>1412</v>
      </c>
      <c r="C413" t="s">
        <v>578</v>
      </c>
      <c r="D413" s="7">
        <f>IFERROR(VLOOKUP(Table2[[#This Row],[tune_meter]],Table1[#All],3,FALSE),"NONE")</f>
        <v>61</v>
      </c>
      <c r="F413" t="s">
        <v>324</v>
      </c>
      <c r="G413" t="str">
        <f>IF(Table2[[#This Row],[tune_book]]="LFTBs","Red Book","Green Book")</f>
        <v>Green Book</v>
      </c>
      <c r="H413" t="s">
        <v>2864</v>
      </c>
      <c r="I413" t="s">
        <v>1413</v>
      </c>
      <c r="J413" t="str">
        <f>Table2[[#This Row],[file_name]]&amp;".mp3"</f>
        <v>82g.mid.mp3</v>
      </c>
      <c r="K413">
        <v>1941</v>
      </c>
      <c r="M413">
        <v>423</v>
      </c>
      <c r="N4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--song="Mary (C.M.D.)" --artist="D. G. Spary" --comment="" --album="Green Book" --track="82" 82g.mid.mp3</v>
      </c>
      <c r="P413" s="4" t="e">
        <f ca="1">VLOOKUP(Table2[[#This Row],[mp3_file]],Table3[#All],3,FALSE)</f>
        <v>#NAME?</v>
      </c>
    </row>
    <row r="414" spans="1:16" x14ac:dyDescent="0.3">
      <c r="A414">
        <v>356</v>
      </c>
      <c r="B414" t="s">
        <v>402</v>
      </c>
      <c r="C414" t="s">
        <v>403</v>
      </c>
      <c r="D414" s="7">
        <f>IFERROR(VLOOKUP(Table2[[#This Row],[tune_meter]],Table1[#All],3,FALSE),"NONE")</f>
        <v>76</v>
      </c>
      <c r="F414" t="s">
        <v>324</v>
      </c>
      <c r="G414" t="str">
        <f>IF(Table2[[#This Row],[tune_book]]="LFTBs","Red Book","Green Book")</f>
        <v>Green Book</v>
      </c>
      <c r="H414" t="s">
        <v>329</v>
      </c>
      <c r="I414" t="s">
        <v>404</v>
      </c>
      <c r="J414" t="str">
        <f>Table2[[#This Row],[file_name]]&amp;".mp3"</f>
        <v>356.mid.mp3</v>
      </c>
      <c r="M414">
        <v>24</v>
      </c>
      <c r="N4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--song="Maryfield (8.7.8.7.4.4.7. Iambic)" --artist="T. Collins" --comment="" --album="Green Book" --track="356" 356.mid.mp3</v>
      </c>
      <c r="P414" s="4" t="e">
        <f ca="1">VLOOKUP(Table2[[#This Row],[mp3_file]],Table3[#All],3,FALSE)</f>
        <v>#NAME?</v>
      </c>
    </row>
    <row r="415" spans="1:16" x14ac:dyDescent="0.3">
      <c r="A415">
        <v>109</v>
      </c>
      <c r="B415" t="s">
        <v>1683</v>
      </c>
      <c r="C415" t="s">
        <v>516</v>
      </c>
      <c r="D415" s="7">
        <f>IFERROR(VLOOKUP(Table2[[#This Row],[tune_meter]],Table1[#All],3,FALSE),"NONE")</f>
        <v>16</v>
      </c>
      <c r="F415" t="s">
        <v>324</v>
      </c>
      <c r="G415" t="str">
        <f>IF(Table2[[#This Row],[tune_book]]="LFTBs","Red Book","Green Book")</f>
        <v>Green Book</v>
      </c>
      <c r="H415" t="s">
        <v>2865</v>
      </c>
      <c r="I415" t="s">
        <v>1684</v>
      </c>
      <c r="J415" t="str">
        <f>Table2[[#This Row],[file_name]]&amp;".mp3"</f>
        <v>109g.mid.mp3</v>
      </c>
      <c r="M415">
        <v>540</v>
      </c>
      <c r="N4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--song="Maryton (L.M.)" --artist="H. P. Smith" --comment="" --album="Green Book" --track="109" 109g.mid.mp3</v>
      </c>
      <c r="P415" s="4" t="e">
        <f ca="1">VLOOKUP(Table2[[#This Row],[mp3_file]],Table3[#All],3,FALSE)</f>
        <v>#NAME?</v>
      </c>
    </row>
    <row r="416" spans="1:16" x14ac:dyDescent="0.3">
      <c r="A416">
        <v>153</v>
      </c>
      <c r="B416" t="s">
        <v>895</v>
      </c>
      <c r="C416" t="s">
        <v>370</v>
      </c>
      <c r="D416" s="7">
        <f>IFERROR(VLOOKUP(Table2[[#This Row],[tune_meter]],Table1[#All],3,FALSE),"NONE")</f>
        <v>24</v>
      </c>
      <c r="F416" t="s">
        <v>459</v>
      </c>
      <c r="G416" t="str">
        <f>IF(Table2[[#This Row],[tune_book]]="LFTBs","Red Book","Green Book")</f>
        <v>Red Book</v>
      </c>
      <c r="H416" t="s">
        <v>384</v>
      </c>
      <c r="I416" t="s">
        <v>896</v>
      </c>
      <c r="J416" t="str">
        <f>Table2[[#This Row],[file_name]]&amp;".mp3"</f>
        <v>153r.mid.mp3</v>
      </c>
      <c r="M416">
        <v>209</v>
      </c>
      <c r="N4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--song="Maschil (8.7.8.7.)" --artist="E. Carren" --comment="" --album="Red Book" --track="153" 153r.mid.mp3</v>
      </c>
      <c r="P416" s="4" t="e">
        <f ca="1">VLOOKUP(Table2[[#This Row],[mp3_file]],Table3[#All],3,FALSE)</f>
        <v>#NAME?</v>
      </c>
    </row>
    <row r="417" spans="1:16" x14ac:dyDescent="0.3">
      <c r="A417">
        <v>85</v>
      </c>
      <c r="B417" t="s">
        <v>897</v>
      </c>
      <c r="C417" t="s">
        <v>540</v>
      </c>
      <c r="D417" s="7">
        <f>IFERROR(VLOOKUP(Table2[[#This Row],[tune_meter]],Table1[#All],3,FALSE),"NONE")</f>
        <v>51</v>
      </c>
      <c r="F417" t="s">
        <v>459</v>
      </c>
      <c r="G417" t="str">
        <f>IF(Table2[[#This Row],[tune_book]]="LFTBs","Red Book","Green Book")</f>
        <v>Red Book</v>
      </c>
      <c r="H417" t="s">
        <v>898</v>
      </c>
      <c r="I417" t="s">
        <v>899</v>
      </c>
      <c r="J417" t="str">
        <f>Table2[[#This Row],[file_name]]&amp;".mp3"</f>
        <v>85r.mid.mp3</v>
      </c>
      <c r="M417">
        <v>210</v>
      </c>
      <c r="N4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--song="Maze Hill (6.6.6.6.8.8.)" --artist="Charles Nixon" --comment="" --album="Red Book" --track="85" 85r.mid.mp3</v>
      </c>
      <c r="P417" s="4" t="e">
        <f ca="1">VLOOKUP(Table2[[#This Row],[mp3_file]],Table3[#All],3,FALSE)</f>
        <v>#NAME?</v>
      </c>
    </row>
    <row r="418" spans="1:16" x14ac:dyDescent="0.3">
      <c r="A418">
        <v>37</v>
      </c>
      <c r="B418" t="s">
        <v>900</v>
      </c>
      <c r="C418" t="s">
        <v>516</v>
      </c>
      <c r="D418" s="7">
        <f>IFERROR(VLOOKUP(Table2[[#This Row],[tune_meter]],Table1[#All],3,FALSE),"NONE")</f>
        <v>16</v>
      </c>
      <c r="F418" t="s">
        <v>459</v>
      </c>
      <c r="G418" t="str">
        <f>IF(Table2[[#This Row],[tune_book]]="LFTBs","Red Book","Green Book")</f>
        <v>Red Book</v>
      </c>
      <c r="H418" t="s">
        <v>857</v>
      </c>
      <c r="I418" t="s">
        <v>901</v>
      </c>
      <c r="J418" t="str">
        <f>Table2[[#This Row],[file_name]]&amp;".mp3"</f>
        <v>37r.mid.mp3</v>
      </c>
      <c r="M418">
        <v>211</v>
      </c>
      <c r="N4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--song="Meira (L.M.)" --artist="Miss A.H. Lee" --comment="" --album="Red Book" --track="37" 37r.mid.mp3</v>
      </c>
      <c r="P418" s="4" t="e">
        <f ca="1">VLOOKUP(Table2[[#This Row],[mp3_file]],Table3[#All],3,FALSE)</f>
        <v>#NAME?</v>
      </c>
    </row>
    <row r="419" spans="1:16" x14ac:dyDescent="0.3">
      <c r="A419">
        <v>110</v>
      </c>
      <c r="B419" t="s">
        <v>2866</v>
      </c>
      <c r="C419" t="s">
        <v>516</v>
      </c>
      <c r="D419" s="7">
        <f>IFERROR(VLOOKUP(Table2[[#This Row],[tune_meter]],Table1[#All],3,FALSE),"NONE")</f>
        <v>16</v>
      </c>
      <c r="F419" t="s">
        <v>324</v>
      </c>
      <c r="G419" t="str">
        <f>IF(Table2[[#This Row],[tune_book]]="LFTBs","Red Book","Green Book")</f>
        <v>Green Book</v>
      </c>
      <c r="H419" t="s">
        <v>1401</v>
      </c>
      <c r="I419" t="s">
        <v>1685</v>
      </c>
      <c r="J419" t="str">
        <f>Table2[[#This Row],[file_name]]&amp;".mp3"</f>
        <v>110g.mid.mp3</v>
      </c>
      <c r="M419">
        <v>541</v>
      </c>
      <c r="N4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--song="Melcombe (L.M.)" --artist="S. Webbe" --comment="" --album="Green Book" --track="110" 110g.mid.mp3</v>
      </c>
      <c r="P419" s="4" t="e">
        <f ca="1">VLOOKUP(Table2[[#This Row],[mp3_file]],Table3[#All],3,FALSE)</f>
        <v>#NAME?</v>
      </c>
    </row>
    <row r="420" spans="1:16" x14ac:dyDescent="0.3">
      <c r="A420">
        <v>434</v>
      </c>
      <c r="B420" t="s">
        <v>1350</v>
      </c>
      <c r="C420" t="s">
        <v>554</v>
      </c>
      <c r="D420" s="7">
        <f>IFERROR(VLOOKUP(Table2[[#This Row],[tune_meter]],Table1[#All],3,FALSE),"NONE")</f>
        <v>26</v>
      </c>
      <c r="F420" t="s">
        <v>324</v>
      </c>
      <c r="G420" t="str">
        <f>IF(Table2[[#This Row],[tune_book]]="LFTBs","Red Book","Green Book")</f>
        <v>Green Book</v>
      </c>
      <c r="H420" t="s">
        <v>2716</v>
      </c>
      <c r="I420" t="s">
        <v>1351</v>
      </c>
      <c r="J420" t="str">
        <f>Table2[[#This Row],[file_name]]&amp;".mp3"</f>
        <v>434g.mid.mp3</v>
      </c>
      <c r="M420">
        <v>396</v>
      </c>
      <c r="N4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--song="Melita (8.8.8.8.8.8.)" --artist="Dr. J. B. Dykes" --comment="" --album="Green Book" --track="434" 434g.mid.mp3</v>
      </c>
      <c r="P420" s="4" t="e">
        <f ca="1">VLOOKUP(Table2[[#This Row],[mp3_file]],Table3[#All],3,FALSE)</f>
        <v>#NAME?</v>
      </c>
    </row>
    <row r="421" spans="1:16" x14ac:dyDescent="0.3">
      <c r="A421">
        <v>111</v>
      </c>
      <c r="B421" t="s">
        <v>902</v>
      </c>
      <c r="C421" t="s">
        <v>903</v>
      </c>
      <c r="D421" s="7">
        <f>IFERROR(VLOOKUP(Table2[[#This Row],[tune_meter]],Table1[#All],3,FALSE),"NONE")</f>
        <v>81</v>
      </c>
      <c r="F421" t="s">
        <v>459</v>
      </c>
      <c r="G421" t="str">
        <f>IF(Table2[[#This Row],[tune_book]]="LFTBs","Red Book","Green Book")</f>
        <v>Red Book</v>
      </c>
      <c r="H421" t="s">
        <v>2728</v>
      </c>
      <c r="I421" t="s">
        <v>904</v>
      </c>
      <c r="J421" t="str">
        <f>Table2[[#This Row],[file_name]]&amp;".mp3"</f>
        <v>111r.mid.mp3</v>
      </c>
      <c r="M421">
        <v>212</v>
      </c>
      <c r="N4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--song="Memucan (7.6.7.6.8.8.)" --artist="Miss E. C. Shanks" --comment="" --album="Red Book" --track="111" 111r.mid.mp3</v>
      </c>
      <c r="P421" s="4" t="e">
        <f ca="1">VLOOKUP(Table2[[#This Row],[mp3_file]],Table3[#All],3,FALSE)</f>
        <v>#NAME?</v>
      </c>
    </row>
    <row r="422" spans="1:16" x14ac:dyDescent="0.3">
      <c r="A422">
        <v>493</v>
      </c>
      <c r="B422" t="s">
        <v>1366</v>
      </c>
      <c r="C422" t="s">
        <v>582</v>
      </c>
      <c r="D422" s="7">
        <f>IFERROR(VLOOKUP(Table2[[#This Row],[tune_meter]],Table1[#All],3,FALSE),"NONE")</f>
        <v>21</v>
      </c>
      <c r="F422" t="s">
        <v>324</v>
      </c>
      <c r="G422" t="str">
        <f>IF(Table2[[#This Row],[tune_book]]="LFTBs","Red Book","Green Book")</f>
        <v>Green Book</v>
      </c>
      <c r="H422" t="s">
        <v>2757</v>
      </c>
      <c r="I422" t="s">
        <v>1367</v>
      </c>
      <c r="J422" t="str">
        <f>Table2[[#This Row],[file_name]]&amp;".mp3"</f>
        <v>493g.mid.mp3</v>
      </c>
      <c r="K422">
        <v>1945</v>
      </c>
      <c r="M422">
        <v>403</v>
      </c>
      <c r="N4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--song="Mercedem (10.10.10.10.)" --artist="A. F. Gilbert" --comment="" --album="Green Book" --track="493" 493g.mid.mp3</v>
      </c>
      <c r="P422" s="4" t="e">
        <f ca="1">VLOOKUP(Table2[[#This Row],[mp3_file]],Table3[#All],3,FALSE)</f>
        <v>#NAME?</v>
      </c>
    </row>
    <row r="423" spans="1:16" x14ac:dyDescent="0.3">
      <c r="A423">
        <v>163</v>
      </c>
      <c r="B423" t="s">
        <v>905</v>
      </c>
      <c r="C423" t="s">
        <v>906</v>
      </c>
      <c r="D423" s="7">
        <f>IFERROR(VLOOKUP(Table2[[#This Row],[tune_meter]],Table1[#All],3,FALSE),"NONE")</f>
        <v>80</v>
      </c>
      <c r="F423" t="s">
        <v>459</v>
      </c>
      <c r="G423" t="str">
        <f>IF(Table2[[#This Row],[tune_book]]="LFTBs","Red Book","Green Book")</f>
        <v>Red Book</v>
      </c>
      <c r="H423" t="s">
        <v>907</v>
      </c>
      <c r="I423" t="s">
        <v>908</v>
      </c>
      <c r="J423" t="str">
        <f>Table2[[#This Row],[file_name]]&amp;".mp3"</f>
        <v>163r.mid.mp3</v>
      </c>
      <c r="M423">
        <v>213</v>
      </c>
      <c r="N4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--song="Meredith (8.7.8.7. Dactylic)" --artist="Mrs. C.T. McCorkell" --comment="" --album="Red Book" --track="163" 163r.mid.mp3</v>
      </c>
      <c r="P423" s="4" t="e">
        <f ca="1">VLOOKUP(Table2[[#This Row],[mp3_file]],Table3[#All],3,FALSE)</f>
        <v>#NAME?</v>
      </c>
    </row>
    <row r="424" spans="1:16" x14ac:dyDescent="0.3">
      <c r="A424">
        <v>38</v>
      </c>
      <c r="B424" t="s">
        <v>1767</v>
      </c>
      <c r="C424" t="s">
        <v>486</v>
      </c>
      <c r="D424" s="7">
        <f>IFERROR(VLOOKUP(Table2[[#This Row],[tune_meter]],Table1[#All],3,FALSE),"NONE")</f>
        <v>19</v>
      </c>
      <c r="F424" t="s">
        <v>324</v>
      </c>
      <c r="G424" t="str">
        <f>IF(Table2[[#This Row],[tune_book]]="LFTBs","Red Book","Green Book")</f>
        <v>Green Book</v>
      </c>
      <c r="H424" t="s">
        <v>1319</v>
      </c>
      <c r="I424" t="s">
        <v>1768</v>
      </c>
      <c r="J424" t="str">
        <f>Table2[[#This Row],[file_name]]&amp;".mp3"</f>
        <v>38g.mid.mp3</v>
      </c>
      <c r="M424">
        <v>576</v>
      </c>
      <c r="N4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--song="Merton (C.M.)" --artist="From 'Geistliche Leider'" --comment="" --album="Green Book" --track="38" 38g.mid.mp3</v>
      </c>
      <c r="P424" s="4" t="e">
        <f ca="1">VLOOKUP(Table2[[#This Row],[mp3_file]],Table3[#All],3,FALSE)</f>
        <v>#NAME?</v>
      </c>
    </row>
    <row r="425" spans="1:16" x14ac:dyDescent="0.3">
      <c r="A425">
        <v>200</v>
      </c>
      <c r="B425" t="s">
        <v>1271</v>
      </c>
      <c r="C425" t="s">
        <v>540</v>
      </c>
      <c r="D425" s="7">
        <f>IFERROR(VLOOKUP(Table2[[#This Row],[tune_meter]],Table1[#All],3,FALSE),"NONE")</f>
        <v>51</v>
      </c>
      <c r="F425" t="s">
        <v>324</v>
      </c>
      <c r="G425" t="str">
        <f>IF(Table2[[#This Row],[tune_book]]="LFTBs","Red Book","Green Book")</f>
        <v>Green Book</v>
      </c>
      <c r="H425" t="s">
        <v>1272</v>
      </c>
      <c r="I425" t="s">
        <v>1273</v>
      </c>
      <c r="J425" t="str">
        <f>Table2[[#This Row],[file_name]]&amp;".mp3"</f>
        <v>200g.mid.mp3</v>
      </c>
      <c r="M425">
        <v>362</v>
      </c>
      <c r="N4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--song="Mighty One (6.6.6.6.8.8.)" --artist="G. F. Root" --comment="" --album="Green Book" --track="200" 200g.mid.mp3</v>
      </c>
      <c r="P425" s="4" t="e">
        <f ca="1">VLOOKUP(Table2[[#This Row],[mp3_file]],Table3[#All],3,FALSE)</f>
        <v>#NAME?</v>
      </c>
    </row>
    <row r="426" spans="1:16" x14ac:dyDescent="0.3">
      <c r="A426">
        <v>39</v>
      </c>
      <c r="B426" t="s">
        <v>1769</v>
      </c>
      <c r="C426" t="s">
        <v>486</v>
      </c>
      <c r="D426" s="7">
        <f>IFERROR(VLOOKUP(Table2[[#This Row],[tune_meter]],Table1[#All],3,FALSE),"NONE")</f>
        <v>19</v>
      </c>
      <c r="F426" t="s">
        <v>324</v>
      </c>
      <c r="G426" t="str">
        <f>IF(Table2[[#This Row],[tune_book]]="LFTBs","Red Book","Green Book")</f>
        <v>Green Book</v>
      </c>
      <c r="H426" t="s">
        <v>1770</v>
      </c>
      <c r="I426" t="s">
        <v>1771</v>
      </c>
      <c r="J426" t="str">
        <f>Table2[[#This Row],[file_name]]&amp;".mp3"</f>
        <v>39g.mid.mp3</v>
      </c>
      <c r="M426">
        <v>577</v>
      </c>
      <c r="N4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--song="Miles' Lane (C.M.)" --artist="W. Shrubsole" --comment="" --album="Green Book" --track="39" 39g.mid.mp3</v>
      </c>
      <c r="P426" s="4" t="e">
        <f ca="1">VLOOKUP(Table2[[#This Row],[mp3_file]],Table3[#All],3,FALSE)</f>
        <v>#NAME?</v>
      </c>
    </row>
    <row r="427" spans="1:16" x14ac:dyDescent="0.3">
      <c r="A427">
        <v>201</v>
      </c>
      <c r="B427" t="s">
        <v>1881</v>
      </c>
      <c r="C427" t="s">
        <v>540</v>
      </c>
      <c r="D427" s="7">
        <f>IFERROR(VLOOKUP(Table2[[#This Row],[tune_meter]],Table1[#All],3,FALSE),"NONE")</f>
        <v>51</v>
      </c>
      <c r="F427" t="s">
        <v>324</v>
      </c>
      <c r="G427" t="str">
        <f>IF(Table2[[#This Row],[tune_book]]="LFTBs","Red Book","Green Book")</f>
        <v>Green Book</v>
      </c>
      <c r="H427" t="s">
        <v>344</v>
      </c>
      <c r="I427" t="s">
        <v>1882</v>
      </c>
      <c r="J427" t="str">
        <f>Table2[[#This Row],[file_name]]&amp;".mp3"</f>
        <v>201g.mid.mp3</v>
      </c>
      <c r="M427">
        <v>622</v>
      </c>
      <c r="N4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--song="Millenium (6.6.6.6.8.8.)" --artist="Unknown" --comment="" --album="Green Book" --track="201" 201g.mid.mp3</v>
      </c>
      <c r="P427" s="4" t="e">
        <f ca="1">VLOOKUP(Table2[[#This Row],[mp3_file]],Table3[#All],3,FALSE)</f>
        <v>#NAME?</v>
      </c>
    </row>
    <row r="428" spans="1:16" x14ac:dyDescent="0.3">
      <c r="A428">
        <v>202</v>
      </c>
      <c r="B428" t="s">
        <v>909</v>
      </c>
      <c r="C428" t="s">
        <v>415</v>
      </c>
      <c r="D428" s="7">
        <f>IFERROR(VLOOKUP(Table2[[#This Row],[tune_meter]],Table1[#All],3,FALSE),"NONE")</f>
        <v>39</v>
      </c>
      <c r="F428" t="s">
        <v>459</v>
      </c>
      <c r="G428" t="str">
        <f>IF(Table2[[#This Row],[tune_book]]="LFTBs","Red Book","Green Book")</f>
        <v>Red Book</v>
      </c>
      <c r="H428" t="s">
        <v>618</v>
      </c>
      <c r="I428" t="s">
        <v>910</v>
      </c>
      <c r="J428" t="str">
        <f>Table2[[#This Row],[file_name]]&amp;".mp3"</f>
        <v>202r.mid.mp3</v>
      </c>
      <c r="M428">
        <v>214</v>
      </c>
      <c r="N4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--song="Misericordia (8.8.8.6.)" --artist="Henry Smart" --comment="" --album="Red Book" --track="202" 202r.mid.mp3</v>
      </c>
      <c r="P428" s="4" t="e">
        <f ca="1">VLOOKUP(Table2[[#This Row],[mp3_file]],Table3[#All],3,FALSE)</f>
        <v>#NAME?</v>
      </c>
    </row>
    <row r="429" spans="1:16" x14ac:dyDescent="0.3">
      <c r="A429">
        <v>250</v>
      </c>
      <c r="B429" t="s">
        <v>1910</v>
      </c>
      <c r="C429" t="s">
        <v>467</v>
      </c>
      <c r="D429" s="7">
        <f>IFERROR(VLOOKUP(Table2[[#This Row],[tune_meter]],Table1[#All],3,FALSE),"NONE")</f>
        <v>34</v>
      </c>
      <c r="F429" t="s">
        <v>324</v>
      </c>
      <c r="G429" t="str">
        <f>IF(Table2[[#This Row],[tune_book]]="LFTBs","Red Book","Green Book")</f>
        <v>Green Book</v>
      </c>
      <c r="H429" t="s">
        <v>410</v>
      </c>
      <c r="I429" t="s">
        <v>1911</v>
      </c>
      <c r="J429" t="str">
        <f>Table2[[#This Row],[file_name]]&amp;".mp3"</f>
        <v>250g.mid.mp3</v>
      </c>
      <c r="M429">
        <v>635</v>
      </c>
      <c r="N4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--song="Missionary (7.6.7.6.7.6.7.6.)" --artist="Dr. Lowell Mason" --comment="" --album="Green Book" --track="250" 250g.mid.mp3</v>
      </c>
      <c r="P429" s="4" t="e">
        <f ca="1">VLOOKUP(Table2[[#This Row],[mp3_file]],Table3[#All],3,FALSE)</f>
        <v>#NAME?</v>
      </c>
    </row>
    <row r="430" spans="1:16" x14ac:dyDescent="0.3">
      <c r="A430">
        <v>263</v>
      </c>
      <c r="B430" t="s">
        <v>1923</v>
      </c>
      <c r="C430" t="s">
        <v>903</v>
      </c>
      <c r="D430" s="7">
        <f>IFERROR(VLOOKUP(Table2[[#This Row],[tune_meter]],Table1[#All],3,FALSE),"NONE")</f>
        <v>81</v>
      </c>
      <c r="F430" t="s">
        <v>324</v>
      </c>
      <c r="G430" t="str">
        <f>IF(Table2[[#This Row],[tune_book]]="LFTBs","Red Book","Green Book")</f>
        <v>Green Book</v>
      </c>
      <c r="H430" t="s">
        <v>2867</v>
      </c>
      <c r="I430" t="s">
        <v>1924</v>
      </c>
      <c r="J430" t="str">
        <f>Table2[[#This Row],[file_name]]&amp;".mp3"</f>
        <v>263g.mid.mp3</v>
      </c>
      <c r="M430">
        <v>641</v>
      </c>
      <c r="N4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--song="Missionary Prayer (7.6.7.6.8.8.)" --artist="E. K. Brinkworth" --comment="" --album="Green Book" --track="263" 263g.mid.mp3</v>
      </c>
      <c r="P430" s="4" t="e">
        <f ca="1">VLOOKUP(Table2[[#This Row],[mp3_file]],Table3[#All],3,FALSE)</f>
        <v>#NAME?</v>
      </c>
    </row>
    <row r="431" spans="1:16" x14ac:dyDescent="0.3">
      <c r="A431">
        <v>283</v>
      </c>
      <c r="B431" t="s">
        <v>911</v>
      </c>
      <c r="C431" t="s">
        <v>912</v>
      </c>
      <c r="D431" s="7">
        <f>IFERROR(VLOOKUP(Table2[[#This Row],[tune_meter]],Table1[#All],3,FALSE),"NONE")</f>
        <v>33</v>
      </c>
      <c r="E431" t="s">
        <v>913</v>
      </c>
      <c r="F431" t="s">
        <v>459</v>
      </c>
      <c r="G431" t="str">
        <f>IF(Table2[[#This Row],[tune_book]]="LFTBs","Red Book","Green Book")</f>
        <v>Red Book</v>
      </c>
      <c r="H431" t="s">
        <v>857</v>
      </c>
      <c r="I431" t="s">
        <v>914</v>
      </c>
      <c r="J431" t="str">
        <f>Table2[[#This Row],[file_name]]&amp;".mp3"</f>
        <v>283r.mid.mp3</v>
      </c>
      <c r="M431">
        <v>215</v>
      </c>
      <c r="N4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--song="Mithcah (12.11.12.11.)" --artist="Miss A.H. Lee" --comment="" --album="Red Book" --track="283" 283r.mid.mp3</v>
      </c>
      <c r="P431" s="4" t="e">
        <f ca="1">VLOOKUP(Table2[[#This Row],[mp3_file]],Table3[#All],3,FALSE)</f>
        <v>#NAME?</v>
      </c>
    </row>
    <row r="432" spans="1:16" x14ac:dyDescent="0.3">
      <c r="A432">
        <v>175</v>
      </c>
      <c r="B432" t="s">
        <v>915</v>
      </c>
      <c r="C432" t="s">
        <v>470</v>
      </c>
      <c r="D432" s="7">
        <f>IFERROR(VLOOKUP(Table2[[#This Row],[tune_meter]],Table1[#All],3,FALSE),"NONE")</f>
        <v>50</v>
      </c>
      <c r="F432" t="s">
        <v>459</v>
      </c>
      <c r="G432" t="str">
        <f>IF(Table2[[#This Row],[tune_book]]="LFTBs","Red Book","Green Book")</f>
        <v>Red Book</v>
      </c>
      <c r="H432" t="s">
        <v>916</v>
      </c>
      <c r="I432" t="s">
        <v>917</v>
      </c>
      <c r="J432" t="str">
        <f>Table2[[#This Row],[file_name]]&amp;".mp3"</f>
        <v>175r.mid.mp3</v>
      </c>
      <c r="L432" t="s">
        <v>865</v>
      </c>
      <c r="M432">
        <v>216</v>
      </c>
      <c r="N4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--song="Modena (8.7.8.7.4.7.)" --artist="J.V. Roberts" --comment="Repeat 5th line of each verse" --album="Red Book" --track="175" 175r.mid.mp3</v>
      </c>
      <c r="P432" s="4" t="e">
        <f ca="1">VLOOKUP(Table2[[#This Row],[mp3_file]],Table3[#All],3,FALSE)</f>
        <v>#NAME?</v>
      </c>
    </row>
    <row r="433" spans="1:16" x14ac:dyDescent="0.3">
      <c r="A433">
        <v>505</v>
      </c>
      <c r="B433" t="s">
        <v>1372</v>
      </c>
      <c r="C433" t="s">
        <v>881</v>
      </c>
      <c r="D433" s="7">
        <f>IFERROR(VLOOKUP(Table2[[#This Row],[tune_meter]],Table1[#All],3,FALSE),"NONE")</f>
        <v>63</v>
      </c>
      <c r="F433" t="s">
        <v>324</v>
      </c>
      <c r="G433" t="str">
        <f>IF(Table2[[#This Row],[tune_book]]="LFTBs","Red Book","Green Book")</f>
        <v>Green Book</v>
      </c>
      <c r="H433" t="s">
        <v>1373</v>
      </c>
      <c r="I433" t="s">
        <v>1374</v>
      </c>
      <c r="J433" t="str">
        <f>Table2[[#This Row],[file_name]]&amp;".mp3"</f>
        <v>505g.mid.mp3</v>
      </c>
      <c r="M433">
        <v>406</v>
      </c>
      <c r="N4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--song="Moment by Moment (10.10.10.10. Dactylic)" --artist="Mrs. Mary W. Moody" --comment="" --album="Green Book" --track="505" 505g.mid.mp3</v>
      </c>
      <c r="P433" s="4" t="e">
        <f ca="1">VLOOKUP(Table2[[#This Row],[mp3_file]],Table3[#All],3,FALSE)</f>
        <v>#NAME?</v>
      </c>
    </row>
    <row r="434" spans="1:16" x14ac:dyDescent="0.3">
      <c r="A434">
        <v>146</v>
      </c>
      <c r="B434" t="s">
        <v>918</v>
      </c>
      <c r="C434" t="s">
        <v>483</v>
      </c>
      <c r="D434" s="7">
        <f>IFERROR(VLOOKUP(Table2[[#This Row],[tune_meter]],Table1[#All],3,FALSE),"NONE")</f>
        <v>55</v>
      </c>
      <c r="F434" t="s">
        <v>459</v>
      </c>
      <c r="G434" t="str">
        <f>IF(Table2[[#This Row],[tune_book]]="LFTBs","Red Book","Green Book")</f>
        <v>Red Book</v>
      </c>
      <c r="H434" t="s">
        <v>919</v>
      </c>
      <c r="I434" t="s">
        <v>920</v>
      </c>
      <c r="J434" t="str">
        <f>Table2[[#This Row],[file_name]]&amp;".mp3"</f>
        <v>146r.mid.mp3</v>
      </c>
      <c r="M434">
        <v>217</v>
      </c>
      <c r="N4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--song="Monica (8.6.8.6.8.8.)" --artist="N. Whitbouro" --comment="" --album="Red Book" --track="146" 146r.mid.mp3</v>
      </c>
      <c r="P434" s="4" t="e">
        <f ca="1">VLOOKUP(Table2[[#This Row],[mp3_file]],Table3[#All],3,FALSE)</f>
        <v>#NAME?</v>
      </c>
    </row>
    <row r="435" spans="1:16" x14ac:dyDescent="0.3">
      <c r="A435">
        <v>176</v>
      </c>
      <c r="B435" t="s">
        <v>921</v>
      </c>
      <c r="C435" t="s">
        <v>470</v>
      </c>
      <c r="D435" s="7">
        <f>IFERROR(VLOOKUP(Table2[[#This Row],[tune_meter]],Table1[#All],3,FALSE),"NONE")</f>
        <v>50</v>
      </c>
      <c r="F435" t="s">
        <v>459</v>
      </c>
      <c r="G435" t="str">
        <f>IF(Table2[[#This Row],[tune_book]]="LFTBs","Red Book","Green Book")</f>
        <v>Red Book</v>
      </c>
      <c r="H435" t="s">
        <v>367</v>
      </c>
      <c r="I435" t="s">
        <v>922</v>
      </c>
      <c r="J435" t="str">
        <f>Table2[[#This Row],[file_name]]&amp;".mp3"</f>
        <v>176r.mid.mp3</v>
      </c>
      <c r="L435" t="s">
        <v>865</v>
      </c>
      <c r="M435">
        <v>218</v>
      </c>
      <c r="N4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--song="Monifieth (8.7.8.7.4.7.)" --artist="Gordon Millar" --comment="Repeat 5th line of each verse" --album="Red Book" --track="176" 176r.mid.mp3</v>
      </c>
      <c r="P435" s="4" t="e">
        <f ca="1">VLOOKUP(Table2[[#This Row],[mp3_file]],Table3[#All],3,FALSE)</f>
        <v>#NAME?</v>
      </c>
    </row>
    <row r="436" spans="1:16" x14ac:dyDescent="0.3">
      <c r="A436">
        <v>270</v>
      </c>
      <c r="B436" t="s">
        <v>1536</v>
      </c>
      <c r="C436" t="s">
        <v>786</v>
      </c>
      <c r="D436" s="7">
        <f>IFERROR(VLOOKUP(Table2[[#This Row],[tune_meter]],Table1[#All],3,FALSE),"NONE")</f>
        <v>29</v>
      </c>
      <c r="F436" t="s">
        <v>324</v>
      </c>
      <c r="G436" t="str">
        <f>IF(Table2[[#This Row],[tune_book]]="LFTBs","Red Book","Green Book")</f>
        <v>Green Book</v>
      </c>
      <c r="H436" t="s">
        <v>1537</v>
      </c>
      <c r="I436" t="s">
        <v>1538</v>
      </c>
      <c r="J436" t="str">
        <f>Table2[[#This Row],[file_name]]&amp;".mp3"</f>
        <v>270g.mid.mp3</v>
      </c>
      <c r="M436">
        <v>477</v>
      </c>
      <c r="N4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--song="Monkland (7.7.7.7.)" --artist="J. Wilkes" --comment="" --album="Green Book" --track="270" 270g.mid.mp3</v>
      </c>
      <c r="P436" s="4" t="e">
        <f ca="1">VLOOKUP(Table2[[#This Row],[mp3_file]],Table3[#All],3,FALSE)</f>
        <v>#NAME?</v>
      </c>
    </row>
    <row r="437" spans="1:16" x14ac:dyDescent="0.3">
      <c r="A437">
        <v>140</v>
      </c>
      <c r="B437" t="s">
        <v>1441</v>
      </c>
      <c r="C437" t="s">
        <v>623</v>
      </c>
      <c r="D437" s="7">
        <f>IFERROR(VLOOKUP(Table2[[#This Row],[tune_meter]],Table1[#All],3,FALSE),"NONE")</f>
        <v>22</v>
      </c>
      <c r="F437" t="s">
        <v>324</v>
      </c>
      <c r="G437" t="str">
        <f>IF(Table2[[#This Row],[tune_book]]="LFTBs","Red Book","Green Book")</f>
        <v>Green Book</v>
      </c>
      <c r="H437" t="s">
        <v>1442</v>
      </c>
      <c r="I437" t="s">
        <v>1443</v>
      </c>
      <c r="J437" t="str">
        <f>Table2[[#This Row],[file_name]]&amp;".mp3"</f>
        <v>140g.mid.mp3</v>
      </c>
      <c r="K437">
        <v>1904</v>
      </c>
      <c r="M437">
        <v>436</v>
      </c>
      <c r="N4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--song="Moreland (S.M.)" --artist="From 'Melodies and Chants'" --comment="" --album="Green Book" --track="140" 140g.mid.mp3</v>
      </c>
      <c r="P437" s="4" t="e">
        <f ca="1">VLOOKUP(Table2[[#This Row],[mp3_file]],Table3[#All],3,FALSE)</f>
        <v>#NAME?</v>
      </c>
    </row>
    <row r="438" spans="1:16" x14ac:dyDescent="0.3">
      <c r="A438">
        <v>40</v>
      </c>
      <c r="B438" t="s">
        <v>2871</v>
      </c>
      <c r="C438" t="s">
        <v>486</v>
      </c>
      <c r="D438" s="7">
        <f>IFERROR(VLOOKUP(Table2[[#This Row],[tune_meter]],Table1[#All],3,FALSE),"NONE")</f>
        <v>19</v>
      </c>
      <c r="F438" t="s">
        <v>324</v>
      </c>
      <c r="G438" t="str">
        <f>IF(Table2[[#This Row],[tune_book]]="LFTBs","Red Book","Green Book")</f>
        <v>Green Book</v>
      </c>
      <c r="H438" t="s">
        <v>2869</v>
      </c>
      <c r="I438" t="s">
        <v>1772</v>
      </c>
      <c r="J438" t="str">
        <f>Table2[[#This Row],[file_name]]&amp;".mp3"</f>
        <v>40g.mid.mp3</v>
      </c>
      <c r="M438">
        <v>578</v>
      </c>
      <c r="N4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--song="Morning Light (Kingston) (C.M.)" --artist="Mrs. E. S. Kingston" --comment="" --album="Green Book" --track="40" 40g.mid.mp3</v>
      </c>
      <c r="P438" s="4" t="e">
        <f ca="1">VLOOKUP(Table2[[#This Row],[mp3_file]],Table3[#All],3,FALSE)</f>
        <v>#NAME?</v>
      </c>
    </row>
    <row r="439" spans="1:16" x14ac:dyDescent="0.3">
      <c r="A439">
        <v>251</v>
      </c>
      <c r="B439" t="s">
        <v>2872</v>
      </c>
      <c r="C439" t="s">
        <v>467</v>
      </c>
      <c r="D439" s="7">
        <f>IFERROR(VLOOKUP(Table2[[#This Row],[tune_meter]],Table1[#All],3,FALSE),"NONE")</f>
        <v>34</v>
      </c>
      <c r="F439" t="s">
        <v>324</v>
      </c>
      <c r="G439" t="str">
        <f>IF(Table2[[#This Row],[tune_book]]="LFTBs","Red Book","Green Book")</f>
        <v>Green Book</v>
      </c>
      <c r="H439" t="s">
        <v>2870</v>
      </c>
      <c r="I439" t="s">
        <v>1912</v>
      </c>
      <c r="J439" t="str">
        <f>Table2[[#This Row],[file_name]]&amp;".mp3"</f>
        <v>251g.mid.mp3</v>
      </c>
      <c r="M439">
        <v>636</v>
      </c>
      <c r="N4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--song="Morning Light (Webb) (7.6.7.6.7.6.7.6.)" --artist="G. J. Webb" --comment="" --album="Green Book" --track="251" 251g.mid.mp3</v>
      </c>
      <c r="P439" s="4" t="e">
        <f ca="1">VLOOKUP(Table2[[#This Row],[mp3_file]],Table3[#All],3,FALSE)</f>
        <v>#NAME?</v>
      </c>
    </row>
    <row r="440" spans="1:16" x14ac:dyDescent="0.3">
      <c r="A440">
        <v>254</v>
      </c>
      <c r="B440" t="s">
        <v>2873</v>
      </c>
      <c r="C440" t="s">
        <v>582</v>
      </c>
      <c r="D440" s="7">
        <f>IFERROR(VLOOKUP(Table2[[#This Row],[tune_meter]],Table1[#All],3,FALSE),"NONE")</f>
        <v>21</v>
      </c>
      <c r="F440" t="s">
        <v>459</v>
      </c>
      <c r="G440" t="str">
        <f>IF(Table2[[#This Row],[tune_book]]="LFTBs","Red Book","Green Book")</f>
        <v>Red Book</v>
      </c>
      <c r="H440" t="s">
        <v>351</v>
      </c>
      <c r="I440" t="s">
        <v>923</v>
      </c>
      <c r="J440" t="str">
        <f>Table2[[#This Row],[file_name]]&amp;".mp3"</f>
        <v>254r.mid.mp3</v>
      </c>
      <c r="M440">
        <v>219</v>
      </c>
      <c r="N4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--song="Morning Star (Leflaive) (10.10.10.10.)" --artist="C. Leflaive" --comment="" --album="Red Book" --track="254" 254r.mid.mp3</v>
      </c>
      <c r="P440" s="4" t="e">
        <f ca="1">VLOOKUP(Table2[[#This Row],[mp3_file]],Table3[#All],3,FALSE)</f>
        <v>#NAME?</v>
      </c>
    </row>
    <row r="441" spans="1:16" x14ac:dyDescent="0.3">
      <c r="A441">
        <v>141</v>
      </c>
      <c r="B441" t="s">
        <v>2868</v>
      </c>
      <c r="C441" t="s">
        <v>623</v>
      </c>
      <c r="D441" s="7">
        <f>IFERROR(VLOOKUP(Table2[[#This Row],[tune_meter]],Table1[#All],3,FALSE),"NONE")</f>
        <v>22</v>
      </c>
      <c r="F441" t="s">
        <v>324</v>
      </c>
      <c r="G441" t="str">
        <f>IF(Table2[[#This Row],[tune_book]]="LFTBs","Red Book","Green Book")</f>
        <v>Green Book</v>
      </c>
      <c r="H441" t="s">
        <v>1444</v>
      </c>
      <c r="I441" t="s">
        <v>1445</v>
      </c>
      <c r="J441" t="str">
        <f>Table2[[#This Row],[file_name]]&amp;".mp3"</f>
        <v>141g.mid.mp3</v>
      </c>
      <c r="K441">
        <v>1760</v>
      </c>
      <c r="M441">
        <v>437</v>
      </c>
      <c r="N4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--song="Mornington's Chant (S.M.)" --artist="Earl of Mornington" --comment="" --album="Green Book" --track="141" 141g.mid.mp3</v>
      </c>
      <c r="P441" s="4" t="e">
        <f ca="1">VLOOKUP(Table2[[#This Row],[mp3_file]],Table3[#All],3,FALSE)</f>
        <v>#NAME?</v>
      </c>
    </row>
    <row r="442" spans="1:16" x14ac:dyDescent="0.3">
      <c r="A442">
        <v>185</v>
      </c>
      <c r="B442" t="s">
        <v>405</v>
      </c>
      <c r="C442" t="s">
        <v>406</v>
      </c>
      <c r="D442" s="7">
        <f>IFERROR(VLOOKUP(Table2[[#This Row],[tune_meter]],Table1[#All],3,FALSE),"NONE")</f>
        <v>93</v>
      </c>
      <c r="F442" t="s">
        <v>324</v>
      </c>
      <c r="G442" t="str">
        <f>IF(Table2[[#This Row],[tune_book]]="LFTBs","Red Book","Green Book")</f>
        <v>Green Book</v>
      </c>
      <c r="H442" t="s">
        <v>407</v>
      </c>
      <c r="I442" t="s">
        <v>408</v>
      </c>
      <c r="J442" t="str">
        <f>Table2[[#This Row],[file_name]]&amp;".mp3"</f>
        <v>185g.mid.mp3</v>
      </c>
      <c r="M442">
        <v>25</v>
      </c>
      <c r="N4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--song="Moscow (6.6.4.6.6.6.4.)" --artist="F. Giardini" --comment="" --album="Green Book" --track="185" 185g.mid.mp3</v>
      </c>
      <c r="P442" s="4" t="e">
        <f ca="1">VLOOKUP(Table2[[#This Row],[mp3_file]],Table3[#All],3,FALSE)</f>
        <v>#NAME?</v>
      </c>
    </row>
    <row r="443" spans="1:16" x14ac:dyDescent="0.3">
      <c r="A443">
        <v>118</v>
      </c>
      <c r="B443" t="s">
        <v>924</v>
      </c>
      <c r="C443" t="s">
        <v>775</v>
      </c>
      <c r="D443" s="7">
        <f>IFERROR(VLOOKUP(Table2[[#This Row],[tune_meter]],Table1[#All],3,FALSE),"NONE")</f>
        <v>83</v>
      </c>
      <c r="F443" t="s">
        <v>459</v>
      </c>
      <c r="G443" t="str">
        <f>IF(Table2[[#This Row],[tune_book]]="LFTBs","Red Book","Green Book")</f>
        <v>Red Book</v>
      </c>
      <c r="H443" t="s">
        <v>367</v>
      </c>
      <c r="I443" t="s">
        <v>925</v>
      </c>
      <c r="J443" t="str">
        <f>Table2[[#This Row],[file_name]]&amp;".mp3"</f>
        <v>118r.mid.mp3</v>
      </c>
      <c r="M443">
        <v>220</v>
      </c>
      <c r="N4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--song="Mourne (7.7.7.7.7.7.)" --artist="Gordon Millar" --comment="" --album="Red Book" --track="118" 118r.mid.mp3</v>
      </c>
      <c r="P443" s="4" t="e">
        <f ca="1">VLOOKUP(Table2[[#This Row],[mp3_file]],Table3[#All],3,FALSE)</f>
        <v>#NAME?</v>
      </c>
    </row>
    <row r="444" spans="1:16" x14ac:dyDescent="0.3">
      <c r="A444">
        <v>271</v>
      </c>
      <c r="B444" t="s">
        <v>1539</v>
      </c>
      <c r="C444" t="s">
        <v>786</v>
      </c>
      <c r="D444" s="7">
        <f>IFERROR(VLOOKUP(Table2[[#This Row],[tune_meter]],Table1[#All],3,FALSE),"NONE")</f>
        <v>29</v>
      </c>
      <c r="F444" t="s">
        <v>324</v>
      </c>
      <c r="G444" t="str">
        <f>IF(Table2[[#This Row],[tune_book]]="LFTBs","Red Book","Green Book")</f>
        <v>Green Book</v>
      </c>
      <c r="H444" t="s">
        <v>1540</v>
      </c>
      <c r="I444" t="s">
        <v>1541</v>
      </c>
      <c r="J444" t="str">
        <f>Table2[[#This Row],[file_name]]&amp;".mp3"</f>
        <v>271g.mid.mp3</v>
      </c>
      <c r="M444">
        <v>478</v>
      </c>
      <c r="N4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--song="Mozart (7.7.7.7.)" --artist="From Mozart" --comment="" --album="Green Book" --track="271" 271g.mid.mp3</v>
      </c>
      <c r="P444" s="4" t="e">
        <f ca="1">VLOOKUP(Table2[[#This Row],[mp3_file]],Table3[#All],3,FALSE)</f>
        <v>#NAME?</v>
      </c>
    </row>
    <row r="445" spans="1:16" x14ac:dyDescent="0.3">
      <c r="A445">
        <v>142</v>
      </c>
      <c r="B445" t="s">
        <v>1446</v>
      </c>
      <c r="C445" t="s">
        <v>623</v>
      </c>
      <c r="D445" s="7">
        <f>IFERROR(VLOOKUP(Table2[[#This Row],[tune_meter]],Table1[#All],3,FALSE),"NONE")</f>
        <v>22</v>
      </c>
      <c r="F445" t="s">
        <v>324</v>
      </c>
      <c r="G445" t="str">
        <f>IF(Table2[[#This Row],[tune_book]]="LFTBs","Red Book","Green Book")</f>
        <v>Green Book</v>
      </c>
      <c r="H445" t="s">
        <v>1447</v>
      </c>
      <c r="I445" t="s">
        <v>1448</v>
      </c>
      <c r="J445" t="str">
        <f>Table2[[#This Row],[file_name]]&amp;".mp3"</f>
        <v>142g.mid.mp3</v>
      </c>
      <c r="M445">
        <v>438</v>
      </c>
      <c r="N4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--song="Mudstone (S.M.)" --artist="David Johnson" --comment="" --album="Green Book" --track="142" 142g.mid.mp3</v>
      </c>
      <c r="P445" s="4" t="e">
        <f ca="1">VLOOKUP(Table2[[#This Row],[mp3_file]],Table3[#All],3,FALSE)</f>
        <v>#NAME?</v>
      </c>
    </row>
    <row r="446" spans="1:16" x14ac:dyDescent="0.3">
      <c r="A446">
        <v>143</v>
      </c>
      <c r="B446" t="s">
        <v>1449</v>
      </c>
      <c r="C446" t="s">
        <v>623</v>
      </c>
      <c r="D446" s="7">
        <f>IFERROR(VLOOKUP(Table2[[#This Row],[tune_meter]],Table1[#All],3,FALSE),"NONE")</f>
        <v>22</v>
      </c>
      <c r="F446" t="s">
        <v>324</v>
      </c>
      <c r="G446" t="str">
        <f>IF(Table2[[#This Row],[tune_book]]="LFTBs","Red Book","Green Book")</f>
        <v>Green Book</v>
      </c>
      <c r="H446" t="s">
        <v>1450</v>
      </c>
      <c r="I446" t="s">
        <v>1451</v>
      </c>
      <c r="J446" t="str">
        <f>Table2[[#This Row],[file_name]]&amp;".mp3"</f>
        <v>143g.mid.mp3</v>
      </c>
      <c r="M446">
        <v>439</v>
      </c>
      <c r="N4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--song="Mullaghmore (S.M.)" --artist="J. Steven" --comment="" --album="Green Book" --track="143" 143g.mid.mp3</v>
      </c>
      <c r="P446" s="4" t="e">
        <f ca="1">VLOOKUP(Table2[[#This Row],[mp3_file]],Table3[#All],3,FALSE)</f>
        <v>#NAME?</v>
      </c>
    </row>
    <row r="447" spans="1:16" x14ac:dyDescent="0.3">
      <c r="A447">
        <v>144</v>
      </c>
      <c r="B447" t="s">
        <v>1452</v>
      </c>
      <c r="C447" t="s">
        <v>623</v>
      </c>
      <c r="D447" s="7">
        <f>IFERROR(VLOOKUP(Table2[[#This Row],[tune_meter]],Table1[#All],3,FALSE),"NONE")</f>
        <v>22</v>
      </c>
      <c r="F447" t="s">
        <v>324</v>
      </c>
      <c r="G447" t="str">
        <f>IF(Table2[[#This Row],[tune_book]]="LFTBs","Red Book","Green Book")</f>
        <v>Green Book</v>
      </c>
      <c r="H447" t="s">
        <v>2777</v>
      </c>
      <c r="I447" t="s">
        <v>1453</v>
      </c>
      <c r="J447" t="str">
        <f>Table2[[#This Row],[file_name]]&amp;".mp3"</f>
        <v>144g.mid.mp3</v>
      </c>
      <c r="M447">
        <v>440</v>
      </c>
      <c r="N4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--song="My Beloved (S.M.)" --artist="H. F. Morley" --comment="" --album="Green Book" --track="144" 144g.mid.mp3</v>
      </c>
      <c r="P447" s="4" t="e">
        <f ca="1">VLOOKUP(Table2[[#This Row],[mp3_file]],Table3[#All],3,FALSE)</f>
        <v>#NAME?</v>
      </c>
    </row>
    <row r="448" spans="1:16" x14ac:dyDescent="0.3">
      <c r="A448">
        <v>299</v>
      </c>
      <c r="B448" t="s">
        <v>1953</v>
      </c>
      <c r="C448" t="s">
        <v>781</v>
      </c>
      <c r="D448" s="7">
        <f>IFERROR(VLOOKUP(Table2[[#This Row],[tune_meter]],Table1[#All],3,FALSE),"NONE")</f>
        <v>37</v>
      </c>
      <c r="F448" t="s">
        <v>324</v>
      </c>
      <c r="G448" t="str">
        <f>IF(Table2[[#This Row],[tune_book]]="LFTBs","Red Book","Green Book")</f>
        <v>Green Book</v>
      </c>
      <c r="H448" t="s">
        <v>1954</v>
      </c>
      <c r="I448" t="s">
        <v>1955</v>
      </c>
      <c r="J448" t="str">
        <f>Table2[[#This Row],[file_name]]&amp;".mp3"</f>
        <v>299g.mid.mp3</v>
      </c>
      <c r="M448">
        <v>653</v>
      </c>
      <c r="N4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--song="My Father Knoweth (8.5.8.5.8.5.8.5.)" --artist="J.H. Burke" --comment="" --album="Green Book" --track="299" 299g.mid.mp3</v>
      </c>
      <c r="P448" s="4" t="e">
        <f ca="1">VLOOKUP(Table2[[#This Row],[mp3_file]],Table3[#All],3,FALSE)</f>
        <v>#NAME?</v>
      </c>
    </row>
    <row r="449" spans="1:16" x14ac:dyDescent="0.3">
      <c r="A449">
        <v>169</v>
      </c>
      <c r="B449" t="s">
        <v>926</v>
      </c>
      <c r="C449" t="s">
        <v>652</v>
      </c>
      <c r="D449" s="7">
        <f>IFERROR(VLOOKUP(Table2[[#This Row],[tune_meter]],Table1[#All],3,FALSE),"NONE")</f>
        <v>94</v>
      </c>
      <c r="F449" t="s">
        <v>459</v>
      </c>
      <c r="G449" t="str">
        <f>IF(Table2[[#This Row],[tune_book]]="LFTBs","Red Book","Green Book")</f>
        <v>Red Book</v>
      </c>
      <c r="H449" t="s">
        <v>927</v>
      </c>
      <c r="I449" t="s">
        <v>928</v>
      </c>
      <c r="J449" t="str">
        <f>Table2[[#This Row],[file_name]]&amp;".mp3"</f>
        <v>169r.mid.mp3</v>
      </c>
      <c r="M449">
        <v>221</v>
      </c>
      <c r="N4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--song="My Willing People (8.7.8.7. Iambic)" --artist="Miss Norah Nilsson" --comment="" --album="Red Book" --track="169" 169r.mid.mp3</v>
      </c>
      <c r="P449" s="4" t="e">
        <f ca="1">VLOOKUP(Table2[[#This Row],[mp3_file]],Table3[#All],3,FALSE)</f>
        <v>#NAME?</v>
      </c>
    </row>
    <row r="450" spans="1:16" x14ac:dyDescent="0.3">
      <c r="A450">
        <v>170</v>
      </c>
      <c r="B450" t="s">
        <v>409</v>
      </c>
      <c r="C450" t="s">
        <v>339</v>
      </c>
      <c r="D450" s="7">
        <f>IFERROR(VLOOKUP(Table2[[#This Row],[tune_meter]],Table1[#All],3,FALSE),"NONE")</f>
        <v>62</v>
      </c>
      <c r="F450" t="s">
        <v>324</v>
      </c>
      <c r="G450" t="str">
        <f>IF(Table2[[#This Row],[tune_book]]="LFTBs","Red Book","Green Book")</f>
        <v>Green Book</v>
      </c>
      <c r="H450" t="s">
        <v>410</v>
      </c>
      <c r="I450" t="s">
        <v>411</v>
      </c>
      <c r="J450" t="str">
        <f>Table2[[#This Row],[file_name]]&amp;".mp3"</f>
        <v>170g.mid.mp3</v>
      </c>
      <c r="M450">
        <v>26</v>
      </c>
      <c r="N4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--song="Nain (6.4.6.4.)" --artist="Dr. Lowell Mason" --comment="" --album="Green Book" --track="170" 170g.mid.mp3</v>
      </c>
      <c r="P450" s="4" t="e">
        <f ca="1">VLOOKUP(Table2[[#This Row],[mp3_file]],Table3[#All],3,FALSE)</f>
        <v>#NAME?</v>
      </c>
    </row>
    <row r="451" spans="1:16" x14ac:dyDescent="0.3">
      <c r="A451">
        <v>41</v>
      </c>
      <c r="B451" t="s">
        <v>1773</v>
      </c>
      <c r="C451" t="s">
        <v>486</v>
      </c>
      <c r="D451" s="7">
        <f>IFERROR(VLOOKUP(Table2[[#This Row],[tune_meter]],Table1[#All],3,FALSE),"NONE")</f>
        <v>19</v>
      </c>
      <c r="F451" t="s">
        <v>324</v>
      </c>
      <c r="G451" t="str">
        <f>IF(Table2[[#This Row],[tune_book]]="LFTBs","Red Book","Green Book")</f>
        <v>Green Book</v>
      </c>
      <c r="H451" t="s">
        <v>2874</v>
      </c>
      <c r="I451" t="s">
        <v>1774</v>
      </c>
      <c r="J451" t="str">
        <f>Table2[[#This Row],[file_name]]&amp;".mp3"</f>
        <v>41g.mid.mp3</v>
      </c>
      <c r="M451">
        <v>579</v>
      </c>
      <c r="N4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--song="Name of Jesus (C.M.)" --artist="Miss S. N. Walker" --comment="" --album="Green Book" --track="41" 41g.mid.mp3</v>
      </c>
      <c r="P451" s="4" t="e">
        <f ca="1">VLOOKUP(Table2[[#This Row],[mp3_file]],Table3[#All],3,FALSE)</f>
        <v>#NAME?</v>
      </c>
    </row>
    <row r="452" spans="1:16" x14ac:dyDescent="0.3">
      <c r="A452">
        <v>42</v>
      </c>
      <c r="B452" t="s">
        <v>1775</v>
      </c>
      <c r="C452" t="s">
        <v>486</v>
      </c>
      <c r="D452" s="7">
        <f>IFERROR(VLOOKUP(Table2[[#This Row],[tune_meter]],Table1[#All],3,FALSE),"NONE")</f>
        <v>19</v>
      </c>
      <c r="F452" t="s">
        <v>324</v>
      </c>
      <c r="G452" t="str">
        <f>IF(Table2[[#This Row],[tune_book]]="LFTBs","Red Book","Green Book")</f>
        <v>Green Book</v>
      </c>
      <c r="H452" t="s">
        <v>1776</v>
      </c>
      <c r="I452" t="s">
        <v>1777</v>
      </c>
      <c r="J452" t="str">
        <f>Table2[[#This Row],[file_name]]&amp;".mp3"</f>
        <v>42g.mid.mp3</v>
      </c>
      <c r="M452">
        <v>580</v>
      </c>
      <c r="N4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--song="Nativity (C.M.)" --artist="H. Lahee" --comment="" --album="Green Book" --track="42" 42g.mid.mp3</v>
      </c>
      <c r="P452" s="4" t="e">
        <f ca="1">VLOOKUP(Table2[[#This Row],[mp3_file]],Table3[#All],3,FALSE)</f>
        <v>#NAME?</v>
      </c>
    </row>
    <row r="453" spans="1:16" x14ac:dyDescent="0.3">
      <c r="A453">
        <v>43</v>
      </c>
      <c r="B453" t="s">
        <v>1778</v>
      </c>
      <c r="C453" t="s">
        <v>486</v>
      </c>
      <c r="D453" s="7">
        <f>IFERROR(VLOOKUP(Table2[[#This Row],[tune_meter]],Table1[#All],3,FALSE),"NONE")</f>
        <v>19</v>
      </c>
      <c r="F453" t="s">
        <v>324</v>
      </c>
      <c r="G453" t="str">
        <f>IF(Table2[[#This Row],[tune_book]]="LFTBs","Red Book","Green Book")</f>
        <v>Green Book</v>
      </c>
      <c r="H453" t="s">
        <v>1779</v>
      </c>
      <c r="I453" t="s">
        <v>1780</v>
      </c>
      <c r="J453" t="str">
        <f>Table2[[#This Row],[file_name]]&amp;".mp3"</f>
        <v>43g.mid.mp3</v>
      </c>
      <c r="K453">
        <v>1875</v>
      </c>
      <c r="L453" t="s">
        <v>1781</v>
      </c>
      <c r="M453">
        <v>581</v>
      </c>
      <c r="N4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--song="Newcastle (C.M.)" --artist="Henry K. Morley" --comment="Repeat 3rd line of each verse" --album="Green Book" --track="43" 43g.mid.mp3</v>
      </c>
      <c r="P453" s="4" t="e">
        <f ca="1">VLOOKUP(Table2[[#This Row],[mp3_file]],Table3[#All],3,FALSE)</f>
        <v>#NAME?</v>
      </c>
    </row>
    <row r="454" spans="1:16" x14ac:dyDescent="0.3">
      <c r="A454">
        <v>329</v>
      </c>
      <c r="B454" t="s">
        <v>1314</v>
      </c>
      <c r="C454" t="s">
        <v>370</v>
      </c>
      <c r="D454" s="7">
        <f>IFERROR(VLOOKUP(Table2[[#This Row],[tune_meter]],Table1[#All],3,FALSE),"NONE")</f>
        <v>24</v>
      </c>
      <c r="F454" t="s">
        <v>324</v>
      </c>
      <c r="G454" t="str">
        <f>IF(Table2[[#This Row],[tune_book]]="LFTBs","Red Book","Green Book")</f>
        <v>Green Book</v>
      </c>
      <c r="H454" t="s">
        <v>1315</v>
      </c>
      <c r="I454" t="s">
        <v>1316</v>
      </c>
      <c r="J454" t="str">
        <f>Table2[[#This Row],[file_name]]&amp;".mp3"</f>
        <v>329g.mid.mp3</v>
      </c>
      <c r="M454">
        <v>380</v>
      </c>
      <c r="N4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--song="Newton Ferns (8.7.8.7.)" --artist="Samuel Smith" --comment="" --album="Green Book" --track="329" 329g.mid.mp3</v>
      </c>
      <c r="P454" s="4" t="e">
        <f ca="1">VLOOKUP(Table2[[#This Row],[mp3_file]],Table3[#All],3,FALSE)</f>
        <v>#NAME?</v>
      </c>
    </row>
    <row r="455" spans="1:16" x14ac:dyDescent="0.3">
      <c r="A455">
        <v>546</v>
      </c>
      <c r="B455" t="s">
        <v>1743</v>
      </c>
      <c r="C455" t="s">
        <v>473</v>
      </c>
      <c r="D455" s="7">
        <f>IFERROR(VLOOKUP(Table2[[#This Row],[tune_meter]],Table1[#All],3,FALSE),"NONE")</f>
        <v>48</v>
      </c>
      <c r="F455" t="s">
        <v>324</v>
      </c>
      <c r="G455" t="str">
        <f>IF(Table2[[#This Row],[tune_book]]="LFTBs","Red Book","Green Book")</f>
        <v>Green Book</v>
      </c>
      <c r="H455" t="s">
        <v>2716</v>
      </c>
      <c r="I455" t="s">
        <v>1744</v>
      </c>
      <c r="J455" t="str">
        <f>Table2[[#This Row],[file_name]]&amp;".mp3"</f>
        <v>546g.mid.mp3</v>
      </c>
      <c r="M455">
        <v>566</v>
      </c>
      <c r="N4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--song="Nicea (12.13.12.10.)" --artist="Dr. J. B. Dykes" --comment="" --album="Green Book" --track="546" 546g.mid.mp3</v>
      </c>
      <c r="P455" s="4" t="e">
        <f ca="1">VLOOKUP(Table2[[#This Row],[mp3_file]],Table3[#All],3,FALSE)</f>
        <v>#NAME?</v>
      </c>
    </row>
    <row r="456" spans="1:16" x14ac:dyDescent="0.3">
      <c r="A456">
        <v>83</v>
      </c>
      <c r="B456" t="s">
        <v>1414</v>
      </c>
      <c r="C456" t="s">
        <v>578</v>
      </c>
      <c r="D456" s="7">
        <f>IFERROR(VLOOKUP(Table2[[#This Row],[tune_meter]],Table1[#All],3,FALSE),"NONE")</f>
        <v>61</v>
      </c>
      <c r="F456" t="s">
        <v>324</v>
      </c>
      <c r="G456" t="str">
        <f>IF(Table2[[#This Row],[tune_book]]="LFTBs","Red Book","Green Book")</f>
        <v>Green Book</v>
      </c>
      <c r="H456" t="s">
        <v>1415</v>
      </c>
      <c r="I456" t="s">
        <v>1416</v>
      </c>
      <c r="J456" t="str">
        <f>Table2[[#This Row],[file_name]]&amp;".mp3"</f>
        <v>83g.mid.mp3</v>
      </c>
      <c r="M456">
        <v>424</v>
      </c>
      <c r="N4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--song="None But Christ Can Satisfy! (C.M.D.)" --artist="J. McGranahan" --comment="" --album="Green Book" --track="83" 83g.mid.mp3</v>
      </c>
      <c r="P456" s="4" t="e">
        <f ca="1">VLOOKUP(Table2[[#This Row],[mp3_file]],Table3[#All],3,FALSE)</f>
        <v>#NAME?</v>
      </c>
    </row>
    <row r="457" spans="1:16" x14ac:dyDescent="0.3">
      <c r="A457">
        <v>154</v>
      </c>
      <c r="B457" t="s">
        <v>929</v>
      </c>
      <c r="C457" t="s">
        <v>370</v>
      </c>
      <c r="D457" s="7">
        <f>IFERROR(VLOOKUP(Table2[[#This Row],[tune_meter]],Table1[#All],3,FALSE),"NONE")</f>
        <v>24</v>
      </c>
      <c r="F457" t="s">
        <v>459</v>
      </c>
      <c r="G457" t="str">
        <f>IF(Table2[[#This Row],[tune_book]]="LFTBs","Red Book","Green Book")</f>
        <v>Red Book</v>
      </c>
      <c r="H457" t="s">
        <v>524</v>
      </c>
      <c r="I457" t="s">
        <v>930</v>
      </c>
      <c r="J457" t="str">
        <f>Table2[[#This Row],[file_name]]&amp;".mp3"</f>
        <v>154r.mid.mp3</v>
      </c>
      <c r="M457">
        <v>222</v>
      </c>
      <c r="N4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--song="Norfolk (8.7.8.7.)" --artist="K.D. Clarke" --comment="" --album="Red Book" --track="154" 154r.mid.mp3</v>
      </c>
      <c r="P457" s="4" t="e">
        <f ca="1">VLOOKUP(Table2[[#This Row],[mp3_file]],Table3[#All],3,FALSE)</f>
        <v>#NAME?</v>
      </c>
    </row>
    <row r="458" spans="1:16" x14ac:dyDescent="0.3">
      <c r="A458">
        <v>280</v>
      </c>
      <c r="B458" t="s">
        <v>931</v>
      </c>
      <c r="C458" t="s">
        <v>509</v>
      </c>
      <c r="D458" s="7">
        <f>IFERROR(VLOOKUP(Table2[[#This Row],[tune_meter]],Table1[#All],3,FALSE),"NONE")</f>
        <v>64</v>
      </c>
      <c r="F458" t="s">
        <v>459</v>
      </c>
      <c r="G458" t="str">
        <f>IF(Table2[[#This Row],[tune_book]]="LFTBs","Red Book","Green Book")</f>
        <v>Red Book</v>
      </c>
      <c r="H458" t="s">
        <v>932</v>
      </c>
      <c r="I458" t="s">
        <v>933</v>
      </c>
      <c r="J458" t="str">
        <f>Table2[[#This Row],[file_name]]&amp;".mp3"</f>
        <v>280r.mid.mp3</v>
      </c>
      <c r="M458">
        <v>223</v>
      </c>
      <c r="N4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--song="Norfolk Park (11.11.11.11. Trochaic)" --artist="Henry Coward" --comment="" --album="Red Book" --track="280" 280r.mid.mp3</v>
      </c>
      <c r="P458" s="4" t="e">
        <f ca="1">VLOOKUP(Table2[[#This Row],[mp3_file]],Table3[#All],3,FALSE)</f>
        <v>#NAME?</v>
      </c>
    </row>
    <row r="459" spans="1:16" x14ac:dyDescent="0.3">
      <c r="A459">
        <v>44</v>
      </c>
      <c r="B459" t="s">
        <v>1782</v>
      </c>
      <c r="C459" t="s">
        <v>486</v>
      </c>
      <c r="D459" s="7">
        <f>IFERROR(VLOOKUP(Table2[[#This Row],[tune_meter]],Table1[#All],3,FALSE),"NONE")</f>
        <v>19</v>
      </c>
      <c r="F459" t="s">
        <v>324</v>
      </c>
      <c r="G459" t="str">
        <f>IF(Table2[[#This Row],[tune_book]]="LFTBs","Red Book","Green Book")</f>
        <v>Green Book</v>
      </c>
      <c r="H459" t="s">
        <v>344</v>
      </c>
      <c r="I459" t="s">
        <v>1783</v>
      </c>
      <c r="J459" t="str">
        <f>Table2[[#This Row],[file_name]]&amp;".mp3"</f>
        <v>44g.mid.mp3</v>
      </c>
      <c r="M459">
        <v>582</v>
      </c>
      <c r="N4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--song="Norge (C.M.)" --artist="Unknown" --comment="" --album="Green Book" --track="44" 44g.mid.mp3</v>
      </c>
      <c r="P459" s="4" t="e">
        <f ca="1">VLOOKUP(Table2[[#This Row],[mp3_file]],Table3[#All],3,FALSE)</f>
        <v>#NAME?</v>
      </c>
    </row>
    <row r="460" spans="1:16" x14ac:dyDescent="0.3">
      <c r="A460">
        <v>390</v>
      </c>
      <c r="B460" t="s">
        <v>1341</v>
      </c>
      <c r="C460" t="s">
        <v>476</v>
      </c>
      <c r="D460" s="7">
        <f>IFERROR(VLOOKUP(Table2[[#This Row],[tune_meter]],Table1[#All],3,FALSE),"NONE")</f>
        <v>25</v>
      </c>
      <c r="F460" t="s">
        <v>324</v>
      </c>
      <c r="G460" t="str">
        <f>IF(Table2[[#This Row],[tune_book]]="LFTBs","Red Book","Green Book")</f>
        <v>Green Book</v>
      </c>
      <c r="H460" t="s">
        <v>2724</v>
      </c>
      <c r="I460" t="s">
        <v>1342</v>
      </c>
      <c r="J460" t="str">
        <f>Table2[[#This Row],[file_name]]&amp;".mp3"</f>
        <v>390g.mid.mp3</v>
      </c>
      <c r="M460">
        <v>392</v>
      </c>
      <c r="N4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--song="Northampton (8.7.8.7.8.7.8.7.)" --artist="P. P. Bliss" --comment="" --album="Green Book" --track="390" 390g.mid.mp3</v>
      </c>
      <c r="P460" s="4" t="e">
        <f ca="1">VLOOKUP(Table2[[#This Row],[mp3_file]],Table3[#All],3,FALSE)</f>
        <v>#NAME?</v>
      </c>
    </row>
    <row r="461" spans="1:16" x14ac:dyDescent="0.3">
      <c r="A461">
        <v>45</v>
      </c>
      <c r="B461" t="s">
        <v>1784</v>
      </c>
      <c r="C461" t="s">
        <v>486</v>
      </c>
      <c r="D461" s="7">
        <f>IFERROR(VLOOKUP(Table2[[#This Row],[tune_meter]],Table1[#All],3,FALSE),"NONE")</f>
        <v>19</v>
      </c>
      <c r="F461" t="s">
        <v>324</v>
      </c>
      <c r="G461" t="str">
        <f>IF(Table2[[#This Row],[tune_book]]="LFTBs","Red Book","Green Book")</f>
        <v>Green Book</v>
      </c>
      <c r="H461" t="s">
        <v>1785</v>
      </c>
      <c r="I461" t="s">
        <v>1786</v>
      </c>
      <c r="J461" t="str">
        <f>Table2[[#This Row],[file_name]]&amp;".mp3"</f>
        <v>45g.mid.mp3</v>
      </c>
      <c r="L461" t="s">
        <v>1787</v>
      </c>
      <c r="M461">
        <v>583</v>
      </c>
      <c r="N4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--song="Northrop (C.M.)" --artist="A. Northrop" --comment="Repeat last line 3 times" --album="Green Book" --track="45" 45g.mid.mp3</v>
      </c>
      <c r="P461" s="4" t="e">
        <f ca="1">VLOOKUP(Table2[[#This Row],[mp3_file]],Table3[#All],3,FALSE)</f>
        <v>#NAME?</v>
      </c>
    </row>
    <row r="462" spans="1:16" x14ac:dyDescent="0.3">
      <c r="A462">
        <v>46</v>
      </c>
      <c r="B462" t="s">
        <v>1788</v>
      </c>
      <c r="C462" t="s">
        <v>486</v>
      </c>
      <c r="D462" s="7">
        <f>IFERROR(VLOOKUP(Table2[[#This Row],[tune_meter]],Table1[#All],3,FALSE),"NONE")</f>
        <v>19</v>
      </c>
      <c r="F462" t="s">
        <v>324</v>
      </c>
      <c r="G462" t="str">
        <f>IF(Table2[[#This Row],[tune_book]]="LFTBs","Red Book","Green Book")</f>
        <v>Green Book</v>
      </c>
      <c r="H462" t="s">
        <v>1789</v>
      </c>
      <c r="I462" t="s">
        <v>1790</v>
      </c>
      <c r="J462" t="str">
        <f>Table2[[#This Row],[file_name]]&amp;".mp3"</f>
        <v>46g.mid.mp3</v>
      </c>
      <c r="M462">
        <v>584</v>
      </c>
      <c r="N4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--song="Nottingham (C.M.)" --artist="Jeremiah Clarke" --comment="" --album="Green Book" --track="46" 46g.mid.mp3</v>
      </c>
      <c r="P462" s="4" t="e">
        <f ca="1">VLOOKUP(Table2[[#This Row],[mp3_file]],Table3[#All],3,FALSE)</f>
        <v>#NAME?</v>
      </c>
    </row>
    <row r="463" spans="1:16" x14ac:dyDescent="0.3">
      <c r="A463">
        <v>192</v>
      </c>
      <c r="B463" t="s">
        <v>1486</v>
      </c>
      <c r="C463" t="s">
        <v>463</v>
      </c>
      <c r="D463" s="7">
        <f>IFERROR(VLOOKUP(Table2[[#This Row],[tune_meter]],Table1[#All],3,FALSE),"NONE")</f>
        <v>90</v>
      </c>
      <c r="F463" t="s">
        <v>324</v>
      </c>
      <c r="G463" t="str">
        <f>IF(Table2[[#This Row],[tune_book]]="LFTBs","Red Book","Green Book")</f>
        <v>Green Book</v>
      </c>
      <c r="H463" t="s">
        <v>1487</v>
      </c>
      <c r="I463" t="s">
        <v>1488</v>
      </c>
      <c r="J463" t="str">
        <f>Table2[[#This Row],[file_name]]&amp;".mp3"</f>
        <v>192g.mid.mp3</v>
      </c>
      <c r="M463">
        <v>455</v>
      </c>
      <c r="N4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--song="Nun Danket (6.6.6.6.6.6.6.6.)" --artist="J. Cruger" --comment="" --album="Green Book" --track="192" 192g.mid.mp3</v>
      </c>
      <c r="P463" s="4" t="e">
        <f ca="1">VLOOKUP(Table2[[#This Row],[mp3_file]],Table3[#All],3,FALSE)</f>
        <v>#NAME?</v>
      </c>
    </row>
    <row r="464" spans="1:16" x14ac:dyDescent="0.3">
      <c r="A464">
        <v>213</v>
      </c>
      <c r="B464" t="s">
        <v>934</v>
      </c>
      <c r="C464" t="s">
        <v>554</v>
      </c>
      <c r="D464" s="7">
        <f>IFERROR(VLOOKUP(Table2[[#This Row],[tune_meter]],Table1[#All],3,FALSE),"NONE")</f>
        <v>26</v>
      </c>
      <c r="F464" t="s">
        <v>459</v>
      </c>
      <c r="G464" t="str">
        <f>IF(Table2[[#This Row],[tune_book]]="LFTBs","Red Book","Green Book")</f>
        <v>Red Book</v>
      </c>
      <c r="H464" t="s">
        <v>384</v>
      </c>
      <c r="I464" t="s">
        <v>935</v>
      </c>
      <c r="J464" t="str">
        <f>Table2[[#This Row],[file_name]]&amp;".mp3"</f>
        <v>213r.mid.mp3</v>
      </c>
      <c r="M464">
        <v>224</v>
      </c>
      <c r="N4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--song="Nymphe (8.8.8.8.8.8.)" --artist="E. Carren" --comment="" --album="Red Book" --track="213" 213r.mid.mp3</v>
      </c>
      <c r="P464" s="4" t="e">
        <f ca="1">VLOOKUP(Table2[[#This Row],[mp3_file]],Table3[#All],3,FALSE)</f>
        <v>#NAME?</v>
      </c>
    </row>
    <row r="465" spans="1:16" x14ac:dyDescent="0.3">
      <c r="A465">
        <v>287</v>
      </c>
      <c r="B465" t="s">
        <v>1938</v>
      </c>
      <c r="C465" t="s">
        <v>789</v>
      </c>
      <c r="D465" s="7">
        <f>IFERROR(VLOOKUP(Table2[[#This Row],[tune_meter]],Table1[#All],3,FALSE),"NONE")</f>
        <v>47</v>
      </c>
      <c r="F465" t="s">
        <v>324</v>
      </c>
      <c r="G465" t="str">
        <f>IF(Table2[[#This Row],[tune_book]]="LFTBs","Red Book","Green Book")</f>
        <v>Green Book</v>
      </c>
      <c r="H465" t="s">
        <v>1939</v>
      </c>
      <c r="I465" t="s">
        <v>1940</v>
      </c>
      <c r="J465" t="str">
        <f>Table2[[#This Row],[file_name]]&amp;".mp3"</f>
        <v>287g.mid.mp3</v>
      </c>
      <c r="M465">
        <v>647</v>
      </c>
      <c r="N4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 How He Loves (8.4.8.4.8.8.8.4.)" --artist="H.P. Main" --comment="" --album="Green Book" --track="287" 287g.mid.mp3</v>
      </c>
      <c r="P465" s="4" t="e">
        <f ca="1">VLOOKUP(Table2[[#This Row],[mp3_file]],Table3[#All],3,FALSE)</f>
        <v>#NAME?</v>
      </c>
    </row>
    <row r="466" spans="1:16" x14ac:dyDescent="0.3">
      <c r="A466">
        <v>519</v>
      </c>
      <c r="B466" t="s">
        <v>2148</v>
      </c>
      <c r="C466" t="s">
        <v>495</v>
      </c>
      <c r="D466" s="7">
        <f>IFERROR(VLOOKUP(Table2[[#This Row],[tune_meter]],Table1[#All],3,FALSE),"NONE")</f>
        <v>52</v>
      </c>
      <c r="F466" t="s">
        <v>324</v>
      </c>
      <c r="G466" t="str">
        <f>IF(Table2[[#This Row],[tune_book]]="LFTBs","Red Book","Green Book")</f>
        <v>Green Book</v>
      </c>
      <c r="H466" t="s">
        <v>443</v>
      </c>
      <c r="I466" t="s">
        <v>2149</v>
      </c>
      <c r="J466" t="str">
        <f>Table2[[#This Row],[file_name]]&amp;".mp3"</f>
        <v>519g.mid.mp3</v>
      </c>
      <c r="M466">
        <v>742</v>
      </c>
      <c r="N4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 Perfect Love (11.10.11.10.)" --artist="Sir Joseph Barnby" --comment="" --album="Green Book" --track="519" 519g.mid.mp3</v>
      </c>
      <c r="P466" s="4" t="e">
        <f ca="1">VLOOKUP(Table2[[#This Row],[mp3_file]],Table3[#All],3,FALSE)</f>
        <v>#NAME?</v>
      </c>
    </row>
    <row r="467" spans="1:16" x14ac:dyDescent="0.3">
      <c r="A467">
        <v>526</v>
      </c>
      <c r="B467" t="s">
        <v>1380</v>
      </c>
      <c r="C467" t="s">
        <v>543</v>
      </c>
      <c r="D467" s="7">
        <f>IFERROR(VLOOKUP(Table2[[#This Row],[tune_meter]],Table1[#All],3,FALSE),"NONE")</f>
        <v>17</v>
      </c>
      <c r="F467" t="s">
        <v>324</v>
      </c>
      <c r="G467" t="str">
        <f>IF(Table2[[#This Row],[tune_book]]="LFTBs","Red Book","Green Book")</f>
        <v>Green Book</v>
      </c>
      <c r="H467" t="s">
        <v>1381</v>
      </c>
      <c r="I467" t="s">
        <v>1382</v>
      </c>
      <c r="J467" t="str">
        <f>Table2[[#This Row],[file_name]]&amp;".mp3"</f>
        <v>526g.mid.mp3</v>
      </c>
      <c r="K467">
        <v>1808</v>
      </c>
      <c r="M467">
        <v>409</v>
      </c>
      <c r="N4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 Quanta Qualia (11.10.11.10. Dactylic)" --artist="La Feillee Methode" --comment="" --album="Green Book" --track="526" 526g.mid.mp3</v>
      </c>
      <c r="P467" s="4" t="e">
        <f ca="1">VLOOKUP(Table2[[#This Row],[mp3_file]],Table3[#All],3,FALSE)</f>
        <v>#NAME?</v>
      </c>
    </row>
    <row r="468" spans="1:16" x14ac:dyDescent="0.3">
      <c r="A468">
        <v>149</v>
      </c>
      <c r="B468" t="s">
        <v>936</v>
      </c>
      <c r="C468" t="s">
        <v>630</v>
      </c>
      <c r="D468" s="7">
        <f>IFERROR(VLOOKUP(Table2[[#This Row],[tune_meter]],Table1[#All],3,FALSE),"NONE")</f>
        <v>36</v>
      </c>
      <c r="F468" t="s">
        <v>459</v>
      </c>
      <c r="G468" t="str">
        <f>IF(Table2[[#This Row],[tune_book]]="LFTBs","Red Book","Green Book")</f>
        <v>Red Book</v>
      </c>
      <c r="H468" t="s">
        <v>384</v>
      </c>
      <c r="I468" t="s">
        <v>937</v>
      </c>
      <c r="J468" t="str">
        <f>Table2[[#This Row],[file_name]]&amp;".mp3"</f>
        <v>149r.mid.mp3</v>
      </c>
      <c r="M468">
        <v>225</v>
      </c>
      <c r="N4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 Solemn Hour! (8.6.8.8.6.8.8.)" --artist="E. Carren" --comment="" --album="Red Book" --track="149" 149r.mid.mp3</v>
      </c>
      <c r="P468" s="4" t="e">
        <f ca="1">VLOOKUP(Table2[[#This Row],[mp3_file]],Table3[#All],3,FALSE)</f>
        <v>#NAME?</v>
      </c>
    </row>
    <row r="469" spans="1:16" x14ac:dyDescent="0.3">
      <c r="A469">
        <v>194</v>
      </c>
      <c r="B469" t="s">
        <v>938</v>
      </c>
      <c r="C469" t="s">
        <v>595</v>
      </c>
      <c r="D469" s="7">
        <f>IFERROR(VLOOKUP(Table2[[#This Row],[tune_meter]],Table1[#All],3,FALSE),"NONE")</f>
        <v>68</v>
      </c>
      <c r="F469" t="s">
        <v>459</v>
      </c>
      <c r="G469" t="str">
        <f>IF(Table2[[#This Row],[tune_book]]="LFTBs","Red Book","Green Book")</f>
        <v>Red Book</v>
      </c>
      <c r="H469" t="s">
        <v>384</v>
      </c>
      <c r="I469" t="s">
        <v>939</v>
      </c>
      <c r="J469" t="str">
        <f>Table2[[#This Row],[file_name]]&amp;".mp3"</f>
        <v>194r.mid.mp3</v>
      </c>
      <c r="M469">
        <v>226</v>
      </c>
      <c r="N4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 the Love! (8.7.8.7.8.7.8.7.7.7.)" --artist="E. Carren" --comment="" --album="Red Book" --track="194" 194r.mid.mp3</v>
      </c>
      <c r="P469" s="4" t="e">
        <f ca="1">VLOOKUP(Table2[[#This Row],[mp3_file]],Table3[#All],3,FALSE)</f>
        <v>#NAME?</v>
      </c>
    </row>
    <row r="470" spans="1:16" x14ac:dyDescent="0.3">
      <c r="A470">
        <v>65</v>
      </c>
      <c r="B470" t="s">
        <v>940</v>
      </c>
      <c r="C470" t="s">
        <v>360</v>
      </c>
      <c r="D470" s="7">
        <f>IFERROR(VLOOKUP(Table2[[#This Row],[tune_meter]],Table1[#All],3,FALSE),"NONE")</f>
        <v>32</v>
      </c>
      <c r="F470" t="s">
        <v>459</v>
      </c>
      <c r="G470" t="str">
        <f>IF(Table2[[#This Row],[tune_book]]="LFTBs","Red Book","Green Book")</f>
        <v>Red Book</v>
      </c>
      <c r="H470" t="s">
        <v>336</v>
      </c>
      <c r="I470" t="s">
        <v>941</v>
      </c>
      <c r="J470" t="str">
        <f>Table2[[#This Row],[file_name]]&amp;".mp3"</f>
        <v>65r.mid.mp3</v>
      </c>
      <c r="M470">
        <v>227</v>
      </c>
      <c r="N4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--song="Oakleigh (6.4.6.4.6.4.6.4.)" --artist="R.A. Evershead" --comment="" --album="Red Book" --track="65" 65r.mid.mp3</v>
      </c>
      <c r="P470" s="4" t="e">
        <f ca="1">VLOOKUP(Table2[[#This Row],[mp3_file]],Table3[#All],3,FALSE)</f>
        <v>#NAME?</v>
      </c>
    </row>
    <row r="471" spans="1:16" x14ac:dyDescent="0.3">
      <c r="A471">
        <v>111</v>
      </c>
      <c r="B471" t="s">
        <v>2875</v>
      </c>
      <c r="C471" t="s">
        <v>516</v>
      </c>
      <c r="D471" s="7">
        <f>IFERROR(VLOOKUP(Table2[[#This Row],[tune_meter]],Table1[#All],3,FALSE),"NONE")</f>
        <v>16</v>
      </c>
      <c r="F471" t="s">
        <v>324</v>
      </c>
      <c r="G471" t="str">
        <f>IF(Table2[[#This Row],[tune_book]]="LFTBs","Red Book","Green Book")</f>
        <v>Green Book</v>
      </c>
      <c r="H471" t="s">
        <v>1686</v>
      </c>
      <c r="I471" t="s">
        <v>1687</v>
      </c>
      <c r="J471" t="str">
        <f>Table2[[#This Row],[file_name]]&amp;".mp3"</f>
        <v>111g.mid.mp3</v>
      </c>
      <c r="K471">
        <v>1551</v>
      </c>
      <c r="M471">
        <v>542</v>
      </c>
      <c r="N4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--song="Old Hundredth (L.M.)" --artist="From 'Genevan Psalter'" --comment="" --album="Green Book" --track="111" 111g.mid.mp3</v>
      </c>
      <c r="P471" s="4" t="e">
        <f ca="1">VLOOKUP(Table2[[#This Row],[mp3_file]],Table3[#All],3,FALSE)</f>
        <v>#NAME?</v>
      </c>
    </row>
    <row r="472" spans="1:16" x14ac:dyDescent="0.3">
      <c r="A472">
        <v>47</v>
      </c>
      <c r="B472" t="s">
        <v>1197</v>
      </c>
      <c r="C472" t="s">
        <v>486</v>
      </c>
      <c r="D472" s="7">
        <f>IFERROR(VLOOKUP(Table2[[#This Row],[tune_meter]],Table1[#All],3,FALSE),"NONE")</f>
        <v>19</v>
      </c>
      <c r="F472" t="s">
        <v>324</v>
      </c>
      <c r="G472" t="str">
        <f>IF(Table2[[#This Row],[tune_book]]="LFTBs","Red Book","Green Book")</f>
        <v>Green Book</v>
      </c>
      <c r="H472" t="s">
        <v>1198</v>
      </c>
      <c r="I472" t="s">
        <v>1199</v>
      </c>
      <c r="J472" t="str">
        <f>Table2[[#This Row],[file_name]]&amp;".mp3"</f>
        <v>47g.mid.mp3</v>
      </c>
      <c r="M472">
        <v>334</v>
      </c>
      <c r="N4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--song="Oldham Street (Trinity) (C.M.)" --artist="Howgate" --comment="" --album="Green Book" --track="47" 47g.mid.mp3</v>
      </c>
      <c r="P472" s="4" t="e">
        <f ca="1">VLOOKUP(Table2[[#This Row],[mp3_file]],Table3[#All],3,FALSE)</f>
        <v>#NAME?</v>
      </c>
    </row>
    <row r="473" spans="1:16" x14ac:dyDescent="0.3">
      <c r="A473">
        <v>361</v>
      </c>
      <c r="B473" t="s">
        <v>1610</v>
      </c>
      <c r="C473" t="s">
        <v>470</v>
      </c>
      <c r="D473" s="7">
        <f>IFERROR(VLOOKUP(Table2[[#This Row],[tune_meter]],Table1[#All],3,FALSE),"NONE")</f>
        <v>50</v>
      </c>
      <c r="F473" t="s">
        <v>324</v>
      </c>
      <c r="G473" t="str">
        <f>IF(Table2[[#This Row],[tune_book]]="LFTBs","Red Book","Green Book")</f>
        <v>Green Book</v>
      </c>
      <c r="H473" t="s">
        <v>1611</v>
      </c>
      <c r="I473" t="s">
        <v>1612</v>
      </c>
      <c r="J473" t="str">
        <f>Table2[[#This Row],[file_name]]&amp;".mp3"</f>
        <v>361g.mid.mp3</v>
      </c>
      <c r="M473">
        <v>508</v>
      </c>
      <c r="N4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--song="Olivers (8.7.8.7.4.7.)" --artist="T. Olivers" --comment="" --album="Green Book" --track="361" 361g.mid.mp3</v>
      </c>
      <c r="P473" s="4" t="e">
        <f ca="1">VLOOKUP(Table2[[#This Row],[mp3_file]],Table3[#All],3,FALSE)</f>
        <v>#NAME?</v>
      </c>
    </row>
    <row r="474" spans="1:16" x14ac:dyDescent="0.3">
      <c r="A474">
        <v>186</v>
      </c>
      <c r="B474" t="s">
        <v>1477</v>
      </c>
      <c r="C474" t="s">
        <v>406</v>
      </c>
      <c r="D474" s="7">
        <f>IFERROR(VLOOKUP(Table2[[#This Row],[tune_meter]],Table1[#All],3,FALSE),"NONE")</f>
        <v>93</v>
      </c>
      <c r="F474" t="s">
        <v>324</v>
      </c>
      <c r="G474" t="str">
        <f>IF(Table2[[#This Row],[tune_book]]="LFTBs","Red Book","Green Book")</f>
        <v>Green Book</v>
      </c>
      <c r="H474" t="s">
        <v>410</v>
      </c>
      <c r="I474" t="s">
        <v>1478</v>
      </c>
      <c r="J474" t="str">
        <f>Table2[[#This Row],[file_name]]&amp;".mp3"</f>
        <v>186g.mid.mp3</v>
      </c>
      <c r="M474">
        <v>451</v>
      </c>
      <c r="N4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--song="Olivet (6.6.4.6.6.6.4.)" --artist="Dr. Lowell Mason" --comment="" --album="Green Book" --track="186" 186g.mid.mp3</v>
      </c>
      <c r="P474" s="4" t="e">
        <f ca="1">VLOOKUP(Table2[[#This Row],[mp3_file]],Table3[#All],3,FALSE)</f>
        <v>#NAME?</v>
      </c>
    </row>
    <row r="475" spans="1:16" x14ac:dyDescent="0.3">
      <c r="A475">
        <v>112</v>
      </c>
      <c r="B475" t="s">
        <v>1688</v>
      </c>
      <c r="C475" t="s">
        <v>516</v>
      </c>
      <c r="D475" s="7">
        <f>IFERROR(VLOOKUP(Table2[[#This Row],[tune_meter]],Table1[#All],3,FALSE),"NONE")</f>
        <v>16</v>
      </c>
      <c r="F475" t="s">
        <v>324</v>
      </c>
      <c r="G475" t="str">
        <f>IF(Table2[[#This Row],[tune_book]]="LFTBs","Red Book","Green Book")</f>
        <v>Green Book</v>
      </c>
      <c r="H475" t="s">
        <v>2876</v>
      </c>
      <c r="I475" t="s">
        <v>1689</v>
      </c>
      <c r="J475" t="str">
        <f>Table2[[#This Row],[file_name]]&amp;".mp3"</f>
        <v>112g.mid.mp3</v>
      </c>
      <c r="M475">
        <v>543</v>
      </c>
      <c r="N4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--song="Ombersley (L.M.)" --artist="W. H. Gladstone" --comment="" --album="Green Book" --track="112" 112g.mid.mp3</v>
      </c>
      <c r="P475" s="4" t="e">
        <f ca="1">VLOOKUP(Table2[[#This Row],[mp3_file]],Table3[#All],3,FALSE)</f>
        <v>#NAME?</v>
      </c>
    </row>
    <row r="476" spans="1:16" x14ac:dyDescent="0.3">
      <c r="A476">
        <v>227</v>
      </c>
      <c r="B476" t="s">
        <v>942</v>
      </c>
      <c r="C476" t="s">
        <v>492</v>
      </c>
      <c r="D476" s="7">
        <f>IFERROR(VLOOKUP(Table2[[#This Row],[tune_meter]],Table1[#All],3,FALSE),"NONE")</f>
        <v>35</v>
      </c>
      <c r="F476" t="s">
        <v>459</v>
      </c>
      <c r="G476" t="str">
        <f>IF(Table2[[#This Row],[tune_book]]="LFTBs","Red Book","Green Book")</f>
        <v>Red Book</v>
      </c>
      <c r="H476" t="s">
        <v>384</v>
      </c>
      <c r="I476" t="s">
        <v>943</v>
      </c>
      <c r="J476" t="str">
        <f>Table2[[#This Row],[file_name]]&amp;".mp3"</f>
        <v>227r.mid.mp3</v>
      </c>
      <c r="M476">
        <v>228</v>
      </c>
      <c r="N4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--song="Omega (9.8.9.8.)" --artist="E. Carren" --comment="" --album="Red Book" --track="227" 227r.mid.mp3</v>
      </c>
      <c r="P476" s="4" t="e">
        <f ca="1">VLOOKUP(Table2[[#This Row],[mp3_file]],Table3[#All],3,FALSE)</f>
        <v>#NAME?</v>
      </c>
    </row>
    <row r="477" spans="1:16" x14ac:dyDescent="0.3">
      <c r="A477">
        <v>55</v>
      </c>
      <c r="B477" t="s">
        <v>944</v>
      </c>
      <c r="C477" t="s">
        <v>354</v>
      </c>
      <c r="D477" s="7">
        <f>IFERROR(VLOOKUP(Table2[[#This Row],[tune_meter]],Table1[#All],3,FALSE),"NONE")</f>
        <v>28</v>
      </c>
      <c r="F477" t="s">
        <v>459</v>
      </c>
      <c r="G477" t="str">
        <f>IF(Table2[[#This Row],[tune_book]]="LFTBs","Red Book","Green Book")</f>
        <v>Red Book</v>
      </c>
      <c r="H477" t="s">
        <v>2759</v>
      </c>
      <c r="I477" t="s">
        <v>945</v>
      </c>
      <c r="J477" t="str">
        <f>Table2[[#This Row],[file_name]]&amp;".mp3"</f>
        <v>55r.mid.mp3</v>
      </c>
      <c r="K477" s="4">
        <v>1962</v>
      </c>
      <c r="M477">
        <v>229</v>
      </c>
      <c r="N4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--song="Omnipotent (4.8.4.8.8.)" --artist="D. Alan Clarke" --comment="" --album="Red Book" --track="55" 55r.mid.mp3</v>
      </c>
      <c r="P477" s="4" t="e">
        <f ca="1">VLOOKUP(Table2[[#This Row],[mp3_file]],Table3[#All],3,FALSE)</f>
        <v>#NAME?</v>
      </c>
    </row>
    <row r="478" spans="1:16" x14ac:dyDescent="0.3">
      <c r="A478">
        <v>267</v>
      </c>
      <c r="B478" t="s">
        <v>946</v>
      </c>
      <c r="C478" t="s">
        <v>495</v>
      </c>
      <c r="D478" s="7">
        <f>IFERROR(VLOOKUP(Table2[[#This Row],[tune_meter]],Table1[#All],3,FALSE),"NONE")</f>
        <v>52</v>
      </c>
      <c r="F478" t="s">
        <v>459</v>
      </c>
      <c r="G478" t="str">
        <f>IF(Table2[[#This Row],[tune_book]]="LFTBs","Red Book","Green Book")</f>
        <v>Red Book</v>
      </c>
      <c r="H478" t="s">
        <v>351</v>
      </c>
      <c r="I478" t="s">
        <v>947</v>
      </c>
      <c r="J478" t="str">
        <f>Table2[[#This Row],[file_name]]&amp;".mp3"</f>
        <v>267r.mid.mp3</v>
      </c>
      <c r="M478">
        <v>230</v>
      </c>
      <c r="N4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--song="Only a Touch (11.10.11.10.)" --artist="C. Leflaive" --comment="" --album="Red Book" --track="267" 267r.mid.mp3</v>
      </c>
      <c r="P478" s="4" t="e">
        <f ca="1">VLOOKUP(Table2[[#This Row],[mp3_file]],Table3[#All],3,FALSE)</f>
        <v>#NAME?</v>
      </c>
    </row>
    <row r="479" spans="1:16" x14ac:dyDescent="0.3">
      <c r="A479">
        <v>188</v>
      </c>
      <c r="B479" t="s">
        <v>948</v>
      </c>
      <c r="C479" t="s">
        <v>476</v>
      </c>
      <c r="D479" s="7">
        <f>IFERROR(VLOOKUP(Table2[[#This Row],[tune_meter]],Table1[#All],3,FALSE),"NONE")</f>
        <v>25</v>
      </c>
      <c r="F479" t="s">
        <v>459</v>
      </c>
      <c r="G479" t="str">
        <f>IF(Table2[[#This Row],[tune_book]]="LFTBs","Red Book","Green Book")</f>
        <v>Red Book</v>
      </c>
      <c r="H479" t="s">
        <v>348</v>
      </c>
      <c r="I479" t="s">
        <v>949</v>
      </c>
      <c r="J479" t="str">
        <f>Table2[[#This Row],[file_name]]&amp;".mp3"</f>
        <v>188r.mid.mp3</v>
      </c>
      <c r="M479">
        <v>231</v>
      </c>
      <c r="N4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--song="Only Waiting (8.7.8.7.8.7.8.7.)" --artist="Ira D. Sankey" --comment="" --album="Red Book" --track="188" 188r.mid.mp3</v>
      </c>
      <c r="P479" s="4" t="e">
        <f ca="1">VLOOKUP(Table2[[#This Row],[mp3_file]],Table3[#All],3,FALSE)</f>
        <v>#NAME?</v>
      </c>
    </row>
    <row r="480" spans="1:16" x14ac:dyDescent="0.3">
      <c r="A480">
        <v>296</v>
      </c>
      <c r="B480" t="s">
        <v>950</v>
      </c>
      <c r="C480" t="s">
        <v>588</v>
      </c>
      <c r="D480" s="7">
        <f>IFERROR(VLOOKUP(Table2[[#This Row],[tune_meter]],Table1[#All],3,FALSE),"NONE")</f>
        <v>85</v>
      </c>
      <c r="F480" t="s">
        <v>459</v>
      </c>
      <c r="G480" t="str">
        <f>IF(Table2[[#This Row],[tune_book]]="LFTBs","Red Book","Green Book")</f>
        <v>Red Book</v>
      </c>
      <c r="H480" t="s">
        <v>670</v>
      </c>
      <c r="I480" t="s">
        <v>951</v>
      </c>
      <c r="J480" t="str">
        <f>Table2[[#This Row],[file_name]]&amp;".mp3"</f>
        <v>296r.mid.mp3</v>
      </c>
      <c r="M480">
        <v>232</v>
      </c>
      <c r="N4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--song="Ootha (14.14.14.14.)" --artist="John F. Harvey" --comment="" --album="Red Book" --track="296" 296r.mid.mp3</v>
      </c>
      <c r="P480" s="4" t="e">
        <f ca="1">VLOOKUP(Table2[[#This Row],[mp3_file]],Table3[#All],3,FALSE)</f>
        <v>#NAME?</v>
      </c>
    </row>
    <row r="481" spans="1:16" x14ac:dyDescent="0.3">
      <c r="A481">
        <v>48</v>
      </c>
      <c r="B481" t="s">
        <v>1200</v>
      </c>
      <c r="C481" t="s">
        <v>486</v>
      </c>
      <c r="D481" s="7">
        <f>IFERROR(VLOOKUP(Table2[[#This Row],[tune_meter]],Table1[#All],3,FALSE),"NONE")</f>
        <v>19</v>
      </c>
      <c r="F481" t="s">
        <v>324</v>
      </c>
      <c r="G481" t="str">
        <f>IF(Table2[[#This Row],[tune_book]]="LFTBs","Red Book","Green Book")</f>
        <v>Green Book</v>
      </c>
      <c r="H481" t="s">
        <v>1201</v>
      </c>
      <c r="I481" t="s">
        <v>1202</v>
      </c>
      <c r="J481" t="str">
        <f>Table2[[#This Row],[file_name]]&amp;".mp3"</f>
        <v>48g.mid.mp3</v>
      </c>
      <c r="M481">
        <v>335</v>
      </c>
      <c r="N4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--song="Orlington (C.M.)" --artist="J. Campbell" --comment="" --album="Green Book" --track="48" 48g.mid.mp3</v>
      </c>
      <c r="P481" s="4" t="e">
        <f ca="1">VLOOKUP(Table2[[#This Row],[mp3_file]],Table3[#All],3,FALSE)</f>
        <v>#NAME?</v>
      </c>
    </row>
    <row r="482" spans="1:16" x14ac:dyDescent="0.3">
      <c r="A482">
        <v>350</v>
      </c>
      <c r="B482" t="s">
        <v>1329</v>
      </c>
      <c r="C482" t="s">
        <v>906</v>
      </c>
      <c r="D482" s="7">
        <f>IFERROR(VLOOKUP(Table2[[#This Row],[tune_meter]],Table1[#All],3,FALSE),"NONE")</f>
        <v>80</v>
      </c>
      <c r="F482" t="s">
        <v>324</v>
      </c>
      <c r="G482" t="str">
        <f>IF(Table2[[#This Row],[tune_book]]="LFTBs","Red Book","Green Book")</f>
        <v>Green Book</v>
      </c>
      <c r="H482" t="s">
        <v>1330</v>
      </c>
      <c r="I482" t="s">
        <v>1331</v>
      </c>
      <c r="J482" t="str">
        <f>Table2[[#This Row],[file_name]]&amp;".mp3"</f>
        <v>350g.mid.mp3</v>
      </c>
      <c r="M482">
        <v>387</v>
      </c>
      <c r="N4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--song="Oslo (8.7.8.7. Dactylic)" --artist="Norwegian Air" --comment="" --album="Green Book" --track="350" 350g.mid.mp3</v>
      </c>
      <c r="P482" s="4" t="e">
        <f ca="1">VLOOKUP(Table2[[#This Row],[mp3_file]],Table3[#All],3,FALSE)</f>
        <v>#NAME?</v>
      </c>
    </row>
    <row r="483" spans="1:16" x14ac:dyDescent="0.3">
      <c r="A483">
        <v>214</v>
      </c>
      <c r="B483" t="s">
        <v>952</v>
      </c>
      <c r="C483" t="s">
        <v>554</v>
      </c>
      <c r="D483" s="7">
        <f>IFERROR(VLOOKUP(Table2[[#This Row],[tune_meter]],Table1[#All],3,FALSE),"NONE")</f>
        <v>26</v>
      </c>
      <c r="F483" t="s">
        <v>459</v>
      </c>
      <c r="G483" t="str">
        <f>IF(Table2[[#This Row],[tune_book]]="LFTBs","Red Book","Green Book")</f>
        <v>Red Book</v>
      </c>
      <c r="H483" t="s">
        <v>953</v>
      </c>
      <c r="I483" t="s">
        <v>954</v>
      </c>
      <c r="J483" t="str">
        <f>Table2[[#This Row],[file_name]]&amp;".mp3"</f>
        <v>214r.mid.mp3</v>
      </c>
      <c r="M483">
        <v>233</v>
      </c>
      <c r="N4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--song="Our Leader (8.8.8.8.8.8.)" --artist="Jacob Hoff" --comment="" --album="Red Book" --track="214" 214r.mid.mp3</v>
      </c>
      <c r="P483" s="4" t="e">
        <f ca="1">VLOOKUP(Table2[[#This Row],[mp3_file]],Table3[#All],3,FALSE)</f>
        <v>#NAME?</v>
      </c>
    </row>
    <row r="484" spans="1:16" x14ac:dyDescent="0.3">
      <c r="A484">
        <v>330</v>
      </c>
      <c r="B484" t="s">
        <v>955</v>
      </c>
      <c r="C484" t="s">
        <v>370</v>
      </c>
      <c r="D484" s="7">
        <f>IFERROR(VLOOKUP(Table2[[#This Row],[tune_meter]],Table1[#All],3,FALSE),"NONE")</f>
        <v>24</v>
      </c>
      <c r="F484" t="s">
        <v>324</v>
      </c>
      <c r="G484" t="str">
        <f>IF(Table2[[#This Row],[tune_book]]="LFTBs","Red Book","Green Book")</f>
        <v>Green Book</v>
      </c>
      <c r="H484" t="s">
        <v>956</v>
      </c>
      <c r="I484" t="s">
        <v>1317</v>
      </c>
      <c r="J484" t="str">
        <f>Table2[[#This Row],[file_name]]&amp;".mp3"</f>
        <v>330g.mid.mp3</v>
      </c>
      <c r="M484">
        <v>381</v>
      </c>
      <c r="N4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--song="Oxford (8.7.8.7.)" --artist="Mrs. Daphne M. Morren" --comment="" --album="Green Book" --track="330" 330g.mid.mp3</v>
      </c>
      <c r="P484" s="4" t="e">
        <f ca="1">VLOOKUP(Table2[[#This Row],[mp3_file]],Table3[#All],3,FALSE)</f>
        <v>#NAME?</v>
      </c>
    </row>
    <row r="485" spans="1:16" x14ac:dyDescent="0.3">
      <c r="A485">
        <v>76</v>
      </c>
      <c r="B485" t="s">
        <v>957</v>
      </c>
      <c r="C485" t="s">
        <v>406</v>
      </c>
      <c r="D485" s="7">
        <f>IFERROR(VLOOKUP(Table2[[#This Row],[tune_meter]],Table1[#All],3,FALSE),"NONE")</f>
        <v>93</v>
      </c>
      <c r="F485" t="s">
        <v>459</v>
      </c>
      <c r="G485" t="str">
        <f>IF(Table2[[#This Row],[tune_book]]="LFTBs","Red Book","Green Book")</f>
        <v>Red Book</v>
      </c>
      <c r="H485" t="s">
        <v>958</v>
      </c>
      <c r="I485" t="s">
        <v>959</v>
      </c>
      <c r="J485" t="str">
        <f>Table2[[#This Row],[file_name]]&amp;".mp3"</f>
        <v>76r.mid.mp3</v>
      </c>
      <c r="M485">
        <v>235</v>
      </c>
      <c r="N4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--song="Paignton (6.6.4.6.6.6.4.)" --artist="A.B. Skeffington" --comment="" --album="Red Book" --track="76" 76r.mid.mp3</v>
      </c>
      <c r="P485" s="4" t="e">
        <f ca="1">VLOOKUP(Table2[[#This Row],[mp3_file]],Table3[#All],3,FALSE)</f>
        <v>#NAME?</v>
      </c>
    </row>
    <row r="486" spans="1:16" x14ac:dyDescent="0.3">
      <c r="A486">
        <v>307</v>
      </c>
      <c r="B486" t="s">
        <v>1569</v>
      </c>
      <c r="C486" t="s">
        <v>483</v>
      </c>
      <c r="D486" s="7">
        <f>IFERROR(VLOOKUP(Table2[[#This Row],[tune_meter]],Table1[#All],3,FALSE),"NONE")</f>
        <v>55</v>
      </c>
      <c r="F486" t="s">
        <v>324</v>
      </c>
      <c r="G486" t="str">
        <f>IF(Table2[[#This Row],[tune_book]]="LFTBs","Red Book","Green Book")</f>
        <v>Green Book</v>
      </c>
      <c r="H486" t="s">
        <v>1570</v>
      </c>
      <c r="I486" t="s">
        <v>1571</v>
      </c>
      <c r="J486" t="str">
        <f>Table2[[#This Row],[file_name]]&amp;".mp3"</f>
        <v>307g.mid.mp3</v>
      </c>
      <c r="M486">
        <v>491</v>
      </c>
      <c r="N4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--song="Palmyra (8.6.8.6.8.8.)" --artist="J. Summers" --comment="" --album="Green Book" --track="307" 307g.mid.mp3</v>
      </c>
      <c r="P486" s="4" t="e">
        <f ca="1">VLOOKUP(Table2[[#This Row],[mp3_file]],Table3[#All],3,FALSE)</f>
        <v>#NAME?</v>
      </c>
    </row>
    <row r="487" spans="1:16" x14ac:dyDescent="0.3">
      <c r="A487">
        <v>284</v>
      </c>
      <c r="B487" t="s">
        <v>960</v>
      </c>
      <c r="C487" t="s">
        <v>912</v>
      </c>
      <c r="D487" s="7">
        <f>IFERROR(VLOOKUP(Table2[[#This Row],[tune_meter]],Table1[#All],3,FALSE),"NONE")</f>
        <v>33</v>
      </c>
      <c r="E487" t="s">
        <v>913</v>
      </c>
      <c r="F487" t="s">
        <v>459</v>
      </c>
      <c r="G487" t="str">
        <f>IF(Table2[[#This Row],[tune_book]]="LFTBs","Red Book","Green Book")</f>
        <v>Red Book</v>
      </c>
      <c r="H487" t="s">
        <v>384</v>
      </c>
      <c r="I487" t="s">
        <v>961</v>
      </c>
      <c r="J487" t="str">
        <f>Table2[[#This Row],[file_name]]&amp;".mp3"</f>
        <v>284r.mid.mp3</v>
      </c>
      <c r="M487">
        <v>236</v>
      </c>
      <c r="N4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--song="Parclete (12.11.12.11.)" --artist="E. Carren" --comment="" --album="Red Book" --track="284" 284r.mid.mp3</v>
      </c>
      <c r="P487" s="4" t="e">
        <f ca="1">VLOOKUP(Table2[[#This Row],[mp3_file]],Table3[#All],3,FALSE)</f>
        <v>#NAME?</v>
      </c>
    </row>
    <row r="488" spans="1:16" x14ac:dyDescent="0.3">
      <c r="A488">
        <v>236</v>
      </c>
      <c r="B488" t="s">
        <v>962</v>
      </c>
      <c r="C488" t="s">
        <v>878</v>
      </c>
      <c r="D488" s="7">
        <f>IFERROR(VLOOKUP(Table2[[#This Row],[tune_meter]],Table1[#All],3,FALSE),"NONE")</f>
        <v>59</v>
      </c>
      <c r="F488" t="s">
        <v>459</v>
      </c>
      <c r="G488" t="str">
        <f>IF(Table2[[#This Row],[tune_book]]="LFTBs","Red Book","Green Book")</f>
        <v>Red Book</v>
      </c>
      <c r="H488" t="s">
        <v>963</v>
      </c>
      <c r="I488" t="s">
        <v>964</v>
      </c>
      <c r="J488" t="str">
        <f>Table2[[#This Row],[file_name]]&amp;".mp3"</f>
        <v>236r.mid.mp3</v>
      </c>
      <c r="M488">
        <v>237</v>
      </c>
      <c r="N4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--song="Park Langley (9.8.9.8.9.8.9.8.)" --artist="Rev. E.H. Gladstone Sargent" --comment="" --album="Red Book" --track="236" 236r.mid.mp3</v>
      </c>
      <c r="P488" s="4" t="e">
        <f ca="1">VLOOKUP(Table2[[#This Row],[mp3_file]],Table3[#All],3,FALSE)</f>
        <v>#NAME?</v>
      </c>
    </row>
    <row r="489" spans="1:16" x14ac:dyDescent="0.3">
      <c r="A489">
        <v>171</v>
      </c>
      <c r="B489" t="s">
        <v>412</v>
      </c>
      <c r="C489" t="s">
        <v>339</v>
      </c>
      <c r="D489" s="7">
        <f>IFERROR(VLOOKUP(Table2[[#This Row],[tune_meter]],Table1[#All],3,FALSE),"NONE")</f>
        <v>62</v>
      </c>
      <c r="F489" t="s">
        <v>324</v>
      </c>
      <c r="G489" t="str">
        <f>IF(Table2[[#This Row],[tune_book]]="LFTBs","Red Book","Green Book")</f>
        <v>Green Book</v>
      </c>
      <c r="H489" t="s">
        <v>2877</v>
      </c>
      <c r="I489" t="s">
        <v>413</v>
      </c>
      <c r="J489" t="str">
        <f>Table2[[#This Row],[file_name]]&amp;".mp3"</f>
        <v>171g.mid.mp3</v>
      </c>
      <c r="M489">
        <v>27</v>
      </c>
      <c r="N4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--song="Park Street (6.4.6.4.)" --artist="J. H. Kilick" --comment="" --album="Green Book" --track="171" 171g.mid.mp3</v>
      </c>
      <c r="P489" s="4" t="e">
        <f ca="1">VLOOKUP(Table2[[#This Row],[mp3_file]],Table3[#All],3,FALSE)</f>
        <v>#NAME?</v>
      </c>
    </row>
    <row r="490" spans="1:16" x14ac:dyDescent="0.3">
      <c r="A490">
        <v>549</v>
      </c>
      <c r="B490" t="s">
        <v>2176</v>
      </c>
      <c r="C490" t="s">
        <v>467</v>
      </c>
      <c r="D490" s="7">
        <f>IFERROR(VLOOKUP(Table2[[#This Row],[tune_meter]],Table1[#All],3,FALSE),"NONE")</f>
        <v>34</v>
      </c>
      <c r="F490" t="s">
        <v>324</v>
      </c>
      <c r="G490" t="str">
        <f>IF(Table2[[#This Row],[tune_book]]="LFTBs","Red Book","Green Book")</f>
        <v>Green Book</v>
      </c>
      <c r="H490" t="s">
        <v>2878</v>
      </c>
      <c r="I490" t="s">
        <v>2177</v>
      </c>
      <c r="J490" t="str">
        <f>Table2[[#This Row],[file_name]]&amp;".mp3"</f>
        <v>549g.mid.mp3</v>
      </c>
      <c r="M490">
        <v>756</v>
      </c>
      <c r="N4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--song="Passion Chorale (7.6.7.6.7.6.7.6.)" --artist="H. L. Hassler" --comment="" --album="Green Book" --track="549" 549g.mid.mp3</v>
      </c>
      <c r="P490" s="4" t="e">
        <f ca="1">VLOOKUP(Table2[[#This Row],[mp3_file]],Table3[#All],3,FALSE)</f>
        <v>#NAME?</v>
      </c>
    </row>
    <row r="491" spans="1:16" x14ac:dyDescent="0.3">
      <c r="A491">
        <v>219</v>
      </c>
      <c r="B491" t="s">
        <v>1885</v>
      </c>
      <c r="C491" t="s">
        <v>886</v>
      </c>
      <c r="D491" s="7">
        <f>IFERROR(VLOOKUP(Table2[[#This Row],[tune_meter]],Table1[#All],3,FALSE),"NONE")</f>
        <v>41</v>
      </c>
      <c r="F491" t="s">
        <v>324</v>
      </c>
      <c r="G491" t="str">
        <f>IF(Table2[[#This Row],[tune_book]]="LFTBs","Red Book","Green Book")</f>
        <v>Green Book</v>
      </c>
      <c r="H491" t="s">
        <v>1886</v>
      </c>
      <c r="I491" t="s">
        <v>1887</v>
      </c>
      <c r="J491" t="str">
        <f>Table2[[#This Row],[file_name]]&amp;".mp3"</f>
        <v>219g.mid.mp3</v>
      </c>
      <c r="M491">
        <v>624</v>
      </c>
      <c r="N4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--song="Pastor (7.6.7.6.)" --artist="Melchior Vulpiius" --comment="" --album="Green Book" --track="219" 219g.mid.mp3</v>
      </c>
      <c r="P491" s="4" t="e">
        <f ca="1">VLOOKUP(Table2[[#This Row],[mp3_file]],Table3[#All],3,FALSE)</f>
        <v>#NAME?</v>
      </c>
    </row>
    <row r="492" spans="1:16" x14ac:dyDescent="0.3">
      <c r="A492">
        <v>47</v>
      </c>
      <c r="B492" t="s">
        <v>965</v>
      </c>
      <c r="C492" t="s">
        <v>623</v>
      </c>
      <c r="D492" s="7">
        <f>IFERROR(VLOOKUP(Table2[[#This Row],[tune_meter]],Table1[#All],3,FALSE),"NONE")</f>
        <v>22</v>
      </c>
      <c r="F492" t="s">
        <v>459</v>
      </c>
      <c r="G492" t="str">
        <f>IF(Table2[[#This Row],[tune_book]]="LFTBs","Red Book","Green Book")</f>
        <v>Red Book</v>
      </c>
      <c r="H492" t="s">
        <v>966</v>
      </c>
      <c r="I492" t="s">
        <v>967</v>
      </c>
      <c r="J492" t="str">
        <f>Table2[[#This Row],[file_name]]&amp;".mp3"</f>
        <v>47r.mid.mp3</v>
      </c>
      <c r="M492">
        <v>238</v>
      </c>
      <c r="N4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--song="Patience (S.M.)" --artist="Miss F.R. Jones" --comment="" --album="Red Book" --track="47" 47r.mid.mp3</v>
      </c>
      <c r="P492" s="4" t="e">
        <f ca="1">VLOOKUP(Table2[[#This Row],[mp3_file]],Table3[#All],3,FALSE)</f>
        <v>#NAME?</v>
      </c>
    </row>
    <row r="493" spans="1:16" x14ac:dyDescent="0.3">
      <c r="A493">
        <v>228</v>
      </c>
      <c r="B493" t="s">
        <v>968</v>
      </c>
      <c r="C493" t="s">
        <v>492</v>
      </c>
      <c r="D493" s="7">
        <f>IFERROR(VLOOKUP(Table2[[#This Row],[tune_meter]],Table1[#All],3,FALSE),"NONE")</f>
        <v>35</v>
      </c>
      <c r="F493" t="s">
        <v>459</v>
      </c>
      <c r="G493" t="str">
        <f>IF(Table2[[#This Row],[tune_book]]="LFTBs","Red Book","Green Book")</f>
        <v>Red Book</v>
      </c>
      <c r="H493" t="s">
        <v>761</v>
      </c>
      <c r="I493" t="s">
        <v>969</v>
      </c>
      <c r="J493" t="str">
        <f>Table2[[#This Row],[file_name]]&amp;".mp3"</f>
        <v>228r.mid.mp3</v>
      </c>
      <c r="L493" t="s">
        <v>970</v>
      </c>
      <c r="M493">
        <v>239</v>
      </c>
      <c r="N4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--song="Peace Eternal (9.8.9.8.)" --artist="R. Arras" --comment="German Tunes (1952) No. 163" --album="Red Book" --track="228" 228r.mid.mp3</v>
      </c>
      <c r="P493" s="4" t="e">
        <f ca="1">VLOOKUP(Table2[[#This Row],[mp3_file]],Table3[#All],3,FALSE)</f>
        <v>#NAME?</v>
      </c>
    </row>
    <row r="494" spans="1:16" x14ac:dyDescent="0.3">
      <c r="A494">
        <v>255</v>
      </c>
      <c r="B494" t="s">
        <v>971</v>
      </c>
      <c r="C494" t="s">
        <v>582</v>
      </c>
      <c r="D494" s="7">
        <f>IFERROR(VLOOKUP(Table2[[#This Row],[tune_meter]],Table1[#All],3,FALSE),"NONE")</f>
        <v>21</v>
      </c>
      <c r="F494" t="s">
        <v>459</v>
      </c>
      <c r="G494" t="str">
        <f>IF(Table2[[#This Row],[tune_book]]="LFTBs","Red Book","Green Book")</f>
        <v>Red Book</v>
      </c>
      <c r="H494" t="s">
        <v>344</v>
      </c>
      <c r="I494" t="s">
        <v>972</v>
      </c>
      <c r="J494" t="str">
        <f>Table2[[#This Row],[file_name]]&amp;".mp3"</f>
        <v>255r.mid.mp3</v>
      </c>
      <c r="M494">
        <v>240</v>
      </c>
      <c r="N4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--song="Peel Castle (10.10.10.10.)" --artist="Unknown" --comment="" --album="Red Book" --track="255" 255r.mid.mp3</v>
      </c>
      <c r="P494" s="4" t="e">
        <f ca="1">VLOOKUP(Table2[[#This Row],[mp3_file]],Table3[#All],3,FALSE)</f>
        <v>#NAME?</v>
      </c>
    </row>
    <row r="495" spans="1:16" x14ac:dyDescent="0.3">
      <c r="A495">
        <v>77</v>
      </c>
      <c r="B495" t="s">
        <v>973</v>
      </c>
      <c r="C495" t="s">
        <v>913</v>
      </c>
      <c r="D495" s="7">
        <f>IFERROR(VLOOKUP(Table2[[#This Row],[tune_meter]],Table1[#All],3,FALSE),"NONE")</f>
        <v>43</v>
      </c>
      <c r="F495" t="s">
        <v>459</v>
      </c>
      <c r="G495" t="str">
        <f>IF(Table2[[#This Row],[tune_book]]="LFTBs","Red Book","Green Book")</f>
        <v>Red Book</v>
      </c>
      <c r="H495" t="s">
        <v>464</v>
      </c>
      <c r="I495" t="s">
        <v>974</v>
      </c>
      <c r="J495" t="str">
        <f>Table2[[#This Row],[file_name]]&amp;".mp3"</f>
        <v>77r.mid.mp3</v>
      </c>
      <c r="M495">
        <v>241</v>
      </c>
      <c r="N4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--song="Pekah (6.6.6.5.6.6.6.5.)" --artist="Miss E.C. Shanks" --comment="" --album="Red Book" --track="77" 77r.mid.mp3</v>
      </c>
      <c r="P495" s="4" t="e">
        <f ca="1">VLOOKUP(Table2[[#This Row],[mp3_file]],Table3[#All],3,FALSE)</f>
        <v>#NAME?</v>
      </c>
    </row>
    <row r="496" spans="1:16" x14ac:dyDescent="0.3">
      <c r="A496">
        <v>408</v>
      </c>
      <c r="B496" t="s">
        <v>2024</v>
      </c>
      <c r="C496" t="s">
        <v>527</v>
      </c>
      <c r="D496" s="7">
        <f>IFERROR(VLOOKUP(Table2[[#This Row],[tune_meter]],Table1[#All],3,FALSE),"NONE")</f>
        <v>20</v>
      </c>
      <c r="F496" t="s">
        <v>324</v>
      </c>
      <c r="G496" t="str">
        <f>IF(Table2[[#This Row],[tune_book]]="LFTBs","Red Book","Green Book")</f>
        <v>Green Book</v>
      </c>
      <c r="H496" t="s">
        <v>2025</v>
      </c>
      <c r="I496" t="s">
        <v>2026</v>
      </c>
      <c r="J496" t="str">
        <f>Table2[[#This Row],[file_name]]&amp;".mp3"</f>
        <v>408g.mid.mp3</v>
      </c>
      <c r="M496">
        <v>684</v>
      </c>
      <c r="N4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--song="Pembroke (8.8.6.8.8.6.)" --artist="J. Foster" --comment="" --album="Green Book" --track="408" 408g.mid.mp3</v>
      </c>
      <c r="P496" s="4" t="e">
        <f ca="1">VLOOKUP(Table2[[#This Row],[mp3_file]],Table3[#All],3,FALSE)</f>
        <v>#NAME?</v>
      </c>
    </row>
    <row r="497" spans="1:16" x14ac:dyDescent="0.3">
      <c r="A497">
        <v>113</v>
      </c>
      <c r="B497" t="s">
        <v>1245</v>
      </c>
      <c r="C497" t="s">
        <v>516</v>
      </c>
      <c r="D497" s="7">
        <f>IFERROR(VLOOKUP(Table2[[#This Row],[tune_meter]],Table1[#All],3,FALSE),"NONE")</f>
        <v>16</v>
      </c>
      <c r="F497" t="s">
        <v>324</v>
      </c>
      <c r="G497" t="str">
        <f>IF(Table2[[#This Row],[tune_book]]="LFTBs","Red Book","Green Book")</f>
        <v>Green Book</v>
      </c>
      <c r="H497" t="s">
        <v>1246</v>
      </c>
      <c r="I497" t="s">
        <v>1247</v>
      </c>
      <c r="J497" t="str">
        <f>Table2[[#This Row],[file_name]]&amp;".mp3"</f>
        <v>113g.mid.mp3</v>
      </c>
      <c r="M497">
        <v>352</v>
      </c>
      <c r="N4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--song="Pentecost (L.M.)" --artist="W. Boyd" --comment="" --album="Green Book" --track="113" 113g.mid.mp3</v>
      </c>
      <c r="P497" s="4" t="e">
        <f ca="1">VLOOKUP(Table2[[#This Row],[mp3_file]],Table3[#All],3,FALSE)</f>
        <v>#NAME?</v>
      </c>
    </row>
    <row r="498" spans="1:16" x14ac:dyDescent="0.3">
      <c r="A498">
        <v>419</v>
      </c>
      <c r="B498" t="s">
        <v>414</v>
      </c>
      <c r="C498" t="s">
        <v>415</v>
      </c>
      <c r="D498" s="7">
        <f>IFERROR(VLOOKUP(Table2[[#This Row],[tune_meter]],Table1[#All],3,FALSE),"NONE")</f>
        <v>39</v>
      </c>
      <c r="F498" t="s">
        <v>324</v>
      </c>
      <c r="G498" t="str">
        <f>IF(Table2[[#This Row],[tune_book]]="LFTBs","Red Book","Green Book")</f>
        <v>Green Book</v>
      </c>
      <c r="H498" t="s">
        <v>351</v>
      </c>
      <c r="I498" t="s">
        <v>416</v>
      </c>
      <c r="J498" t="str">
        <f>Table2[[#This Row],[file_name]]&amp;".mp3"</f>
        <v>419g.mid.mp3</v>
      </c>
      <c r="M498">
        <v>28</v>
      </c>
      <c r="N4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--song="Perpetura (8.8.8.6.)" --artist="C. Leflaive" --comment="" --album="Green Book" --track="419" 419g.mid.mp3</v>
      </c>
      <c r="P498" s="4" t="e">
        <f ca="1">VLOOKUP(Table2[[#This Row],[mp3_file]],Table3[#All],3,FALSE)</f>
        <v>#NAME?</v>
      </c>
    </row>
    <row r="499" spans="1:16" x14ac:dyDescent="0.3">
      <c r="A499">
        <v>252</v>
      </c>
      <c r="B499" t="s">
        <v>1522</v>
      </c>
      <c r="C499" t="s">
        <v>467</v>
      </c>
      <c r="D499" s="7">
        <f>IFERROR(VLOOKUP(Table2[[#This Row],[tune_meter]],Table1[#All],3,FALSE),"NONE")</f>
        <v>34</v>
      </c>
      <c r="F499" t="s">
        <v>324</v>
      </c>
      <c r="G499" t="str">
        <f>IF(Table2[[#This Row],[tune_book]]="LFTBs","Red Book","Green Book")</f>
        <v>Green Book</v>
      </c>
      <c r="H499" t="s">
        <v>1482</v>
      </c>
      <c r="I499" t="s">
        <v>1523</v>
      </c>
      <c r="J499" t="str">
        <f>Table2[[#This Row],[file_name]]&amp;".mp3"</f>
        <v>252g.mid.mp3</v>
      </c>
      <c r="M499">
        <v>471</v>
      </c>
      <c r="N4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4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--song="Petition (7.6.7.6.7.6.7.6.)" --artist="From Haydn" --comment="" --album="Green Book" --track="252" 252g.mid.mp3</v>
      </c>
      <c r="P499" s="4" t="e">
        <f ca="1">VLOOKUP(Table2[[#This Row],[mp3_file]],Table3[#All],3,FALSE)</f>
        <v>#NAME?</v>
      </c>
    </row>
    <row r="500" spans="1:16" x14ac:dyDescent="0.3">
      <c r="A500">
        <v>447</v>
      </c>
      <c r="B500" t="s">
        <v>1354</v>
      </c>
      <c r="C500" t="s">
        <v>878</v>
      </c>
      <c r="D500" s="7">
        <f>IFERROR(VLOOKUP(Table2[[#This Row],[tune_meter]],Table1[#All],3,FALSE),"NONE")</f>
        <v>59</v>
      </c>
      <c r="F500" t="s">
        <v>324</v>
      </c>
      <c r="G500" t="str">
        <f>IF(Table2[[#This Row],[tune_book]]="LFTBs","Red Book","Green Book")</f>
        <v>Green Book</v>
      </c>
      <c r="H500" t="s">
        <v>1355</v>
      </c>
      <c r="I500" t="s">
        <v>1356</v>
      </c>
      <c r="J500" t="str">
        <f>Table2[[#This Row],[file_name]]&amp;".mp3"</f>
        <v>447g.mid.mp3</v>
      </c>
      <c r="M500">
        <v>398</v>
      </c>
      <c r="N5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--song="Petrograd (9.8.9.8.9.8.9.8.)" --artist="D. Otsing" --comment="" --album="Green Book" --track="447" 447g.mid.mp3</v>
      </c>
      <c r="P500" s="4" t="e">
        <f ca="1">VLOOKUP(Table2[[#This Row],[mp3_file]],Table3[#All],3,FALSE)</f>
        <v>#NAME?</v>
      </c>
    </row>
    <row r="501" spans="1:16" x14ac:dyDescent="0.3">
      <c r="A501">
        <v>42</v>
      </c>
      <c r="B501" t="s">
        <v>975</v>
      </c>
      <c r="C501" t="s">
        <v>845</v>
      </c>
      <c r="D501" s="7">
        <f>IFERROR(VLOOKUP(Table2[[#This Row],[tune_meter]],Table1[#All],3,FALSE),"NONE")</f>
        <v>84</v>
      </c>
      <c r="F501" t="s">
        <v>459</v>
      </c>
      <c r="G501" t="str">
        <f>IF(Table2[[#This Row],[tune_book]]="LFTBs","Red Book","Green Book")</f>
        <v>Red Book</v>
      </c>
      <c r="H501" t="s">
        <v>464</v>
      </c>
      <c r="I501" t="s">
        <v>976</v>
      </c>
      <c r="J501" t="str">
        <f>Table2[[#This Row],[file_name]]&amp;".mp3"</f>
        <v>42r.mid.mp3</v>
      </c>
      <c r="M501">
        <v>242</v>
      </c>
      <c r="N5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--song="Philologus (L.M.D.)" --artist="Miss E.C. Shanks" --comment="" --album="Red Book" --track="42" 42r.mid.mp3</v>
      </c>
      <c r="P501" s="4" t="e">
        <f ca="1">VLOOKUP(Table2[[#This Row],[mp3_file]],Table3[#All],3,FALSE)</f>
        <v>#NAME?</v>
      </c>
    </row>
    <row r="502" spans="1:16" x14ac:dyDescent="0.3">
      <c r="A502">
        <v>531</v>
      </c>
      <c r="B502" t="s">
        <v>1628</v>
      </c>
      <c r="C502" t="s">
        <v>685</v>
      </c>
      <c r="D502" s="7">
        <f>IFERROR(VLOOKUP(Table2[[#This Row],[tune_meter]],Table1[#All],3,FALSE),"NONE")</f>
        <v>67</v>
      </c>
      <c r="F502" t="s">
        <v>324</v>
      </c>
      <c r="G502" t="str">
        <f>IF(Table2[[#This Row],[tune_book]]="LFTBs","Red Book","Green Book")</f>
        <v>Green Book</v>
      </c>
      <c r="H502" t="s">
        <v>2734</v>
      </c>
      <c r="I502" t="s">
        <v>1629</v>
      </c>
      <c r="J502" t="str">
        <f>Table2[[#This Row],[file_name]]&amp;".mp3"</f>
        <v>531g.mid.mp3</v>
      </c>
      <c r="M502">
        <v>517</v>
      </c>
      <c r="N5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--song="Pilgrims (11.10.11.10.9.11.)" --artist="H. T. Smart" --comment="" --album="Green Book" --track="531" 531g.mid.mp3</v>
      </c>
      <c r="P502" s="4" t="e">
        <f ca="1">VLOOKUP(Table2[[#This Row],[mp3_file]],Table3[#All],3,FALSE)</f>
        <v>#NAME?</v>
      </c>
    </row>
    <row r="503" spans="1:16" x14ac:dyDescent="0.3">
      <c r="A503">
        <v>331</v>
      </c>
      <c r="B503" t="s">
        <v>1318</v>
      </c>
      <c r="C503" t="s">
        <v>370</v>
      </c>
      <c r="D503" s="7">
        <f>IFERROR(VLOOKUP(Table2[[#This Row],[tune_meter]],Table1[#All],3,FALSE),"NONE")</f>
        <v>24</v>
      </c>
      <c r="F503" t="s">
        <v>324</v>
      </c>
      <c r="G503" t="str">
        <f>IF(Table2[[#This Row],[tune_book]]="LFTBs","Red Book","Green Book")</f>
        <v>Green Book</v>
      </c>
      <c r="H503" t="s">
        <v>1319</v>
      </c>
      <c r="I503" t="s">
        <v>1320</v>
      </c>
      <c r="J503" t="str">
        <f>Table2[[#This Row],[file_name]]&amp;".mp3"</f>
        <v>331g.mid.mp3</v>
      </c>
      <c r="M503">
        <v>382</v>
      </c>
      <c r="N5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--song="Placida (8.7.8.7.)" --artist="From 'Geistliche Leider'" --comment="" --album="Green Book" --track="331" 331g.mid.mp3</v>
      </c>
      <c r="P503" s="4" t="e">
        <f ca="1">VLOOKUP(Table2[[#This Row],[mp3_file]],Table3[#All],3,FALSE)</f>
        <v>#NAME?</v>
      </c>
    </row>
    <row r="504" spans="1:16" x14ac:dyDescent="0.3">
      <c r="A504">
        <v>16</v>
      </c>
      <c r="B504" t="s">
        <v>977</v>
      </c>
      <c r="C504" t="s">
        <v>486</v>
      </c>
      <c r="D504" s="7">
        <f>IFERROR(VLOOKUP(Table2[[#This Row],[tune_meter]],Table1[#All],3,FALSE),"NONE")</f>
        <v>19</v>
      </c>
      <c r="F504" t="s">
        <v>459</v>
      </c>
      <c r="G504" t="str">
        <f>IF(Table2[[#This Row],[tune_book]]="LFTBs","Red Book","Green Book")</f>
        <v>Red Book</v>
      </c>
      <c r="H504" t="s">
        <v>549</v>
      </c>
      <c r="I504" t="s">
        <v>978</v>
      </c>
      <c r="J504" t="str">
        <f>Table2[[#This Row],[file_name]]&amp;".mp3"</f>
        <v>16r.mid.mp3</v>
      </c>
      <c r="M504">
        <v>243</v>
      </c>
      <c r="N5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--song="Plumstead (C.M.)" --artist="E.J. Judd" --comment="" --album="Red Book" --track="16" 16r.mid.mp3</v>
      </c>
      <c r="P504" s="4" t="e">
        <f ca="1">VLOOKUP(Table2[[#This Row],[mp3_file]],Table3[#All],3,FALSE)</f>
        <v>#NAME?</v>
      </c>
    </row>
    <row r="505" spans="1:16" x14ac:dyDescent="0.3">
      <c r="A505">
        <v>198</v>
      </c>
      <c r="B505" t="s">
        <v>979</v>
      </c>
      <c r="C505" t="s">
        <v>527</v>
      </c>
      <c r="D505" s="7">
        <f>IFERROR(VLOOKUP(Table2[[#This Row],[tune_meter]],Table1[#All],3,FALSE),"NONE")</f>
        <v>20</v>
      </c>
      <c r="F505" t="s">
        <v>459</v>
      </c>
      <c r="G505" t="str">
        <f>IF(Table2[[#This Row],[tune_book]]="LFTBs","Red Book","Green Book")</f>
        <v>Red Book</v>
      </c>
      <c r="H505" t="s">
        <v>344</v>
      </c>
      <c r="I505" t="s">
        <v>980</v>
      </c>
      <c r="J505" t="str">
        <f>Table2[[#This Row],[file_name]]&amp;".mp3"</f>
        <v>198r.mid.mp3</v>
      </c>
      <c r="M505">
        <v>244</v>
      </c>
      <c r="N5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--song="Portnockie (8.8.6.8.8.6.)" --artist="Unknown" --comment="" --album="Red Book" --track="198" 198r.mid.mp3</v>
      </c>
      <c r="P505" s="4" t="e">
        <f ca="1">VLOOKUP(Table2[[#This Row],[mp3_file]],Table3[#All],3,FALSE)</f>
        <v>#NAME?</v>
      </c>
    </row>
    <row r="506" spans="1:16" x14ac:dyDescent="0.3">
      <c r="A506">
        <v>115</v>
      </c>
      <c r="B506" t="s">
        <v>2881</v>
      </c>
      <c r="C506" t="s">
        <v>786</v>
      </c>
      <c r="D506" s="7">
        <f>IFERROR(VLOOKUP(Table2[[#This Row],[tune_meter]],Table1[#All],3,FALSE),"NONE")</f>
        <v>29</v>
      </c>
      <c r="F506" t="s">
        <v>459</v>
      </c>
      <c r="G506" t="str">
        <f>IF(Table2[[#This Row],[tune_book]]="LFTBs","Red Book","Green Book")</f>
        <v>Red Book</v>
      </c>
      <c r="H506" t="s">
        <v>2882</v>
      </c>
      <c r="I506" t="s">
        <v>981</v>
      </c>
      <c r="J506" t="str">
        <f>Table2[[#This Row],[file_name]]&amp;".mp3"</f>
        <v>115r.mid.mp3</v>
      </c>
      <c r="M506">
        <v>245</v>
      </c>
      <c r="N5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(Carren) (7.7.7.7.)" --artist="Miss A. H. Lee" --comment="" --album="Red Book" --track="115" 115r.mid.mp3</v>
      </c>
      <c r="P506" s="4" t="e">
        <f ca="1">VLOOKUP(Table2[[#This Row],[mp3_file]],Table3[#All],3,FALSE)</f>
        <v>#NAME?</v>
      </c>
    </row>
    <row r="507" spans="1:16" x14ac:dyDescent="0.3">
      <c r="A507">
        <v>410</v>
      </c>
      <c r="B507" t="s">
        <v>2880</v>
      </c>
      <c r="C507" t="s">
        <v>527</v>
      </c>
      <c r="D507" s="7">
        <f>IFERROR(VLOOKUP(Table2[[#This Row],[tune_meter]],Table1[#All],3,FALSE),"NONE")</f>
        <v>20</v>
      </c>
      <c r="F507" t="s">
        <v>324</v>
      </c>
      <c r="G507" t="str">
        <f>IF(Table2[[#This Row],[tune_book]]="LFTBs","Red Book","Green Book")</f>
        <v>Green Book</v>
      </c>
      <c r="H507" t="s">
        <v>2027</v>
      </c>
      <c r="I507" t="s">
        <v>2028</v>
      </c>
      <c r="J507" t="str">
        <f>Table2[[#This Row],[file_name]]&amp;".mp3"</f>
        <v>410g.mid.mp3</v>
      </c>
      <c r="M507">
        <v>685</v>
      </c>
      <c r="N5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(Lee) (8.8.6.8.8.6.)" --artist="A. Radiger" --comment="" --album="Green Book" --track="410" 410g.mid.mp3</v>
      </c>
      <c r="P507" s="4" t="e">
        <f ca="1">VLOOKUP(Table2[[#This Row],[mp3_file]],Table3[#All],3,FALSE)</f>
        <v>#NAME?</v>
      </c>
    </row>
    <row r="508" spans="1:16" x14ac:dyDescent="0.3">
      <c r="A508">
        <v>400</v>
      </c>
      <c r="B508" t="s">
        <v>2879</v>
      </c>
      <c r="C508" t="s">
        <v>417</v>
      </c>
      <c r="D508" s="7">
        <f>IFERROR(VLOOKUP(Table2[[#This Row],[tune_meter]],Table1[#All],3,FALSE),"NONE")</f>
        <v>65</v>
      </c>
      <c r="F508" t="s">
        <v>324</v>
      </c>
      <c r="G508" t="str">
        <f>IF(Table2[[#This Row],[tune_book]]="LFTBs","Red Book","Green Book")</f>
        <v>Green Book</v>
      </c>
      <c r="H508" t="s">
        <v>2704</v>
      </c>
      <c r="I508" t="s">
        <v>418</v>
      </c>
      <c r="J508" t="str">
        <f>Table2[[#This Row],[file_name]]&amp;".mp3"</f>
        <v>400g.mid.mp3</v>
      </c>
      <c r="M508">
        <v>29</v>
      </c>
      <c r="N5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(Walker) (8.8.4.8.8.4.)" --artist="Miss S. M. Walker" --comment="" --album="Green Book" --track="400" 400g.mid.mp3</v>
      </c>
      <c r="P508" s="4" t="e">
        <f ca="1">VLOOKUP(Table2[[#This Row],[mp3_file]],Table3[#All],3,FALSE)</f>
        <v>#NAME?</v>
      </c>
    </row>
    <row r="509" spans="1:16" x14ac:dyDescent="0.3">
      <c r="A509">
        <v>444</v>
      </c>
      <c r="B509" t="s">
        <v>2066</v>
      </c>
      <c r="C509" t="s">
        <v>492</v>
      </c>
      <c r="D509" s="7">
        <f>IFERROR(VLOOKUP(Table2[[#This Row],[tune_meter]],Table1[#All],3,FALSE),"NONE")</f>
        <v>35</v>
      </c>
      <c r="F509" t="s">
        <v>324</v>
      </c>
      <c r="G509" t="str">
        <f>IF(Table2[[#This Row],[tune_book]]="LFTBs","Red Book","Green Book")</f>
        <v>Green Book</v>
      </c>
      <c r="H509" t="s">
        <v>384</v>
      </c>
      <c r="I509" t="s">
        <v>2067</v>
      </c>
      <c r="J509" t="str">
        <f>Table2[[#This Row],[file_name]]&amp;".mp3"</f>
        <v>444g.mid.mp3</v>
      </c>
      <c r="K509">
        <v>1951</v>
      </c>
      <c r="M509">
        <v>704</v>
      </c>
      <c r="N5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and Glory (9.8.9.8.)" --artist="E. Carren" --comment="" --album="Green Book" --track="444" 444g.mid.mp3</v>
      </c>
      <c r="P509" s="4" t="e">
        <f ca="1">VLOOKUP(Table2[[#This Row],[mp3_file]],Table3[#All],3,FALSE)</f>
        <v>#NAME?</v>
      </c>
    </row>
    <row r="510" spans="1:16" x14ac:dyDescent="0.3">
      <c r="A510">
        <v>362</v>
      </c>
      <c r="B510" t="s">
        <v>1980</v>
      </c>
      <c r="C510" t="s">
        <v>470</v>
      </c>
      <c r="D510" s="7">
        <f>IFERROR(VLOOKUP(Table2[[#This Row],[tune_meter]],Table1[#All],3,FALSE),"NONE")</f>
        <v>50</v>
      </c>
      <c r="F510" t="s">
        <v>324</v>
      </c>
      <c r="G510" t="str">
        <f>IF(Table2[[#This Row],[tune_book]]="LFTBs","Red Book","Green Book")</f>
        <v>Green Book</v>
      </c>
      <c r="H510" t="s">
        <v>1021</v>
      </c>
      <c r="I510" t="s">
        <v>1981</v>
      </c>
      <c r="J510" t="str">
        <f>Table2[[#This Row],[file_name]]&amp;".mp3"</f>
        <v>362g.mid.mp3</v>
      </c>
      <c r="M510">
        <v>664</v>
      </c>
      <c r="N5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My Soul (8.7.8.7.4.7.)" --artist="Sir John Goss" --comment="" --album="Green Book" --track="362" 362g.mid.mp3</v>
      </c>
      <c r="P510" s="4" t="e">
        <f ca="1">VLOOKUP(Table2[[#This Row],[mp3_file]],Table3[#All],3,FALSE)</f>
        <v>#NAME?</v>
      </c>
    </row>
    <row r="511" spans="1:16" x14ac:dyDescent="0.3">
      <c r="A511">
        <v>415</v>
      </c>
      <c r="B511" t="s">
        <v>2035</v>
      </c>
      <c r="C511" t="s">
        <v>2036</v>
      </c>
      <c r="D511" s="7" t="str">
        <f>IFERROR(VLOOKUP(Table2[[#This Row],[tune_meter]],Table1[#All],3,FALSE),"NONE")</f>
        <v>NONE</v>
      </c>
      <c r="F511" t="s">
        <v>324</v>
      </c>
      <c r="G511" t="str">
        <f>IF(Table2[[#This Row],[tune_book]]="LFTBs","Red Book","Green Book")</f>
        <v>Green Book</v>
      </c>
      <c r="H511" t="s">
        <v>344</v>
      </c>
      <c r="I511" t="s">
        <v>2037</v>
      </c>
      <c r="J511" t="str">
        <f>Table2[[#This Row],[file_name]]&amp;".mp3"</f>
        <v>415g.mid.mp3</v>
      </c>
      <c r="M511">
        <v>688</v>
      </c>
      <c r="N5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--song="Praise the Saviour (8.8.8.5. Trochaic)" --artist="Unknown" --comment="" --album="Green Book" --track="415" 415g.mid.mp3</v>
      </c>
      <c r="P511" s="4" t="e">
        <f ca="1">VLOOKUP(Table2[[#This Row],[mp3_file]],Table3[#All],3,FALSE)</f>
        <v>#NAME?</v>
      </c>
    </row>
    <row r="512" spans="1:16" x14ac:dyDescent="0.3">
      <c r="A512">
        <v>527</v>
      </c>
      <c r="B512" t="s">
        <v>2156</v>
      </c>
      <c r="C512" t="s">
        <v>543</v>
      </c>
      <c r="D512" s="7">
        <f>IFERROR(VLOOKUP(Table2[[#This Row],[tune_meter]],Table1[#All],3,FALSE),"NONE")</f>
        <v>17</v>
      </c>
      <c r="F512" t="s">
        <v>324</v>
      </c>
      <c r="G512" t="str">
        <f>IF(Table2[[#This Row],[tune_book]]="LFTBs","Red Book","Green Book")</f>
        <v>Green Book</v>
      </c>
      <c r="H512" t="s">
        <v>2157</v>
      </c>
      <c r="I512" t="s">
        <v>2158</v>
      </c>
      <c r="J512" t="str">
        <f>Table2[[#This Row],[file_name]]&amp;".mp3"</f>
        <v>527g.mid.mp3</v>
      </c>
      <c r="K512">
        <v>1951</v>
      </c>
      <c r="M512">
        <v>746</v>
      </c>
      <c r="N5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--song="Predestination (11.10.11.10. Dactylic)" --artist="B.D. Brooks" --comment="" --album="Green Book" --track="527" 527g.mid.mp3</v>
      </c>
      <c r="P512" s="4" t="e">
        <f ca="1">VLOOKUP(Table2[[#This Row],[mp3_file]],Table3[#All],3,FALSE)</f>
        <v>#NAME?</v>
      </c>
    </row>
    <row r="513" spans="1:16" x14ac:dyDescent="0.3">
      <c r="A513">
        <v>56</v>
      </c>
      <c r="B513" t="s">
        <v>982</v>
      </c>
      <c r="C513" t="s">
        <v>354</v>
      </c>
      <c r="D513" s="7">
        <f>IFERROR(VLOOKUP(Table2[[#This Row],[tune_meter]],Table1[#All],3,FALSE),"NONE")</f>
        <v>28</v>
      </c>
      <c r="F513" t="s">
        <v>459</v>
      </c>
      <c r="G513" t="str">
        <f>IF(Table2[[#This Row],[tune_book]]="LFTBs","Red Book","Green Book")</f>
        <v>Red Book</v>
      </c>
      <c r="H513" t="s">
        <v>544</v>
      </c>
      <c r="I513" t="s">
        <v>983</v>
      </c>
      <c r="J513" t="str">
        <f>Table2[[#This Row],[file_name]]&amp;".mp3"</f>
        <v>56r.mid.mp3</v>
      </c>
      <c r="M513">
        <v>246</v>
      </c>
      <c r="N5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--song="Prenton (4.8.4.8.8.)" --artist="F.H. Parkes" --comment="" --album="Red Book" --track="56" 56r.mid.mp3</v>
      </c>
      <c r="P513" s="4" t="e">
        <f ca="1">VLOOKUP(Table2[[#This Row],[mp3_file]],Table3[#All],3,FALSE)</f>
        <v>#NAME?</v>
      </c>
    </row>
    <row r="514" spans="1:16" x14ac:dyDescent="0.3">
      <c r="A514">
        <v>210</v>
      </c>
      <c r="B514" t="s">
        <v>419</v>
      </c>
      <c r="C514" t="s">
        <v>387</v>
      </c>
      <c r="D514" s="7">
        <f>IFERROR(VLOOKUP(Table2[[#This Row],[tune_meter]],Table1[#All],3,FALSE),"NONE")</f>
        <v>23</v>
      </c>
      <c r="F514" t="s">
        <v>324</v>
      </c>
      <c r="G514" t="str">
        <f>IF(Table2[[#This Row],[tune_book]]="LFTBs","Red Book","Green Book")</f>
        <v>Green Book</v>
      </c>
      <c r="H514" t="s">
        <v>344</v>
      </c>
      <c r="I514" t="s">
        <v>420</v>
      </c>
      <c r="J514" t="str">
        <f>Table2[[#This Row],[file_name]]&amp;".mp3"</f>
        <v>210g.mid.mp3</v>
      </c>
      <c r="M514">
        <v>30</v>
      </c>
      <c r="N5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--song="Priory (6.6.8.4.6.6.8.4.)" --artist="Unknown" --comment="" --album="Green Book" --track="210" 210g.mid.mp3</v>
      </c>
      <c r="P514" s="4" t="e">
        <f ca="1">VLOOKUP(Table2[[#This Row],[mp3_file]],Table3[#All],3,FALSE)</f>
        <v>#NAME?</v>
      </c>
    </row>
    <row r="515" spans="1:16" x14ac:dyDescent="0.3">
      <c r="A515">
        <v>189</v>
      </c>
      <c r="B515" t="s">
        <v>984</v>
      </c>
      <c r="C515" t="s">
        <v>476</v>
      </c>
      <c r="D515" s="7">
        <f>IFERROR(VLOOKUP(Table2[[#This Row],[tune_meter]],Table1[#All],3,FALSE),"NONE")</f>
        <v>25</v>
      </c>
      <c r="F515" t="s">
        <v>459</v>
      </c>
      <c r="G515" t="str">
        <f>IF(Table2[[#This Row],[tune_book]]="LFTBs","Red Book","Green Book")</f>
        <v>Red Book</v>
      </c>
      <c r="H515" t="s">
        <v>510</v>
      </c>
      <c r="I515" t="s">
        <v>985</v>
      </c>
      <c r="J515" t="str">
        <f>Table2[[#This Row],[file_name]]&amp;".mp3"</f>
        <v>189r.mid.mp3</v>
      </c>
      <c r="M515">
        <v>247</v>
      </c>
      <c r="N5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--song="Quartus (8.7.8.7.8.7.8.7.)" --artist="D.A.J. Burling" --comment="" --album="Red Book" --track="189" 189r.mid.mp3</v>
      </c>
      <c r="P515" s="4" t="e">
        <f ca="1">VLOOKUP(Table2[[#This Row],[mp3_file]],Table3[#All],3,FALSE)</f>
        <v>#NAME?</v>
      </c>
    </row>
    <row r="516" spans="1:16" x14ac:dyDescent="0.3">
      <c r="A516">
        <v>435</v>
      </c>
      <c r="B516" t="s">
        <v>2056</v>
      </c>
      <c r="C516" t="s">
        <v>554</v>
      </c>
      <c r="D516" s="7">
        <f>IFERROR(VLOOKUP(Table2[[#This Row],[tune_meter]],Table1[#All],3,FALSE),"NONE")</f>
        <v>26</v>
      </c>
      <c r="F516" t="s">
        <v>324</v>
      </c>
      <c r="G516" t="str">
        <f>IF(Table2[[#This Row],[tune_book]]="LFTBs","Red Book","Green Book")</f>
        <v>Green Book</v>
      </c>
      <c r="H516" t="s">
        <v>633</v>
      </c>
      <c r="I516" t="s">
        <v>2057</v>
      </c>
      <c r="J516" t="str">
        <f>Table2[[#This Row],[file_name]]&amp;".mp3"</f>
        <v>435g.mid.mp3</v>
      </c>
      <c r="M516">
        <v>699</v>
      </c>
      <c r="N5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--song="Quemerford (8.8.8.8.8.8.)" --artist="Miss La Thangue" --comment="" --album="Green Book" --track="435" 435g.mid.mp3</v>
      </c>
      <c r="P516" s="4" t="e">
        <f ca="1">VLOOKUP(Table2[[#This Row],[mp3_file]],Table3[#All],3,FALSE)</f>
        <v>#NAME?</v>
      </c>
    </row>
    <row r="517" spans="1:16" x14ac:dyDescent="0.3">
      <c r="A517">
        <v>304</v>
      </c>
      <c r="B517" t="s">
        <v>1956</v>
      </c>
      <c r="C517" t="s">
        <v>1957</v>
      </c>
      <c r="D517" s="7" t="str">
        <f>IFERROR(VLOOKUP(Table2[[#This Row],[tune_meter]],Table1[#All],3,FALSE),"NONE")</f>
        <v>NONE</v>
      </c>
      <c r="F517" t="s">
        <v>324</v>
      </c>
      <c r="G517" t="str">
        <f>IF(Table2[[#This Row],[tune_book]]="LFTBs","Red Book","Green Book")</f>
        <v>Green Book</v>
      </c>
      <c r="H517" t="s">
        <v>427</v>
      </c>
      <c r="I517" t="s">
        <v>1958</v>
      </c>
      <c r="J517" t="str">
        <f>Table2[[#This Row],[file_name]]&amp;".mp3"</f>
        <v>304g.mid.mp3</v>
      </c>
      <c r="M517">
        <v>654</v>
      </c>
      <c r="N517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5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--song="Quis Seperabit (8.6.8.6.8.6.8.6.8.6.)" --artist="C.T. Lambert" --comment="" --album="Green Book" --track="304" 304g.mid.mp3</v>
      </c>
      <c r="P517" s="4" t="e">
        <f>VLOOKUP(Table2[[#This Row],[mp3_file]],Table3[#All],3,FALSE)</f>
        <v>#N/A</v>
      </c>
    </row>
    <row r="518" spans="1:16" x14ac:dyDescent="0.3">
      <c r="A518">
        <v>17</v>
      </c>
      <c r="B518" t="s">
        <v>986</v>
      </c>
      <c r="C518" t="s">
        <v>486</v>
      </c>
      <c r="D518" s="7">
        <f>IFERROR(VLOOKUP(Table2[[#This Row],[tune_meter]],Table1[#All],3,FALSE),"NONE")</f>
        <v>19</v>
      </c>
      <c r="F518" t="s">
        <v>459</v>
      </c>
      <c r="G518" t="str">
        <f>IF(Table2[[#This Row],[tune_book]]="LFTBs","Red Book","Green Book")</f>
        <v>Red Book</v>
      </c>
      <c r="H518" t="s">
        <v>384</v>
      </c>
      <c r="I518" t="s">
        <v>987</v>
      </c>
      <c r="J518" t="str">
        <f>Table2[[#This Row],[file_name]]&amp;".mp3"</f>
        <v>17r.mid.mp3</v>
      </c>
      <c r="M518">
        <v>248</v>
      </c>
      <c r="N5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--song="Quo Vadis (C.M.)" --artist="E. Carren" --comment="" --album="Red Book" --track="17" 17r.mid.mp3</v>
      </c>
      <c r="P518" s="4" t="e">
        <f ca="1">VLOOKUP(Table2[[#This Row],[mp3_file]],Table3[#All],3,FALSE)</f>
        <v>#NAME?</v>
      </c>
    </row>
    <row r="519" spans="1:16" x14ac:dyDescent="0.3">
      <c r="A519">
        <v>445</v>
      </c>
      <c r="B519" t="s">
        <v>2068</v>
      </c>
      <c r="C519" t="s">
        <v>492</v>
      </c>
      <c r="D519" s="7">
        <f>IFERROR(VLOOKUP(Table2[[#This Row],[tune_meter]],Table1[#All],3,FALSE),"NONE")</f>
        <v>35</v>
      </c>
      <c r="F519" t="s">
        <v>324</v>
      </c>
      <c r="G519" t="str">
        <f>IF(Table2[[#This Row],[tune_book]]="LFTBs","Red Book","Green Book")</f>
        <v>Green Book</v>
      </c>
      <c r="H519" t="s">
        <v>2842</v>
      </c>
      <c r="I519" t="s">
        <v>2069</v>
      </c>
      <c r="J519" t="str">
        <f>Table2[[#This Row],[file_name]]&amp;".mp3"</f>
        <v>445g.mid.mp3</v>
      </c>
      <c r="K519">
        <v>1951</v>
      </c>
      <c r="M519">
        <v>705</v>
      </c>
      <c r="N5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--song="Rachel (9.8.9.8.)" --artist="P. J. L. Hindle" --comment="" --album="Green Book" --track="445" 445g.mid.mp3</v>
      </c>
      <c r="P519" s="4" t="e">
        <f ca="1">VLOOKUP(Table2[[#This Row],[mp3_file]],Table3[#All],3,FALSE)</f>
        <v>#NAME?</v>
      </c>
    </row>
    <row r="520" spans="1:16" x14ac:dyDescent="0.3">
      <c r="A520">
        <v>281</v>
      </c>
      <c r="B520" t="s">
        <v>988</v>
      </c>
      <c r="C520" t="s">
        <v>509</v>
      </c>
      <c r="D520" s="7">
        <f>IFERROR(VLOOKUP(Table2[[#This Row],[tune_meter]],Table1[#All],3,FALSE),"NONE")</f>
        <v>64</v>
      </c>
      <c r="F520" t="s">
        <v>459</v>
      </c>
      <c r="G520" t="str">
        <f>IF(Table2[[#This Row],[tune_book]]="LFTBs","Red Book","Green Book")</f>
        <v>Red Book</v>
      </c>
      <c r="H520" t="s">
        <v>800</v>
      </c>
      <c r="I520" t="s">
        <v>989</v>
      </c>
      <c r="J520" t="str">
        <f>Table2[[#This Row],[file_name]]&amp;".mp3"</f>
        <v>281r.mid.mp3</v>
      </c>
      <c r="M520">
        <v>249</v>
      </c>
      <c r="N5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--song="Rachie (11.11.11.11. Trochaic)" --artist="Dr. Caradog Roberts" --comment="" --album="Red Book" --track="281" 281r.mid.mp3</v>
      </c>
      <c r="P520" s="4" t="e">
        <f ca="1">VLOOKUP(Table2[[#This Row],[mp3_file]],Table3[#All],3,FALSE)</f>
        <v>#NAME?</v>
      </c>
    </row>
    <row r="521" spans="1:16" x14ac:dyDescent="0.3">
      <c r="A521">
        <v>245</v>
      </c>
      <c r="B521" t="s">
        <v>990</v>
      </c>
      <c r="C521" t="s">
        <v>424</v>
      </c>
      <c r="D521" s="7">
        <f>IFERROR(VLOOKUP(Table2[[#This Row],[tune_meter]],Table1[#All],3,FALSE),"NONE")</f>
        <v>45</v>
      </c>
      <c r="F521" t="s">
        <v>459</v>
      </c>
      <c r="G521" t="str">
        <f>IF(Table2[[#This Row],[tune_book]]="LFTBs","Red Book","Green Book")</f>
        <v>Red Book</v>
      </c>
      <c r="H521" t="s">
        <v>991</v>
      </c>
      <c r="I521" t="s">
        <v>992</v>
      </c>
      <c r="J521" t="str">
        <f>Table2[[#This Row],[file_name]]&amp;".mp3"</f>
        <v>245r.mid.mp3</v>
      </c>
      <c r="M521">
        <v>250</v>
      </c>
      <c r="N5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--song="Radlett (10.4.10.4.10.10.)" --artist="T.L. Edwards" --comment="" --album="Red Book" --track="245" 245r.mid.mp3</v>
      </c>
      <c r="P521" s="4" t="e">
        <f ca="1">VLOOKUP(Table2[[#This Row],[mp3_file]],Table3[#All],3,FALSE)</f>
        <v>#NAME?</v>
      </c>
    </row>
    <row r="522" spans="1:16" x14ac:dyDescent="0.3">
      <c r="A522">
        <v>547</v>
      </c>
      <c r="B522" t="s">
        <v>2171</v>
      </c>
      <c r="C522" t="s">
        <v>473</v>
      </c>
      <c r="D522" s="7">
        <f>IFERROR(VLOOKUP(Table2[[#This Row],[tune_meter]],Table1[#All],3,FALSE),"NONE")</f>
        <v>48</v>
      </c>
      <c r="F522" t="s">
        <v>324</v>
      </c>
      <c r="G522" t="str">
        <f>IF(Table2[[#This Row],[tune_book]]="LFTBs","Red Book","Green Book")</f>
        <v>Green Book</v>
      </c>
      <c r="H522" t="s">
        <v>2780</v>
      </c>
      <c r="I522" t="s">
        <v>2172</v>
      </c>
      <c r="J522" t="str">
        <f>Table2[[#This Row],[file_name]]&amp;".mp3"</f>
        <v>547g.mid.mp3</v>
      </c>
      <c r="K522">
        <v>1951</v>
      </c>
      <c r="M522">
        <v>754</v>
      </c>
      <c r="N5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--song="Raemond (12.13.12.10.)" --artist="Miss D. A. Elderton" --comment="" --album="Green Book" --track="547" 547g.mid.mp3</v>
      </c>
      <c r="P522" s="4" t="e">
        <f ca="1">VLOOKUP(Table2[[#This Row],[mp3_file]],Table3[#All],3,FALSE)</f>
        <v>#NAME?</v>
      </c>
    </row>
    <row r="523" spans="1:16" x14ac:dyDescent="0.3">
      <c r="A523">
        <v>156</v>
      </c>
      <c r="B523" t="s">
        <v>993</v>
      </c>
      <c r="C523" t="s">
        <v>370</v>
      </c>
      <c r="D523" s="7">
        <f>IFERROR(VLOOKUP(Table2[[#This Row],[tune_meter]],Table1[#All],3,FALSE),"NONE")</f>
        <v>24</v>
      </c>
      <c r="F523" t="s">
        <v>459</v>
      </c>
      <c r="G523" t="str">
        <f>IF(Table2[[#This Row],[tune_book]]="LFTBs","Red Book","Green Book")</f>
        <v>Red Book</v>
      </c>
      <c r="H523" t="s">
        <v>528</v>
      </c>
      <c r="I523" t="s">
        <v>994</v>
      </c>
      <c r="J523" t="str">
        <f>Table2[[#This Row],[file_name]]&amp;".mp3"</f>
        <v>156r.mid.mp3</v>
      </c>
      <c r="M523">
        <v>251</v>
      </c>
      <c r="N5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--song="Rapture (8.7.8.7.)" --artist="Peter Blanche" --comment="" --album="Red Book" --track="156" 156r.mid.mp3</v>
      </c>
      <c r="P523" s="4" t="e">
        <f ca="1">VLOOKUP(Table2[[#This Row],[mp3_file]],Table3[#All],3,FALSE)</f>
        <v>#NAME?</v>
      </c>
    </row>
    <row r="524" spans="1:16" x14ac:dyDescent="0.3">
      <c r="A524">
        <v>411</v>
      </c>
      <c r="B524" t="s">
        <v>2029</v>
      </c>
      <c r="C524" t="s">
        <v>527</v>
      </c>
      <c r="D524" s="7">
        <f>IFERROR(VLOOKUP(Table2[[#This Row],[tune_meter]],Table1[#All],3,FALSE),"NONE")</f>
        <v>20</v>
      </c>
      <c r="F524" t="s">
        <v>324</v>
      </c>
      <c r="G524" t="str">
        <f>IF(Table2[[#This Row],[tune_book]]="LFTBs","Red Book","Green Book")</f>
        <v>Green Book</v>
      </c>
      <c r="H524" t="s">
        <v>2030</v>
      </c>
      <c r="I524" t="s">
        <v>2031</v>
      </c>
      <c r="J524" t="str">
        <f>Table2[[#This Row],[file_name]]&amp;".mp3"</f>
        <v>411g.mid.mp3</v>
      </c>
      <c r="M524">
        <v>686</v>
      </c>
      <c r="N5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--song="Ravendale (8.8.6.8.8.6.)" --artist="W. Stokes" --comment="" --album="Green Book" --track="411" 411g.mid.mp3</v>
      </c>
      <c r="P524" s="4" t="e">
        <f ca="1">VLOOKUP(Table2[[#This Row],[mp3_file]],Table3[#All],3,FALSE)</f>
        <v>#NAME?</v>
      </c>
    </row>
    <row r="525" spans="1:16" x14ac:dyDescent="0.3">
      <c r="A525">
        <v>190</v>
      </c>
      <c r="B525" t="s">
        <v>995</v>
      </c>
      <c r="C525" t="s">
        <v>476</v>
      </c>
      <c r="D525" s="7">
        <f>IFERROR(VLOOKUP(Table2[[#This Row],[tune_meter]],Table1[#All],3,FALSE),"NONE")</f>
        <v>25</v>
      </c>
      <c r="F525" t="s">
        <v>459</v>
      </c>
      <c r="G525" t="str">
        <f>IF(Table2[[#This Row],[tune_book]]="LFTBs","Red Book","Green Book")</f>
        <v>Red Book</v>
      </c>
      <c r="H525" t="s">
        <v>996</v>
      </c>
      <c r="I525" t="s">
        <v>997</v>
      </c>
      <c r="J525" t="str">
        <f>Table2[[#This Row],[file_name]]&amp;".mp3"</f>
        <v>190r.mid.mp3</v>
      </c>
      <c r="M525">
        <v>252</v>
      </c>
      <c r="N5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--song="Reapers (8.7.8.7.8.7.8.7.)" --artist="J.B.O. Clemm" --comment="" --album="Red Book" --track="190" 190r.mid.mp3</v>
      </c>
      <c r="P525" s="4" t="e">
        <f ca="1">VLOOKUP(Table2[[#This Row],[mp3_file]],Table3[#All],3,FALSE)</f>
        <v>#NAME?</v>
      </c>
    </row>
    <row r="526" spans="1:16" x14ac:dyDescent="0.3">
      <c r="A526">
        <v>333</v>
      </c>
      <c r="B526" t="s">
        <v>1321</v>
      </c>
      <c r="C526" t="s">
        <v>370</v>
      </c>
      <c r="D526" s="7">
        <f>IFERROR(VLOOKUP(Table2[[#This Row],[tune_meter]],Table1[#All],3,FALSE),"NONE")</f>
        <v>24</v>
      </c>
      <c r="F526" t="s">
        <v>324</v>
      </c>
      <c r="G526" t="str">
        <f>IF(Table2[[#This Row],[tune_book]]="LFTBs","Red Book","Green Book")</f>
        <v>Green Book</v>
      </c>
      <c r="H526" t="s">
        <v>1297</v>
      </c>
      <c r="I526" t="s">
        <v>1322</v>
      </c>
      <c r="J526" t="str">
        <f>Table2[[#This Row],[file_name]]&amp;".mp3"</f>
        <v>333g.mid.mp3</v>
      </c>
      <c r="M526">
        <v>383</v>
      </c>
      <c r="N5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--song="Redhead No. 46 (8.7.8.7.)" --artist="Richard Redhead" --comment="" --album="Green Book" --track="333" 333g.mid.mp3</v>
      </c>
      <c r="P526" s="4" t="e">
        <f ca="1">VLOOKUP(Table2[[#This Row],[mp3_file]],Table3[#All],3,FALSE)</f>
        <v>#NAME?</v>
      </c>
    </row>
    <row r="527" spans="1:16" x14ac:dyDescent="0.3">
      <c r="A527">
        <v>275</v>
      </c>
      <c r="B527" t="s">
        <v>1296</v>
      </c>
      <c r="C527" t="s">
        <v>775</v>
      </c>
      <c r="D527" s="7">
        <f>IFERROR(VLOOKUP(Table2[[#This Row],[tune_meter]],Table1[#All],3,FALSE),"NONE")</f>
        <v>83</v>
      </c>
      <c r="F527" t="s">
        <v>324</v>
      </c>
      <c r="G527" t="str">
        <f>IF(Table2[[#This Row],[tune_book]]="LFTBs","Red Book","Green Book")</f>
        <v>Green Book</v>
      </c>
      <c r="H527" t="s">
        <v>1297</v>
      </c>
      <c r="I527" t="s">
        <v>1298</v>
      </c>
      <c r="J527" t="str">
        <f>Table2[[#This Row],[file_name]]&amp;".mp3"</f>
        <v>275g.mid.mp3</v>
      </c>
      <c r="M527">
        <v>373</v>
      </c>
      <c r="N5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--song="Redhead No. 76 (7.7.7.7.7.7.)" --artist="Richard Redhead" --comment="" --album="Green Book" --track="275" 275g.mid.mp3</v>
      </c>
      <c r="P527" s="4" t="e">
        <f ca="1">VLOOKUP(Table2[[#This Row],[mp3_file]],Table3[#All],3,FALSE)</f>
        <v>#NAME?</v>
      </c>
    </row>
    <row r="528" spans="1:16" x14ac:dyDescent="0.3">
      <c r="A528">
        <v>108</v>
      </c>
      <c r="B528" t="s">
        <v>998</v>
      </c>
      <c r="C528" t="s">
        <v>467</v>
      </c>
      <c r="D528" s="7">
        <f>IFERROR(VLOOKUP(Table2[[#This Row],[tune_meter]],Table1[#All],3,FALSE),"NONE")</f>
        <v>34</v>
      </c>
      <c r="F528" t="s">
        <v>459</v>
      </c>
      <c r="G528" t="str">
        <f>IF(Table2[[#This Row],[tune_book]]="LFTBs","Red Book","Green Book")</f>
        <v>Red Book</v>
      </c>
      <c r="H528" t="s">
        <v>510</v>
      </c>
      <c r="I528" t="s">
        <v>999</v>
      </c>
      <c r="J528" t="str">
        <f>Table2[[#This Row],[file_name]]&amp;".mp3"</f>
        <v>108r.mid.mp3</v>
      </c>
      <c r="M528">
        <v>253</v>
      </c>
      <c r="N5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--song="Refulgence (7.6.7.6.7.6.7.6.)" --artist="D.A.J. Burling" --comment="" --album="Red Book" --track="108" 108r.mid.mp3</v>
      </c>
      <c r="P528" s="4" t="e">
        <f ca="1">VLOOKUP(Table2[[#This Row],[mp3_file]],Table3[#All],3,FALSE)</f>
        <v>#NAME?</v>
      </c>
    </row>
    <row r="529" spans="1:16" x14ac:dyDescent="0.3">
      <c r="A529">
        <v>363</v>
      </c>
      <c r="B529" t="s">
        <v>1982</v>
      </c>
      <c r="C529" t="s">
        <v>470</v>
      </c>
      <c r="D529" s="7">
        <f>IFERROR(VLOOKUP(Table2[[#This Row],[tune_meter]],Table1[#All],3,FALSE),"NONE")</f>
        <v>50</v>
      </c>
      <c r="F529" t="s">
        <v>324</v>
      </c>
      <c r="G529" t="str">
        <f>IF(Table2[[#This Row],[tune_book]]="LFTBs","Red Book","Green Book")</f>
        <v>Green Book</v>
      </c>
      <c r="H529" t="s">
        <v>2734</v>
      </c>
      <c r="I529" t="s">
        <v>1983</v>
      </c>
      <c r="J529" t="str">
        <f>Table2[[#This Row],[file_name]]&amp;".mp3"</f>
        <v>363g.mid.mp3</v>
      </c>
      <c r="M529">
        <v>665</v>
      </c>
      <c r="N5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--song="Regent Square (8.7.8.7.4.7.)" --artist="H. T. Smart" --comment="" --album="Green Book" --track="363" 363g.mid.mp3</v>
      </c>
      <c r="P529" s="4" t="e">
        <f ca="1">VLOOKUP(Table2[[#This Row],[mp3_file]],Table3[#All],3,FALSE)</f>
        <v>#NAME?</v>
      </c>
    </row>
    <row r="530" spans="1:16" x14ac:dyDescent="0.3">
      <c r="A530">
        <v>18</v>
      </c>
      <c r="B530" t="s">
        <v>1000</v>
      </c>
      <c r="C530" t="s">
        <v>486</v>
      </c>
      <c r="D530" s="7">
        <f>IFERROR(VLOOKUP(Table2[[#This Row],[tune_meter]],Table1[#All],3,FALSE),"NONE")</f>
        <v>19</v>
      </c>
      <c r="F530" t="s">
        <v>459</v>
      </c>
      <c r="G530" t="str">
        <f>IF(Table2[[#This Row],[tune_book]]="LFTBs","Red Book","Green Book")</f>
        <v>Red Book</v>
      </c>
      <c r="H530" t="s">
        <v>2883</v>
      </c>
      <c r="I530" t="s">
        <v>1001</v>
      </c>
      <c r="J530" t="str">
        <f>Table2[[#This Row],[file_name]]&amp;".mp3"</f>
        <v>18r.mid.mp3</v>
      </c>
      <c r="M530">
        <v>254</v>
      </c>
      <c r="N5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--song="Regina (C.M.)" --artist="A. H. McNie" --comment="" --album="Red Book" --track="18" 18r.mid.mp3</v>
      </c>
      <c r="P530" s="4" t="e">
        <f ca="1">VLOOKUP(Table2[[#This Row],[mp3_file]],Table3[#All],3,FALSE)</f>
        <v>#NAME?</v>
      </c>
    </row>
    <row r="531" spans="1:16" x14ac:dyDescent="0.3">
      <c r="A531">
        <v>229</v>
      </c>
      <c r="B531" t="s">
        <v>1002</v>
      </c>
      <c r="C531" t="s">
        <v>492</v>
      </c>
      <c r="D531" s="7">
        <f>IFERROR(VLOOKUP(Table2[[#This Row],[tune_meter]],Table1[#All],3,FALSE),"NONE")</f>
        <v>35</v>
      </c>
      <c r="F531" t="s">
        <v>459</v>
      </c>
      <c r="G531" t="str">
        <f>IF(Table2[[#This Row],[tune_book]]="LFTBs","Red Book","Green Book")</f>
        <v>Red Book</v>
      </c>
      <c r="H531" t="s">
        <v>2884</v>
      </c>
      <c r="I531" t="s">
        <v>1003</v>
      </c>
      <c r="J531" t="str">
        <f>Table2[[#This Row],[file_name]]&amp;".mp3"</f>
        <v>229r.mid.mp3</v>
      </c>
      <c r="M531">
        <v>255</v>
      </c>
      <c r="N5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--song="Rejoicing (9.8.9.8.)" --artist="Mrs. H. B. Burr" --comment="" --album="Red Book" --track="229" 229r.mid.mp3</v>
      </c>
      <c r="P531" s="4" t="e">
        <f ca="1">VLOOKUP(Table2[[#This Row],[mp3_file]],Table3[#All],3,FALSE)</f>
        <v>#NAME?</v>
      </c>
    </row>
    <row r="532" spans="1:16" x14ac:dyDescent="0.3">
      <c r="A532">
        <v>50</v>
      </c>
      <c r="B532" t="s">
        <v>1203</v>
      </c>
      <c r="C532" t="s">
        <v>486</v>
      </c>
      <c r="D532" s="7">
        <f>IFERROR(VLOOKUP(Table2[[#This Row],[tune_meter]],Table1[#All],3,FALSE),"NONE")</f>
        <v>19</v>
      </c>
      <c r="F532" t="s">
        <v>324</v>
      </c>
      <c r="G532" t="str">
        <f>IF(Table2[[#This Row],[tune_book]]="LFTBs","Red Book","Green Book")</f>
        <v>Green Book</v>
      </c>
      <c r="H532" t="s">
        <v>1204</v>
      </c>
      <c r="I532" t="s">
        <v>1205</v>
      </c>
      <c r="J532" t="str">
        <f>Table2[[#This Row],[file_name]]&amp;".mp3"</f>
        <v>50g.mid.mp3</v>
      </c>
      <c r="M532">
        <v>336</v>
      </c>
      <c r="N5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--song="Remember Me (C.M.)" --artist="Asa Hull" --comment="" --album="Green Book" --track="50" 50g.mid.mp3</v>
      </c>
      <c r="P532" s="4" t="e">
        <f ca="1">VLOOKUP(Table2[[#This Row],[mp3_file]],Table3[#All],3,FALSE)</f>
        <v>#NAME?</v>
      </c>
    </row>
    <row r="533" spans="1:16" x14ac:dyDescent="0.3">
      <c r="A533">
        <v>220</v>
      </c>
      <c r="B533" t="s">
        <v>2885</v>
      </c>
      <c r="C533" t="s">
        <v>886</v>
      </c>
      <c r="D533" s="7">
        <f>IFERROR(VLOOKUP(Table2[[#This Row],[tune_meter]],Table1[#All],3,FALSE),"NONE")</f>
        <v>41</v>
      </c>
      <c r="F533" t="s">
        <v>324</v>
      </c>
      <c r="G533" t="str">
        <f>IF(Table2[[#This Row],[tune_book]]="LFTBs","Red Book","Green Book")</f>
        <v>Green Book</v>
      </c>
      <c r="H533" t="s">
        <v>1746</v>
      </c>
      <c r="I533" t="s">
        <v>1888</v>
      </c>
      <c r="J533" t="str">
        <f>Table2[[#This Row],[file_name]]&amp;".mp3"</f>
        <v>220g.mid.mp3</v>
      </c>
      <c r="M533">
        <v>625</v>
      </c>
      <c r="N5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--song="Remembrance (Booth) (7.6.7.6.)" --artist="Josiah Booth" --comment="" --album="Green Book" --track="220" 220g.mid.mp3</v>
      </c>
      <c r="P533" s="4" t="e">
        <f ca="1">VLOOKUP(Table2[[#This Row],[mp3_file]],Table3[#All],3,FALSE)</f>
        <v>#NAME?</v>
      </c>
    </row>
    <row r="534" spans="1:16" x14ac:dyDescent="0.3">
      <c r="A534">
        <v>145</v>
      </c>
      <c r="B534" t="s">
        <v>1454</v>
      </c>
      <c r="C534" t="s">
        <v>623</v>
      </c>
      <c r="D534" s="7">
        <f>IFERROR(VLOOKUP(Table2[[#This Row],[tune_meter]],Table1[#All],3,FALSE),"NONE")</f>
        <v>22</v>
      </c>
      <c r="F534" t="s">
        <v>324</v>
      </c>
      <c r="G534" t="str">
        <f>IF(Table2[[#This Row],[tune_book]]="LFTBs","Red Book","Green Book")</f>
        <v>Green Book</v>
      </c>
      <c r="H534" t="s">
        <v>1455</v>
      </c>
      <c r="I534" t="s">
        <v>1456</v>
      </c>
      <c r="J534" t="str">
        <f>Table2[[#This Row],[file_name]]&amp;".mp3"</f>
        <v>145g.mid.mp3</v>
      </c>
      <c r="K534">
        <v>1938</v>
      </c>
      <c r="M534">
        <v>441</v>
      </c>
      <c r="N5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--song="Repose (S.M.)" --artist="P. Blanche" --comment="" --album="Green Book" --track="145" 145g.mid.mp3</v>
      </c>
      <c r="P534" s="4" t="e">
        <f ca="1">VLOOKUP(Table2[[#This Row],[mp3_file]],Table3[#All],3,FALSE)</f>
        <v>#NAME?</v>
      </c>
    </row>
    <row r="535" spans="1:16" x14ac:dyDescent="0.3">
      <c r="A535">
        <v>230</v>
      </c>
      <c r="B535" t="s">
        <v>1004</v>
      </c>
      <c r="C535" t="s">
        <v>492</v>
      </c>
      <c r="D535" s="7">
        <f>IFERROR(VLOOKUP(Table2[[#This Row],[tune_meter]],Table1[#All],3,FALSE),"NONE")</f>
        <v>35</v>
      </c>
      <c r="F535" t="s">
        <v>459</v>
      </c>
      <c r="G535" t="str">
        <f>IF(Table2[[#This Row],[tune_book]]="LFTBs","Red Book","Green Book")</f>
        <v>Red Book</v>
      </c>
      <c r="H535" t="s">
        <v>1005</v>
      </c>
      <c r="I535" t="s">
        <v>1006</v>
      </c>
      <c r="J535" t="str">
        <f>Table2[[#This Row],[file_name]]&amp;".mp3"</f>
        <v>230r.mid.mp3</v>
      </c>
      <c r="M535">
        <v>256</v>
      </c>
      <c r="N5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--song="Response (9.8.9.8.)" --artist="C. Jarres" --comment="" --album="Red Book" --track="230" 230r.mid.mp3</v>
      </c>
      <c r="P535" s="4" t="e">
        <f ca="1">VLOOKUP(Table2[[#This Row],[mp3_file]],Table3[#All],3,FALSE)</f>
        <v>#NAME?</v>
      </c>
    </row>
    <row r="536" spans="1:16" x14ac:dyDescent="0.3">
      <c r="A536">
        <v>51</v>
      </c>
      <c r="B536" t="s">
        <v>2886</v>
      </c>
      <c r="C536" t="s">
        <v>486</v>
      </c>
      <c r="D536" s="7">
        <f>IFERROR(VLOOKUP(Table2[[#This Row],[tune_meter]],Table1[#All],3,FALSE),"NONE")</f>
        <v>19</v>
      </c>
      <c r="F536" t="s">
        <v>324</v>
      </c>
      <c r="G536" t="str">
        <f>IF(Table2[[#This Row],[tune_book]]="LFTBs","Red Book","Green Book")</f>
        <v>Green Book</v>
      </c>
      <c r="H536" t="s">
        <v>846</v>
      </c>
      <c r="I536" t="s">
        <v>1662</v>
      </c>
      <c r="J536" t="str">
        <f>Table2[[#This Row],[file_name]]&amp;".mp3"</f>
        <v>51g.mid.mp3</v>
      </c>
      <c r="M536">
        <v>531</v>
      </c>
      <c r="N5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--song="Rest (Maker) (C.M.)" --artist="F.C. Maker" --comment="" --album="Green Book" --track="51" 51g.mid.mp3</v>
      </c>
      <c r="P536" s="4" t="e">
        <f ca="1">VLOOKUP(Table2[[#This Row],[mp3_file]],Table3[#All],3,FALSE)</f>
        <v>#NAME?</v>
      </c>
    </row>
    <row r="537" spans="1:16" x14ac:dyDescent="0.3">
      <c r="A537">
        <v>436</v>
      </c>
      <c r="B537" t="s">
        <v>2887</v>
      </c>
      <c r="C537" t="s">
        <v>554</v>
      </c>
      <c r="D537" s="7">
        <f>IFERROR(VLOOKUP(Table2[[#This Row],[tune_meter]],Table1[#All],3,FALSE),"NONE")</f>
        <v>26</v>
      </c>
      <c r="F537" t="s">
        <v>324</v>
      </c>
      <c r="G537" t="str">
        <f>IF(Table2[[#This Row],[tune_book]]="LFTBs","Red Book","Green Book")</f>
        <v>Green Book</v>
      </c>
      <c r="H537" t="s">
        <v>541</v>
      </c>
      <c r="I537" t="s">
        <v>2058</v>
      </c>
      <c r="J537" t="str">
        <f>Table2[[#This Row],[file_name]]&amp;".mp3"</f>
        <v>436g.mid.mp3</v>
      </c>
      <c r="M537">
        <v>700</v>
      </c>
      <c r="N5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--song="Rest (Stainer) (8.8.8.8.8.8.)" --artist="Sir John Stainer" --comment="" --album="Green Book" --track="436" 436g.mid.mp3</v>
      </c>
      <c r="P537" s="4" t="e">
        <f ca="1">VLOOKUP(Table2[[#This Row],[mp3_file]],Table3[#All],3,FALSE)</f>
        <v>#NAME?</v>
      </c>
    </row>
    <row r="538" spans="1:16" x14ac:dyDescent="0.3">
      <c r="A538">
        <v>254</v>
      </c>
      <c r="B538" t="s">
        <v>1913</v>
      </c>
      <c r="C538" t="s">
        <v>467</v>
      </c>
      <c r="D538" s="7">
        <f>IFERROR(VLOOKUP(Table2[[#This Row],[tune_meter]],Table1[#All],3,FALSE),"NONE")</f>
        <v>34</v>
      </c>
      <c r="F538" t="s">
        <v>324</v>
      </c>
      <c r="G538" t="str">
        <f>IF(Table2[[#This Row],[tune_book]]="LFTBs","Red Book","Green Book")</f>
        <v>Green Book</v>
      </c>
      <c r="H538" t="s">
        <v>633</v>
      </c>
      <c r="I538" t="s">
        <v>1914</v>
      </c>
      <c r="J538" t="str">
        <f>Table2[[#This Row],[file_name]]&amp;".mp3"</f>
        <v>254g.mid.mp3</v>
      </c>
      <c r="M538">
        <v>637</v>
      </c>
      <c r="N5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--song="Rest and Home (7.6.7.6.7.6.7.6.)" --artist="Miss La Thangue" --comment="" --album="Green Book" --track="254" 254g.mid.mp3</v>
      </c>
      <c r="P538" s="4" t="e">
        <f ca="1">VLOOKUP(Table2[[#This Row],[mp3_file]],Table3[#All],3,FALSE)</f>
        <v>#NAME?</v>
      </c>
    </row>
    <row r="539" spans="1:16" x14ac:dyDescent="0.3">
      <c r="A539">
        <v>157</v>
      </c>
      <c r="B539" t="s">
        <v>1007</v>
      </c>
      <c r="C539" t="s">
        <v>370</v>
      </c>
      <c r="D539" s="7">
        <f>IFERROR(VLOOKUP(Table2[[#This Row],[tune_meter]],Table1[#All],3,FALSE),"NONE")</f>
        <v>24</v>
      </c>
      <c r="E539" t="s">
        <v>323</v>
      </c>
      <c r="F539" t="s">
        <v>459</v>
      </c>
      <c r="G539" t="str">
        <f>IF(Table2[[#This Row],[tune_book]]="LFTBs","Red Book","Green Book")</f>
        <v>Red Book</v>
      </c>
      <c r="H539" t="s">
        <v>439</v>
      </c>
      <c r="I539" t="s">
        <v>1008</v>
      </c>
      <c r="J539" t="str">
        <f>Table2[[#This Row],[file_name]]&amp;".mp3"</f>
        <v>157r.mid.mp3</v>
      </c>
      <c r="M539">
        <v>257</v>
      </c>
      <c r="N5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--song="Resurrection (8.7.8.7.)" --artist="Mrs. D.L. Johnston" --comment="" --album="Red Book" --track="157" 157r.mid.mp3</v>
      </c>
      <c r="P539" s="4" t="e">
        <f ca="1">VLOOKUP(Table2[[#This Row],[mp3_file]],Table3[#All],3,FALSE)</f>
        <v>#NAME?</v>
      </c>
    </row>
    <row r="540" spans="1:16" x14ac:dyDescent="0.3">
      <c r="A540">
        <v>38</v>
      </c>
      <c r="B540" t="s">
        <v>1009</v>
      </c>
      <c r="C540" t="s">
        <v>516</v>
      </c>
      <c r="D540" s="7">
        <f>IFERROR(VLOOKUP(Table2[[#This Row],[tune_meter]],Table1[#All],3,FALSE),"NONE")</f>
        <v>16</v>
      </c>
      <c r="F540" t="s">
        <v>459</v>
      </c>
      <c r="G540" t="str">
        <f>IF(Table2[[#This Row],[tune_book]]="LFTBs","Red Book","Green Book")</f>
        <v>Red Book</v>
      </c>
      <c r="H540" t="s">
        <v>1010</v>
      </c>
      <c r="I540" t="s">
        <v>1011</v>
      </c>
      <c r="J540" t="str">
        <f>Table2[[#This Row],[file_name]]&amp;".mp3"</f>
        <v>38r.mid.mp3</v>
      </c>
      <c r="M540">
        <v>258</v>
      </c>
      <c r="N5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--song="Retreat (L.M.)" --artist="Dr. Thomas Hastings" --comment="" --album="Red Book" --track="38" 38r.mid.mp3</v>
      </c>
      <c r="P540" s="4" t="e">
        <f ca="1">VLOOKUP(Table2[[#This Row],[mp3_file]],Table3[#All],3,FALSE)</f>
        <v>#NAME?</v>
      </c>
    </row>
    <row r="541" spans="1:16" x14ac:dyDescent="0.3">
      <c r="A541">
        <v>412</v>
      </c>
      <c r="B541" t="s">
        <v>2032</v>
      </c>
      <c r="C541" t="s">
        <v>527</v>
      </c>
      <c r="D541" s="7">
        <f>IFERROR(VLOOKUP(Table2[[#This Row],[tune_meter]],Table1[#All],3,FALSE),"NONE")</f>
        <v>20</v>
      </c>
      <c r="F541" t="s">
        <v>324</v>
      </c>
      <c r="G541" t="str">
        <f>IF(Table2[[#This Row],[tune_book]]="LFTBs","Red Book","Green Book")</f>
        <v>Green Book</v>
      </c>
      <c r="H541" t="s">
        <v>2033</v>
      </c>
      <c r="I541" t="s">
        <v>2034</v>
      </c>
      <c r="J541" t="str">
        <f>Table2[[#This Row],[file_name]]&amp;".mp3"</f>
        <v>412g.mid.mp3</v>
      </c>
      <c r="M541">
        <v>687</v>
      </c>
      <c r="N5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--song="Reuben (8.8.6.8.8.6.)" --artist="S. Wakely" --comment="" --album="Green Book" --track="412" 412g.mid.mp3</v>
      </c>
      <c r="P541" s="4" t="e">
        <f ca="1">VLOOKUP(Table2[[#This Row],[mp3_file]],Table3[#All],3,FALSE)</f>
        <v>#NAME?</v>
      </c>
    </row>
    <row r="542" spans="1:16" x14ac:dyDescent="0.3">
      <c r="A542">
        <v>165</v>
      </c>
      <c r="B542" t="s">
        <v>421</v>
      </c>
      <c r="C542" t="s">
        <v>354</v>
      </c>
      <c r="D542" s="7">
        <f>IFERROR(VLOOKUP(Table2[[#This Row],[tune_meter]],Table1[#All],3,FALSE),"NONE")</f>
        <v>28</v>
      </c>
      <c r="F542" t="s">
        <v>324</v>
      </c>
      <c r="G542" t="str">
        <f>IF(Table2[[#This Row],[tune_book]]="LFTBs","Red Book","Green Book")</f>
        <v>Green Book</v>
      </c>
      <c r="H542" t="s">
        <v>2782</v>
      </c>
      <c r="I542" t="s">
        <v>422</v>
      </c>
      <c r="J542" t="str">
        <f>Table2[[#This Row],[file_name]]&amp;".mp3"</f>
        <v>165g.mid.mp3</v>
      </c>
      <c r="K542">
        <v>1951</v>
      </c>
      <c r="M542">
        <v>31</v>
      </c>
      <c r="N5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--song="Revelation (4.8.4.8.8.)" --artist="Mrs. H. B. Cowie" --comment="" --album="Green Book" --track="165" 165g.mid.mp3</v>
      </c>
      <c r="P542" s="4" t="e">
        <f ca="1">VLOOKUP(Table2[[#This Row],[mp3_file]],Table3[#All],3,FALSE)</f>
        <v>#NAME?</v>
      </c>
    </row>
    <row r="543" spans="1:16" x14ac:dyDescent="0.3">
      <c r="A543">
        <v>52</v>
      </c>
      <c r="B543" t="s">
        <v>1012</v>
      </c>
      <c r="C543" t="s">
        <v>664</v>
      </c>
      <c r="D543" s="7">
        <f>IFERROR(VLOOKUP(Table2[[#This Row],[tune_meter]],Table1[#All],3,FALSE),"NONE")</f>
        <v>70</v>
      </c>
      <c r="F543" t="s">
        <v>459</v>
      </c>
      <c r="G543" t="str">
        <f>IF(Table2[[#This Row],[tune_book]]="LFTBs","Red Book","Green Book")</f>
        <v>Red Book</v>
      </c>
      <c r="H543" t="s">
        <v>364</v>
      </c>
      <c r="I543" t="s">
        <v>1013</v>
      </c>
      <c r="J543" t="str">
        <f>Table2[[#This Row],[file_name]]&amp;".mp3"</f>
        <v>52r.mid.mp3</v>
      </c>
      <c r="M543">
        <v>259</v>
      </c>
      <c r="N5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--song="Revival (S.M.D.)" --artist="W.H. Doane" --comment="" --album="Red Book" --track="52" 52r.mid.mp3</v>
      </c>
      <c r="P543" s="4" t="e">
        <f ca="1">VLOOKUP(Table2[[#This Row],[mp3_file]],Table3[#All],3,FALSE)</f>
        <v>#NAME?</v>
      </c>
    </row>
    <row r="544" spans="1:16" x14ac:dyDescent="0.3">
      <c r="A544">
        <v>334</v>
      </c>
      <c r="B544" t="s">
        <v>1323</v>
      </c>
      <c r="C544" t="s">
        <v>370</v>
      </c>
      <c r="D544" s="7">
        <f>IFERROR(VLOOKUP(Table2[[#This Row],[tune_meter]],Table1[#All],3,FALSE),"NONE")</f>
        <v>24</v>
      </c>
      <c r="F544" t="s">
        <v>324</v>
      </c>
      <c r="G544" t="str">
        <f>IF(Table2[[#This Row],[tune_book]]="LFTBs","Red Book","Green Book")</f>
        <v>Green Book</v>
      </c>
      <c r="H544" t="s">
        <v>1319</v>
      </c>
      <c r="I544" t="s">
        <v>1324</v>
      </c>
      <c r="J544" t="str">
        <f>Table2[[#This Row],[file_name]]&amp;".mp3"</f>
        <v>334g.mid.mp3</v>
      </c>
      <c r="M544">
        <v>384</v>
      </c>
      <c r="N5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--song="Rhineland (8.7.8.7.)" --artist="From 'Geistliche Leider'" --comment="" --album="Green Book" --track="334" 334g.mid.mp3</v>
      </c>
      <c r="P544" s="4" t="e">
        <f ca="1">VLOOKUP(Table2[[#This Row],[mp3_file]],Table3[#All],3,FALSE)</f>
        <v>#NAME?</v>
      </c>
    </row>
    <row r="545" spans="1:16" x14ac:dyDescent="0.3">
      <c r="A545">
        <v>146</v>
      </c>
      <c r="B545" t="s">
        <v>1862</v>
      </c>
      <c r="C545" t="s">
        <v>623</v>
      </c>
      <c r="D545" s="7">
        <f>IFERROR(VLOOKUP(Table2[[#This Row],[tune_meter]],Table1[#All],3,FALSE),"NONE")</f>
        <v>22</v>
      </c>
      <c r="F545" t="s">
        <v>324</v>
      </c>
      <c r="G545" t="str">
        <f>IF(Table2[[#This Row],[tune_book]]="LFTBs","Red Book","Green Book")</f>
        <v>Green Book</v>
      </c>
      <c r="H545" t="s">
        <v>1863</v>
      </c>
      <c r="I545" t="s">
        <v>1864</v>
      </c>
      <c r="J545" t="str">
        <f>Table2[[#This Row],[file_name]]&amp;".mp3"</f>
        <v>146g.mid.mp3</v>
      </c>
      <c r="M545">
        <v>614</v>
      </c>
      <c r="N5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--song="Rhodes (S.M.)" --artist="Dr. C. Warwich Jordan" --comment="" --album="Green Book" --track="146" 146g.mid.mp3</v>
      </c>
      <c r="P545" s="4" t="e">
        <f ca="1">VLOOKUP(Table2[[#This Row],[mp3_file]],Table3[#All],3,FALSE)</f>
        <v>#NAME?</v>
      </c>
    </row>
    <row r="546" spans="1:16" x14ac:dyDescent="0.3">
      <c r="A546">
        <v>520</v>
      </c>
      <c r="B546" t="s">
        <v>2150</v>
      </c>
      <c r="C546" t="s">
        <v>495</v>
      </c>
      <c r="D546" s="7">
        <f>IFERROR(VLOOKUP(Table2[[#This Row],[tune_meter]],Table1[#All],3,FALSE),"NONE")</f>
        <v>52</v>
      </c>
      <c r="F546" t="s">
        <v>324</v>
      </c>
      <c r="G546" t="str">
        <f>IF(Table2[[#This Row],[tune_book]]="LFTBs","Red Book","Green Book")</f>
        <v>Green Book</v>
      </c>
      <c r="H546" t="s">
        <v>2888</v>
      </c>
      <c r="I546" t="s">
        <v>2151</v>
      </c>
      <c r="J546" t="str">
        <f>Table2[[#This Row],[file_name]]&amp;".mp3"</f>
        <v>520g.mid.mp3</v>
      </c>
      <c r="M546">
        <v>743</v>
      </c>
      <c r="N5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--song="Rhys (11.10.11.10.)" --artist="W. J. Evans" --comment="" --album="Green Book" --track="520" 520g.mid.mp3</v>
      </c>
      <c r="P546" s="4" t="e">
        <f ca="1">VLOOKUP(Table2[[#This Row],[mp3_file]],Table3[#All],3,FALSE)</f>
        <v>#NAME?</v>
      </c>
    </row>
    <row r="547" spans="1:16" x14ac:dyDescent="0.3">
      <c r="A547">
        <v>52</v>
      </c>
      <c r="B547" t="s">
        <v>1663</v>
      </c>
      <c r="C547" t="s">
        <v>486</v>
      </c>
      <c r="D547" s="7">
        <f>IFERROR(VLOOKUP(Table2[[#This Row],[tune_meter]],Table1[#All],3,FALSE),"NONE")</f>
        <v>19</v>
      </c>
      <c r="F547" t="s">
        <v>324</v>
      </c>
      <c r="G547" t="str">
        <f>IF(Table2[[#This Row],[tune_book]]="LFTBs","Red Book","Green Book")</f>
        <v>Green Book</v>
      </c>
      <c r="H547" t="s">
        <v>1664</v>
      </c>
      <c r="I547" t="s">
        <v>1665</v>
      </c>
      <c r="J547" t="str">
        <f>Table2[[#This Row],[file_name]]&amp;".mp3"</f>
        <v>52g.mid.mp3</v>
      </c>
      <c r="M547">
        <v>532</v>
      </c>
      <c r="N5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--song="Richmond (C.M.)" --artist="T. Haweis" --comment="" --album="Green Book" --track="52" 52g.mid.mp3</v>
      </c>
      <c r="P547" s="4" t="e">
        <f ca="1">VLOOKUP(Table2[[#This Row],[mp3_file]],Table3[#All],3,FALSE)</f>
        <v>#NAME?</v>
      </c>
    </row>
    <row r="548" spans="1:16" x14ac:dyDescent="0.3">
      <c r="A548">
        <v>115</v>
      </c>
      <c r="B548" t="s">
        <v>1248</v>
      </c>
      <c r="C548" t="s">
        <v>516</v>
      </c>
      <c r="D548" s="7">
        <f>IFERROR(VLOOKUP(Table2[[#This Row],[tune_meter]],Table1[#All],3,FALSE),"NONE")</f>
        <v>16</v>
      </c>
      <c r="F548" t="s">
        <v>324</v>
      </c>
      <c r="G548" t="str">
        <f>IF(Table2[[#This Row],[tune_book]]="LFTBs","Red Book","Green Book")</f>
        <v>Green Book</v>
      </c>
      <c r="H548" t="s">
        <v>1249</v>
      </c>
      <c r="I548" t="s">
        <v>1250</v>
      </c>
      <c r="J548" t="str">
        <f>Table2[[#This Row],[file_name]]&amp;".mp3"</f>
        <v>115g.mid.mp3</v>
      </c>
      <c r="M548">
        <v>353</v>
      </c>
      <c r="N5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--song="Rimington (L.M.)" --artist="F. Duckworth" --comment="" --album="Green Book" --track="115" 115g.mid.mp3</v>
      </c>
      <c r="P548" s="4" t="e">
        <f ca="1">VLOOKUP(Table2[[#This Row],[mp3_file]],Table3[#All],3,FALSE)</f>
        <v>#NAME?</v>
      </c>
    </row>
    <row r="549" spans="1:16" x14ac:dyDescent="0.3">
      <c r="A549">
        <v>147</v>
      </c>
      <c r="B549" t="s">
        <v>1865</v>
      </c>
      <c r="C549" t="s">
        <v>623</v>
      </c>
      <c r="D549" s="7">
        <f>IFERROR(VLOOKUP(Table2[[#This Row],[tune_meter]],Table1[#All],3,FALSE),"NONE")</f>
        <v>22</v>
      </c>
      <c r="F549" t="s">
        <v>324</v>
      </c>
      <c r="G549" t="str">
        <f>IF(Table2[[#This Row],[tune_book]]="LFTBs","Red Book","Green Book")</f>
        <v>Green Book</v>
      </c>
      <c r="H549" t="s">
        <v>2889</v>
      </c>
      <c r="I549" t="s">
        <v>1866</v>
      </c>
      <c r="J549" t="str">
        <f>Table2[[#This Row],[file_name]]&amp;".mp3"</f>
        <v>147g.mid.mp3</v>
      </c>
      <c r="M549">
        <v>615</v>
      </c>
      <c r="N5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--song="Ripon (S.M.)" --artist="J. G. Nageli" --comment="" --album="Green Book" --track="147" 147g.mid.mp3</v>
      </c>
      <c r="P549" s="4" t="e">
        <f ca="1">VLOOKUP(Table2[[#This Row],[mp3_file]],Table3[#All],3,FALSE)</f>
        <v>#NAME?</v>
      </c>
    </row>
    <row r="550" spans="1:16" x14ac:dyDescent="0.3">
      <c r="A550">
        <v>158</v>
      </c>
      <c r="B550" t="s">
        <v>1014</v>
      </c>
      <c r="C550" t="s">
        <v>370</v>
      </c>
      <c r="D550" s="7">
        <f>IFERROR(VLOOKUP(Table2[[#This Row],[tune_meter]],Table1[#All],3,FALSE),"NONE")</f>
        <v>24</v>
      </c>
      <c r="F550" t="s">
        <v>459</v>
      </c>
      <c r="G550" t="str">
        <f>IF(Table2[[#This Row],[tune_book]]="LFTBs","Red Book","Green Book")</f>
        <v>Red Book</v>
      </c>
      <c r="H550" t="s">
        <v>351</v>
      </c>
      <c r="I550" t="s">
        <v>1015</v>
      </c>
      <c r="J550" t="str">
        <f>Table2[[#This Row],[file_name]]&amp;".mp3"</f>
        <v>158r.mid.mp3</v>
      </c>
      <c r="M550">
        <v>260</v>
      </c>
      <c r="N5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--song="Riposo (8.7.8.7.)" --artist="C. Leflaive" --comment="" --album="Red Book" --track="158" 158r.mid.mp3</v>
      </c>
      <c r="P550" s="4" t="e">
        <f ca="1">VLOOKUP(Table2[[#This Row],[mp3_file]],Table3[#All],3,FALSE)</f>
        <v>#NAME?</v>
      </c>
    </row>
    <row r="551" spans="1:16" x14ac:dyDescent="0.3">
      <c r="A551">
        <v>159</v>
      </c>
      <c r="B551" t="s">
        <v>1016</v>
      </c>
      <c r="C551" t="s">
        <v>370</v>
      </c>
      <c r="D551" s="7">
        <f>IFERROR(VLOOKUP(Table2[[#This Row],[tune_meter]],Table1[#All],3,FALSE),"NONE")</f>
        <v>24</v>
      </c>
      <c r="F551" t="s">
        <v>459</v>
      </c>
      <c r="G551" t="str">
        <f>IF(Table2[[#This Row],[tune_book]]="LFTBs","Red Book","Green Book")</f>
        <v>Red Book</v>
      </c>
      <c r="H551" t="s">
        <v>857</v>
      </c>
      <c r="I551" t="s">
        <v>1017</v>
      </c>
      <c r="J551" t="str">
        <f>Table2[[#This Row],[file_name]]&amp;".mp3"</f>
        <v>159r.mid.mp3</v>
      </c>
      <c r="M551">
        <v>261</v>
      </c>
      <c r="N5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--song="Rivermede (8.7.8.7.)" --artist="Miss A.H. Lee" --comment="" --album="Red Book" --track="159" 159r.mid.mp3</v>
      </c>
      <c r="P551" s="4" t="e">
        <f ca="1">VLOOKUP(Table2[[#This Row],[mp3_file]],Table3[#All],3,FALSE)</f>
        <v>#NAME?</v>
      </c>
    </row>
    <row r="552" spans="1:16" x14ac:dyDescent="0.3">
      <c r="A552">
        <v>255</v>
      </c>
      <c r="B552" t="s">
        <v>1915</v>
      </c>
      <c r="C552" t="s">
        <v>467</v>
      </c>
      <c r="D552" s="7">
        <f>IFERROR(VLOOKUP(Table2[[#This Row],[tune_meter]],Table1[#All],3,FALSE),"NONE")</f>
        <v>34</v>
      </c>
      <c r="F552" t="s">
        <v>324</v>
      </c>
      <c r="G552" t="str">
        <f>IF(Table2[[#This Row],[tune_book]]="LFTBs","Red Book","Green Book")</f>
        <v>Green Book</v>
      </c>
      <c r="H552" t="s">
        <v>410</v>
      </c>
      <c r="I552" t="s">
        <v>1916</v>
      </c>
      <c r="J552" t="str">
        <f>Table2[[#This Row],[file_name]]&amp;".mp3"</f>
        <v>255g.mid.mp3</v>
      </c>
      <c r="M552">
        <v>638</v>
      </c>
      <c r="N5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--song="Robe of Righteousness (7.6.7.6.7.6.7.6.)" --artist="Dr. Lowell Mason" --comment="" --album="Green Book" --track="255" 255g.mid.mp3</v>
      </c>
      <c r="P552" s="4" t="e">
        <f ca="1">VLOOKUP(Table2[[#This Row],[mp3_file]],Table3[#All],3,FALSE)</f>
        <v>#NAME?</v>
      </c>
    </row>
    <row r="553" spans="1:16" x14ac:dyDescent="0.3">
      <c r="A553">
        <v>148</v>
      </c>
      <c r="B553" t="s">
        <v>1867</v>
      </c>
      <c r="C553" t="s">
        <v>623</v>
      </c>
      <c r="D553" s="7">
        <f>IFERROR(VLOOKUP(Table2[[#This Row],[tune_meter]],Table1[#All],3,FALSE),"NONE")</f>
        <v>22</v>
      </c>
      <c r="F553" t="s">
        <v>324</v>
      </c>
      <c r="G553" t="str">
        <f>IF(Table2[[#This Row],[tune_book]]="LFTBs","Red Book","Green Book")</f>
        <v>Green Book</v>
      </c>
      <c r="H553" t="s">
        <v>1868</v>
      </c>
      <c r="I553" t="s">
        <v>1869</v>
      </c>
      <c r="J553" t="str">
        <f>Table2[[#This Row],[file_name]]&amp;".mp3"</f>
        <v>148g.mid.mp3</v>
      </c>
      <c r="M553">
        <v>616</v>
      </c>
      <c r="N5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--song="Robinson's Chant (S.M.)" --artist="J. Robinson" --comment="" --album="Green Book" --track="148" 148g.mid.mp3</v>
      </c>
      <c r="P553" s="4" t="e">
        <f ca="1">VLOOKUP(Table2[[#This Row],[mp3_file]],Table3[#All],3,FALSE)</f>
        <v>#NAME?</v>
      </c>
    </row>
    <row r="554" spans="1:16" x14ac:dyDescent="0.3">
      <c r="A554">
        <v>119</v>
      </c>
      <c r="B554" t="s">
        <v>1018</v>
      </c>
      <c r="C554" t="s">
        <v>775</v>
      </c>
      <c r="D554" s="7">
        <f>IFERROR(VLOOKUP(Table2[[#This Row],[tune_meter]],Table1[#All],3,FALSE),"NONE")</f>
        <v>83</v>
      </c>
      <c r="F554" t="s">
        <v>459</v>
      </c>
      <c r="G554" t="str">
        <f>IF(Table2[[#This Row],[tune_book]]="LFTBs","Red Book","Green Book")</f>
        <v>Red Book</v>
      </c>
      <c r="H554" t="s">
        <v>528</v>
      </c>
      <c r="I554" t="s">
        <v>1019</v>
      </c>
      <c r="J554" t="str">
        <f>Table2[[#This Row],[file_name]]&amp;".mp3"</f>
        <v>119r.mid.mp3</v>
      </c>
      <c r="M554">
        <v>262</v>
      </c>
      <c r="N5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--song="Rock of Ages (7.7.7.7.7.7.)" --artist="Peter Blanche" --comment="" --album="Red Book" --track="119" 119r.mid.mp3</v>
      </c>
      <c r="P554" s="4" t="e">
        <f ca="1">VLOOKUP(Table2[[#This Row],[mp3_file]],Table3[#All],3,FALSE)</f>
        <v>#NAME?</v>
      </c>
    </row>
    <row r="555" spans="1:16" x14ac:dyDescent="0.3">
      <c r="A555">
        <v>116</v>
      </c>
      <c r="B555" t="s">
        <v>1251</v>
      </c>
      <c r="C555" t="s">
        <v>516</v>
      </c>
      <c r="D555" s="7">
        <f>IFERROR(VLOOKUP(Table2[[#This Row],[tune_meter]],Table1[#All],3,FALSE),"NONE")</f>
        <v>16</v>
      </c>
      <c r="F555" t="s">
        <v>324</v>
      </c>
      <c r="G555" t="str">
        <f>IF(Table2[[#This Row],[tune_book]]="LFTBs","Red Book","Green Book")</f>
        <v>Green Book</v>
      </c>
      <c r="H555" t="s">
        <v>1252</v>
      </c>
      <c r="I555" t="s">
        <v>1253</v>
      </c>
      <c r="J555" t="str">
        <f>Table2[[#This Row],[file_name]]&amp;".mp3"</f>
        <v>116g.mid.mp3</v>
      </c>
      <c r="M555">
        <v>354</v>
      </c>
      <c r="N5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--song="Rockingham (L.M.)" --artist="Dr. Edward Miller" --comment="" --album="Green Book" --track="116" 116g.mid.mp3</v>
      </c>
      <c r="P555" s="4" t="e">
        <f ca="1">VLOOKUP(Table2[[#This Row],[mp3_file]],Table3[#All],3,FALSE)</f>
        <v>#NAME?</v>
      </c>
    </row>
    <row r="556" spans="1:16" x14ac:dyDescent="0.3">
      <c r="A556">
        <v>336</v>
      </c>
      <c r="B556" t="s">
        <v>1325</v>
      </c>
      <c r="C556" t="s">
        <v>370</v>
      </c>
      <c r="D556" s="7">
        <f>IFERROR(VLOOKUP(Table2[[#This Row],[tune_meter]],Table1[#All],3,FALSE),"NONE")</f>
        <v>24</v>
      </c>
      <c r="F556" t="s">
        <v>324</v>
      </c>
      <c r="G556" t="str">
        <f>IF(Table2[[#This Row],[tune_book]]="LFTBs","Red Book","Green Book")</f>
        <v>Green Book</v>
      </c>
      <c r="H556" t="s">
        <v>1286</v>
      </c>
      <c r="I556" t="s">
        <v>1326</v>
      </c>
      <c r="J556" t="str">
        <f>Table2[[#This Row],[file_name]]&amp;".mp3"</f>
        <v>336g.mid.mp3</v>
      </c>
      <c r="M556">
        <v>385</v>
      </c>
      <c r="N5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--song="Romanza (8.7.8.7.)" --artist="From Beethoven" --comment="" --album="Green Book" --track="336" 336g.mid.mp3</v>
      </c>
      <c r="P556" s="4" t="e">
        <f ca="1">VLOOKUP(Table2[[#This Row],[mp3_file]],Table3[#All],3,FALSE)</f>
        <v>#NAME?</v>
      </c>
    </row>
    <row r="557" spans="1:16" x14ac:dyDescent="0.3">
      <c r="A557">
        <v>393</v>
      </c>
      <c r="B557" t="s">
        <v>1343</v>
      </c>
      <c r="C557" t="s">
        <v>476</v>
      </c>
      <c r="D557" s="7">
        <f>IFERROR(VLOOKUP(Table2[[#This Row],[tune_meter]],Table1[#All],3,FALSE),"NONE")</f>
        <v>25</v>
      </c>
      <c r="F557" t="s">
        <v>324</v>
      </c>
      <c r="G557" t="str">
        <f>IF(Table2[[#This Row],[tune_book]]="LFTBs","Red Book","Green Book")</f>
        <v>Green Book</v>
      </c>
      <c r="H557" t="s">
        <v>1344</v>
      </c>
      <c r="I557" t="s">
        <v>1345</v>
      </c>
      <c r="J557" t="str">
        <f>Table2[[#This Row],[file_name]]&amp;".mp3"</f>
        <v>393g.mid.mp3</v>
      </c>
      <c r="M557">
        <v>393</v>
      </c>
      <c r="N5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--song="Room for Jesus (8.7.8.7.8.7.8.7.)" --artist="C.C. Williams" --comment="" --album="Green Book" --track="393" 393g.mid.mp3</v>
      </c>
      <c r="P557" s="4" t="e">
        <f ca="1">VLOOKUP(Table2[[#This Row],[mp3_file]],Table3[#All],3,FALSE)</f>
        <v>#NAME?</v>
      </c>
    </row>
    <row r="558" spans="1:16" x14ac:dyDescent="0.3">
      <c r="A558">
        <v>137</v>
      </c>
      <c r="B558" t="s">
        <v>1020</v>
      </c>
      <c r="C558" t="s">
        <v>611</v>
      </c>
      <c r="D558" s="7">
        <f>IFERROR(VLOOKUP(Table2[[#This Row],[tune_meter]],Table1[#All],3,FALSE),"NONE")</f>
        <v>72</v>
      </c>
      <c r="F558" t="s">
        <v>459</v>
      </c>
      <c r="G558" t="str">
        <f>IF(Table2[[#This Row],[tune_book]]="LFTBs","Red Book","Green Book")</f>
        <v>Red Book</v>
      </c>
      <c r="H558" t="s">
        <v>1021</v>
      </c>
      <c r="I558" t="s">
        <v>1022</v>
      </c>
      <c r="J558" t="str">
        <f>Table2[[#This Row],[file_name]]&amp;".mp3"</f>
        <v>137r.mid.mp3</v>
      </c>
      <c r="M558">
        <v>263</v>
      </c>
      <c r="N5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--song="Rothley (8.6.8.4.)" --artist="Sir John Goss" --comment="" --album="Red Book" --track="137" 137r.mid.mp3</v>
      </c>
      <c r="P558" s="4" t="e">
        <f ca="1">VLOOKUP(Table2[[#This Row],[mp3_file]],Table3[#All],3,FALSE)</f>
        <v>#NAME?</v>
      </c>
    </row>
    <row r="559" spans="1:16" x14ac:dyDescent="0.3">
      <c r="A559">
        <v>109</v>
      </c>
      <c r="B559" t="s">
        <v>1023</v>
      </c>
      <c r="C559" t="s">
        <v>467</v>
      </c>
      <c r="D559" s="7">
        <f>IFERROR(VLOOKUP(Table2[[#This Row],[tune_meter]],Table1[#All],3,FALSE),"NONE")</f>
        <v>34</v>
      </c>
      <c r="F559" t="s">
        <v>459</v>
      </c>
      <c r="G559" t="str">
        <f>IF(Table2[[#This Row],[tune_book]]="LFTBs","Red Book","Green Book")</f>
        <v>Red Book</v>
      </c>
      <c r="H559" t="s">
        <v>1024</v>
      </c>
      <c r="I559" t="s">
        <v>1025</v>
      </c>
      <c r="J559" t="str">
        <f>Table2[[#This Row],[file_name]]&amp;".mp3"</f>
        <v>109r.mid.mp3</v>
      </c>
      <c r="M559">
        <v>264</v>
      </c>
      <c r="N5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--song="Rotterdam (7.6.7.6.7.6.7.6.)" --artist="B. Tours" --comment="" --album="Red Book" --track="109" 109r.mid.mp3</v>
      </c>
      <c r="P559" s="4" t="e">
        <f ca="1">VLOOKUP(Table2[[#This Row],[mp3_file]],Table3[#All],3,FALSE)</f>
        <v>#NAME?</v>
      </c>
    </row>
    <row r="560" spans="1:16" x14ac:dyDescent="0.3">
      <c r="A560">
        <v>53</v>
      </c>
      <c r="B560" t="s">
        <v>1666</v>
      </c>
      <c r="C560" t="s">
        <v>486</v>
      </c>
      <c r="D560" s="7">
        <f>IFERROR(VLOOKUP(Table2[[#This Row],[tune_meter]],Table1[#All],3,FALSE),"NONE")</f>
        <v>19</v>
      </c>
      <c r="F560" t="s">
        <v>324</v>
      </c>
      <c r="G560" t="str">
        <f>IF(Table2[[#This Row],[tune_book]]="LFTBs","Red Book","Green Book")</f>
        <v>Green Book</v>
      </c>
      <c r="H560" t="s">
        <v>1667</v>
      </c>
      <c r="I560" t="s">
        <v>1668</v>
      </c>
      <c r="J560" t="str">
        <f>Table2[[#This Row],[file_name]]&amp;".mp3"</f>
        <v>53g.mid.mp3</v>
      </c>
      <c r="M560">
        <v>533</v>
      </c>
      <c r="N5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--song="Royal Fort (C.M.)" --artist="E.J. Orchard" --comment="" --album="Green Book" --track="53" 53g.mid.mp3</v>
      </c>
      <c r="P560" s="4" t="e">
        <f ca="1">VLOOKUP(Table2[[#This Row],[mp3_file]],Table3[#All],3,FALSE)</f>
        <v>#NAME?</v>
      </c>
    </row>
    <row r="561" spans="1:16" x14ac:dyDescent="0.3">
      <c r="A561">
        <v>209</v>
      </c>
      <c r="B561" t="s">
        <v>1026</v>
      </c>
      <c r="C561" t="s">
        <v>520</v>
      </c>
      <c r="D561" s="7">
        <f>IFERROR(VLOOKUP(Table2[[#This Row],[tune_meter]],Table1[#All],3,FALSE),"NONE")</f>
        <v>58</v>
      </c>
      <c r="F561" t="s">
        <v>459</v>
      </c>
      <c r="G561" t="str">
        <f>IF(Table2[[#This Row],[tune_book]]="LFTBs","Red Book","Green Book")</f>
        <v>Red Book</v>
      </c>
      <c r="H561" t="s">
        <v>1027</v>
      </c>
      <c r="I561" t="s">
        <v>1028</v>
      </c>
      <c r="J561" t="str">
        <f>Table2[[#This Row],[file_name]]&amp;".mp3"</f>
        <v>209r.mid.mp3</v>
      </c>
      <c r="M561">
        <v>265</v>
      </c>
      <c r="N5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--song="Rozel (8.8.8.8.6.)" --artist="David H. Bance" --comment="" --album="Red Book" --track="209" 209r.mid.mp3</v>
      </c>
      <c r="P561" s="4" t="e">
        <f ca="1">VLOOKUP(Table2[[#This Row],[mp3_file]],Table3[#All],3,FALSE)</f>
        <v>#NAME?</v>
      </c>
    </row>
    <row r="562" spans="1:16" x14ac:dyDescent="0.3">
      <c r="A562">
        <v>237</v>
      </c>
      <c r="B562" t="s">
        <v>1029</v>
      </c>
      <c r="C562" t="s">
        <v>878</v>
      </c>
      <c r="D562" s="7">
        <f>IFERROR(VLOOKUP(Table2[[#This Row],[tune_meter]],Table1[#All],3,FALSE),"NONE")</f>
        <v>59</v>
      </c>
      <c r="F562" t="s">
        <v>459</v>
      </c>
      <c r="G562" t="str">
        <f>IF(Table2[[#This Row],[tune_book]]="LFTBs","Red Book","Green Book")</f>
        <v>Red Book</v>
      </c>
      <c r="H562" t="s">
        <v>344</v>
      </c>
      <c r="I562" t="s">
        <v>1030</v>
      </c>
      <c r="J562" t="str">
        <f>Table2[[#This Row],[file_name]]&amp;".mp3"</f>
        <v>237r.mid.mp3</v>
      </c>
      <c r="M562">
        <v>266</v>
      </c>
      <c r="N5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--song="Russian Air (9.8.9.8.9.8.9.8.)" --artist="Unknown" --comment="" --album="Red Book" --track="237" 237r.mid.mp3</v>
      </c>
      <c r="P562" s="4" t="e">
        <f ca="1">VLOOKUP(Table2[[#This Row],[mp3_file]],Table3[#All],3,FALSE)</f>
        <v>#NAME?</v>
      </c>
    </row>
    <row r="563" spans="1:16" x14ac:dyDescent="0.3">
      <c r="A563">
        <v>215</v>
      </c>
      <c r="B563" t="s">
        <v>2890</v>
      </c>
      <c r="C563" t="s">
        <v>554</v>
      </c>
      <c r="D563" s="7">
        <f>IFERROR(VLOOKUP(Table2[[#This Row],[tune_meter]],Table1[#All],3,FALSE),"NONE")</f>
        <v>26</v>
      </c>
      <c r="F563" t="s">
        <v>459</v>
      </c>
      <c r="G563" t="str">
        <f>IF(Table2[[#This Row],[tune_book]]="LFTBs","Red Book","Green Book")</f>
        <v>Red Book</v>
      </c>
      <c r="H563" t="s">
        <v>351</v>
      </c>
      <c r="I563" t="s">
        <v>1031</v>
      </c>
      <c r="J563" t="str">
        <f>Table2[[#This Row],[file_name]]&amp;".mp3"</f>
        <v>215r.mid.mp3</v>
      </c>
      <c r="M563">
        <v>267</v>
      </c>
      <c r="N5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--song="Ruth (Leflaive) (8.8.8.8.8.8.)" --artist="C. Leflaive" --comment="" --album="Red Book" --track="215" 215r.mid.mp3</v>
      </c>
      <c r="P563" s="4" t="e">
        <f ca="1">VLOOKUP(Table2[[#This Row],[mp3_file]],Table3[#All],3,FALSE)</f>
        <v>#NAME?</v>
      </c>
    </row>
    <row r="564" spans="1:16" x14ac:dyDescent="0.3">
      <c r="A564">
        <v>226</v>
      </c>
      <c r="B564" t="s">
        <v>1279</v>
      </c>
      <c r="C564" t="s">
        <v>1280</v>
      </c>
      <c r="D564" s="7" t="str">
        <f>IFERROR(VLOOKUP(Table2[[#This Row],[tune_meter]],Table1[#All],3,FALSE),"NONE")</f>
        <v>NONE</v>
      </c>
      <c r="F564" t="s">
        <v>324</v>
      </c>
      <c r="G564" t="str">
        <f>IF(Table2[[#This Row],[tune_book]]="LFTBs","Red Book","Green Book")</f>
        <v>Green Book</v>
      </c>
      <c r="H564" t="s">
        <v>1281</v>
      </c>
      <c r="I564" t="s">
        <v>1282</v>
      </c>
      <c r="J564" t="str">
        <f>Table2[[#This Row],[file_name]]&amp;".mp3"</f>
        <v>226g.mid.mp3</v>
      </c>
      <c r="M564">
        <v>366</v>
      </c>
      <c r="N5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--song="Rutherford (7.6.7.6.7.6.7.5.)" --artist="Chretien D'Urhan" --comment="" --album="Green Book" --track="226" 226g.mid.mp3</v>
      </c>
      <c r="P564" s="4" t="e">
        <f ca="1">VLOOKUP(Table2[[#This Row],[mp3_file]],Table3[#All],3,FALSE)</f>
        <v>#NAME?</v>
      </c>
    </row>
    <row r="565" spans="1:16" x14ac:dyDescent="0.3">
      <c r="A565">
        <v>202</v>
      </c>
      <c r="B565" t="s">
        <v>1883</v>
      </c>
      <c r="C565" t="s">
        <v>540</v>
      </c>
      <c r="D565" s="7">
        <f>IFERROR(VLOOKUP(Table2[[#This Row],[tune_meter]],Table1[#All],3,FALSE),"NONE")</f>
        <v>51</v>
      </c>
      <c r="F565" t="s">
        <v>324</v>
      </c>
      <c r="G565" t="str">
        <f>IF(Table2[[#This Row],[tune_book]]="LFTBs","Red Book","Green Book")</f>
        <v>Green Book</v>
      </c>
      <c r="H565" t="s">
        <v>1149</v>
      </c>
      <c r="I565" t="s">
        <v>1884</v>
      </c>
      <c r="J565" t="str">
        <f>Table2[[#This Row],[file_name]]&amp;".mp3"</f>
        <v>202g.mid.mp3</v>
      </c>
      <c r="M565">
        <v>623</v>
      </c>
      <c r="N5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--song="Safe Home (6.6.6.6.8.8.)" --artist="Sir Arthur S. Sullivan" --comment="" --album="Green Book" --track="202" 202g.mid.mp3</v>
      </c>
      <c r="P565" s="4" t="e">
        <f ca="1">VLOOKUP(Table2[[#This Row],[mp3_file]],Table3[#All],3,FALSE)</f>
        <v>#NAME?</v>
      </c>
    </row>
    <row r="566" spans="1:16" x14ac:dyDescent="0.3">
      <c r="A566">
        <v>160</v>
      </c>
      <c r="B566" t="s">
        <v>1032</v>
      </c>
      <c r="C566" t="s">
        <v>370</v>
      </c>
      <c r="D566" s="7">
        <f>IFERROR(VLOOKUP(Table2[[#This Row],[tune_meter]],Table1[#All],3,FALSE),"NONE")</f>
        <v>24</v>
      </c>
      <c r="F566" t="s">
        <v>459</v>
      </c>
      <c r="G566" t="str">
        <f>IF(Table2[[#This Row],[tune_book]]="LFTBs","Red Book","Green Book")</f>
        <v>Red Book</v>
      </c>
      <c r="H566" t="s">
        <v>1033</v>
      </c>
      <c r="I566" t="s">
        <v>1034</v>
      </c>
      <c r="J566" t="str">
        <f>Table2[[#This Row],[file_name]]&amp;".mp3"</f>
        <v>160r.mid.mp3</v>
      </c>
      <c r="L566" t="s">
        <v>1035</v>
      </c>
      <c r="M566">
        <v>268</v>
      </c>
      <c r="N5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--song="Saffron Walden (8.7.8.7.)" --artist="Dr. Herbert Mahon" --comment="Copyright.  By permission of Mrs. Jacinth Morton" --album="Red Book" --track="160" 160r.mid.mp3</v>
      </c>
      <c r="P566" s="4" t="e">
        <f ca="1">VLOOKUP(Table2[[#This Row],[mp3_file]],Table3[#All],3,FALSE)</f>
        <v>#NAME?</v>
      </c>
    </row>
    <row r="567" spans="1:16" x14ac:dyDescent="0.3">
      <c r="A567">
        <v>203</v>
      </c>
      <c r="B567" t="s">
        <v>1032</v>
      </c>
      <c r="C567" t="s">
        <v>415</v>
      </c>
      <c r="D567" s="7">
        <f>IFERROR(VLOOKUP(Table2[[#This Row],[tune_meter]],Table1[#All],3,FALSE),"NONE")</f>
        <v>39</v>
      </c>
      <c r="F567" t="s">
        <v>459</v>
      </c>
      <c r="G567" t="str">
        <f>IF(Table2[[#This Row],[tune_book]]="LFTBs","Red Book","Green Book")</f>
        <v>Red Book</v>
      </c>
      <c r="H567" t="s">
        <v>815</v>
      </c>
      <c r="I567" t="s">
        <v>1036</v>
      </c>
      <c r="J567" t="str">
        <f>Table2[[#This Row],[file_name]]&amp;".mp3"</f>
        <v>203r.mid.mp3</v>
      </c>
      <c r="M567">
        <v>269</v>
      </c>
      <c r="N56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--song="Saffron Walden (8.8.8.6.)" --artist="A.H. Brown" --comment="" --album="Red Book" --track="203" 203r.mid.mp3</v>
      </c>
      <c r="P567" s="4" t="e">
        <f ca="1">VLOOKUP(Table2[[#This Row],[mp3_file]],Table3[#All],3,FALSE)</f>
        <v>#NAME?</v>
      </c>
    </row>
    <row r="568" spans="1:16" x14ac:dyDescent="0.3">
      <c r="A568">
        <v>282</v>
      </c>
      <c r="B568" t="s">
        <v>1037</v>
      </c>
      <c r="C568" t="s">
        <v>509</v>
      </c>
      <c r="D568" s="7">
        <f>IFERROR(VLOOKUP(Table2[[#This Row],[tune_meter]],Table1[#All],3,FALSE),"NONE")</f>
        <v>64</v>
      </c>
      <c r="F568" t="s">
        <v>459</v>
      </c>
      <c r="G568" t="str">
        <f>IF(Table2[[#This Row],[tune_book]]="LFTBs","Red Book","Green Book")</f>
        <v>Red Book</v>
      </c>
      <c r="H568" t="s">
        <v>443</v>
      </c>
      <c r="I568" t="s">
        <v>1038</v>
      </c>
      <c r="J568" t="str">
        <f>Table2[[#This Row],[file_name]]&amp;".mp3"</f>
        <v>282r.mid.mp3</v>
      </c>
      <c r="M568">
        <v>270</v>
      </c>
      <c r="N56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--song="Salva Festa Dies (11.11.11.11. Trochaic)" --artist="Sir Joseph Barnby" --comment="" --album="Red Book" --track="282" 282r.mid.mp3</v>
      </c>
      <c r="P568" s="4" t="e">
        <f ca="1">VLOOKUP(Table2[[#This Row],[mp3_file]],Table3[#All],3,FALSE)</f>
        <v>#NAME?</v>
      </c>
    </row>
    <row r="569" spans="1:16" x14ac:dyDescent="0.3">
      <c r="A569">
        <v>272</v>
      </c>
      <c r="B569" t="s">
        <v>1039</v>
      </c>
      <c r="C569" t="s">
        <v>543</v>
      </c>
      <c r="D569" s="7">
        <f>IFERROR(VLOOKUP(Table2[[#This Row],[tune_meter]],Table1[#All],3,FALSE),"NONE")</f>
        <v>17</v>
      </c>
      <c r="F569" t="s">
        <v>459</v>
      </c>
      <c r="G569" t="str">
        <f>IF(Table2[[#This Row],[tune_book]]="LFTBs","Red Book","Green Book")</f>
        <v>Red Book</v>
      </c>
      <c r="H569" t="s">
        <v>384</v>
      </c>
      <c r="I569" t="s">
        <v>1040</v>
      </c>
      <c r="J569" t="str">
        <f>Table2[[#This Row],[file_name]]&amp;".mp3"</f>
        <v>272r.mid.mp3</v>
      </c>
      <c r="M569">
        <v>271</v>
      </c>
      <c r="N56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--song="Salvator (11.10.11.10. Dactylic)" --artist="E. Carren" --comment="" --album="Red Book" --track="272" 272r.mid.mp3</v>
      </c>
      <c r="P569" s="4" t="e">
        <f ca="1">VLOOKUP(Table2[[#This Row],[mp3_file]],Table3[#All],3,FALSE)</f>
        <v>#NAME?</v>
      </c>
    </row>
    <row r="570" spans="1:16" x14ac:dyDescent="0.3">
      <c r="A570">
        <v>65</v>
      </c>
      <c r="B570" t="s">
        <v>1814</v>
      </c>
      <c r="C570" t="s">
        <v>486</v>
      </c>
      <c r="D570" s="7">
        <f>IFERROR(VLOOKUP(Table2[[#This Row],[tune_meter]],Table1[#All],3,FALSE),"NONE")</f>
        <v>19</v>
      </c>
      <c r="F570" t="s">
        <v>324</v>
      </c>
      <c r="G570" t="str">
        <f>IF(Table2[[#This Row],[tune_book]]="LFTBs","Red Book","Green Book")</f>
        <v>Green Book</v>
      </c>
      <c r="H570" t="s">
        <v>2832</v>
      </c>
      <c r="I570" t="s">
        <v>1815</v>
      </c>
      <c r="J570" t="str">
        <f>Table2[[#This Row],[file_name]]&amp;".mp3"</f>
        <v>65g.mid.mp3</v>
      </c>
      <c r="M570">
        <v>595</v>
      </c>
      <c r="N57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--song="Salzburg (C.M.)" --artist="J. M. Haydn" --comment="" --album="Green Book" --track="65" 65g.mid.mp3</v>
      </c>
      <c r="P570" s="4" t="e">
        <f ca="1">VLOOKUP(Table2[[#This Row],[mp3_file]],Table3[#All],3,FALSE)</f>
        <v>#NAME?</v>
      </c>
    </row>
    <row r="571" spans="1:16" x14ac:dyDescent="0.3">
      <c r="A571">
        <v>203</v>
      </c>
      <c r="B571" t="s">
        <v>2903</v>
      </c>
      <c r="C571" t="s">
        <v>540</v>
      </c>
      <c r="D571" s="7">
        <f>IFERROR(VLOOKUP(Table2[[#This Row],[tune_meter]],Table1[#All],3,FALSE),"NONE")</f>
        <v>51</v>
      </c>
      <c r="F571" t="s">
        <v>324</v>
      </c>
      <c r="G571" t="str">
        <f>IF(Table2[[#This Row],[tune_book]]="LFTBs","Red Book","Green Book")</f>
        <v>Green Book</v>
      </c>
      <c r="H571" t="s">
        <v>1149</v>
      </c>
      <c r="I571" t="s">
        <v>1492</v>
      </c>
      <c r="J571" t="str">
        <f>Table2[[#This Row],[file_name]]&amp;".mp3"</f>
        <v>203g.mid.mp3</v>
      </c>
      <c r="M571">
        <v>457</v>
      </c>
      <c r="N57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--song="Samuel (Sullivan) (6.6.6.6.8.8.)" --artist="Sir Arthur S. Sullivan" --comment="" --album="Green Book" --track="203" 203g.mid.mp3</v>
      </c>
      <c r="P571" s="4" t="e">
        <f ca="1">VLOOKUP(Table2[[#This Row],[mp3_file]],Table3[#All],3,FALSE)</f>
        <v>#NAME?</v>
      </c>
    </row>
    <row r="572" spans="1:16" x14ac:dyDescent="0.3">
      <c r="A572">
        <v>458</v>
      </c>
      <c r="B572" t="s">
        <v>423</v>
      </c>
      <c r="C572" t="s">
        <v>424</v>
      </c>
      <c r="D572" s="7">
        <f>IFERROR(VLOOKUP(Table2[[#This Row],[tune_meter]],Table1[#All],3,FALSE),"NONE")</f>
        <v>45</v>
      </c>
      <c r="F572" t="s">
        <v>324</v>
      </c>
      <c r="G572" t="str">
        <f>IF(Table2[[#This Row],[tune_book]]="LFTBs","Red Book","Green Book")</f>
        <v>Green Book</v>
      </c>
      <c r="H572" t="s">
        <v>2904</v>
      </c>
      <c r="I572" t="s">
        <v>425</v>
      </c>
      <c r="J572" t="str">
        <f>Table2[[#This Row],[file_name]]&amp;".mp3"</f>
        <v>458g.mid.mp3</v>
      </c>
      <c r="M572">
        <v>32</v>
      </c>
      <c r="N57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--song="Sandon (10.4.10.4.10.10.)" --artist="C. H. Purday" --comment="" --album="Green Book" --track="458" 458g.mid.mp3</v>
      </c>
      <c r="P572" s="4" t="e">
        <f ca="1">VLOOKUP(Table2[[#This Row],[mp3_file]],Table3[#All],3,FALSE)</f>
        <v>#NAME?</v>
      </c>
    </row>
    <row r="573" spans="1:16" x14ac:dyDescent="0.3">
      <c r="A573">
        <v>128</v>
      </c>
      <c r="B573" t="s">
        <v>1431</v>
      </c>
      <c r="C573" t="s">
        <v>845</v>
      </c>
      <c r="D573" s="7">
        <f>IFERROR(VLOOKUP(Table2[[#This Row],[tune_meter]],Table1[#All],3,FALSE),"NONE")</f>
        <v>84</v>
      </c>
      <c r="F573" t="s">
        <v>324</v>
      </c>
      <c r="G573" t="str">
        <f>IF(Table2[[#This Row],[tune_book]]="LFTBs","Red Book","Green Book")</f>
        <v>Green Book</v>
      </c>
      <c r="H573" t="s">
        <v>2718</v>
      </c>
      <c r="I573" t="s">
        <v>1432</v>
      </c>
      <c r="J573" t="str">
        <f>Table2[[#This Row],[file_name]]&amp;".mp3"</f>
        <v>128g.mid.mp3</v>
      </c>
      <c r="M573">
        <v>432</v>
      </c>
      <c r="N57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--song="Saved By Grace (L.M.D.)" --artist="G. C. Stebbins" --comment="" --album="Green Book" --track="128" 128g.mid.mp3</v>
      </c>
      <c r="P573" s="4" t="e">
        <f ca="1">VLOOKUP(Table2[[#This Row],[mp3_file]],Table3[#All],3,FALSE)</f>
        <v>#NAME?</v>
      </c>
    </row>
    <row r="574" spans="1:16" x14ac:dyDescent="0.3">
      <c r="A574">
        <v>165</v>
      </c>
      <c r="B574" t="s">
        <v>1041</v>
      </c>
      <c r="C574" t="s">
        <v>1042</v>
      </c>
      <c r="D574" s="7">
        <f>IFERROR(VLOOKUP(Table2[[#This Row],[tune_meter]],Table1[#All],3,FALSE),"NONE")</f>
        <v>54</v>
      </c>
      <c r="F574" t="s">
        <v>459</v>
      </c>
      <c r="G574" t="str">
        <f>IF(Table2[[#This Row],[tune_book]]="LFTBs","Red Book","Green Book")</f>
        <v>Red Book</v>
      </c>
      <c r="H574" t="s">
        <v>367</v>
      </c>
      <c r="I574" t="s">
        <v>1043</v>
      </c>
      <c r="J574" t="str">
        <f>Table2[[#This Row],[file_name]]&amp;".mp3"</f>
        <v>165r.mid.mp3</v>
      </c>
      <c r="M574">
        <v>272</v>
      </c>
      <c r="N5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--song="Saviour of Sinners (8.7.8.7. Dactylic Chorus 5.7.8.7.)" --artist="Gordon Millar" --comment="" --album="Red Book" --track="165" 165r.mid.mp3</v>
      </c>
      <c r="P574" s="4" t="e">
        <f ca="1">VLOOKUP(Table2[[#This Row],[mp3_file]],Table3[#All],3,FALSE)</f>
        <v>#NAME?</v>
      </c>
    </row>
    <row r="575" spans="1:16" x14ac:dyDescent="0.3">
      <c r="A575">
        <v>66</v>
      </c>
      <c r="B575" t="s">
        <v>1816</v>
      </c>
      <c r="C575" t="s">
        <v>486</v>
      </c>
      <c r="D575" s="7">
        <f>IFERROR(VLOOKUP(Table2[[#This Row],[tune_meter]],Table1[#All],3,FALSE),"NONE")</f>
        <v>19</v>
      </c>
      <c r="F575" t="s">
        <v>324</v>
      </c>
      <c r="G575" t="str">
        <f>IF(Table2[[#This Row],[tune_book]]="LFTBs","Red Book","Green Book")</f>
        <v>Green Book</v>
      </c>
      <c r="H575" t="s">
        <v>1410</v>
      </c>
      <c r="I575" t="s">
        <v>1817</v>
      </c>
      <c r="J575" t="str">
        <f>Table2[[#This Row],[file_name]]&amp;".mp3"</f>
        <v>66g.mid.mp3</v>
      </c>
      <c r="M575">
        <v>596</v>
      </c>
      <c r="N57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--song="Sawley (C.M.)" --artist="J. Walch" --comment="" --album="Green Book" --track="66" 66g.mid.mp3</v>
      </c>
      <c r="P575" s="4" t="e">
        <f ca="1">VLOOKUP(Table2[[#This Row],[mp3_file]],Table3[#All],3,FALSE)</f>
        <v>#NAME?</v>
      </c>
    </row>
    <row r="576" spans="1:16" x14ac:dyDescent="0.3">
      <c r="A576">
        <v>240</v>
      </c>
      <c r="B576" t="s">
        <v>1044</v>
      </c>
      <c r="C576" t="s">
        <v>688</v>
      </c>
      <c r="D576" s="7">
        <f>IFERROR(VLOOKUP(Table2[[#This Row],[tune_meter]],Table1[#All],3,FALSE),"NONE")</f>
        <v>69</v>
      </c>
      <c r="F576" t="s">
        <v>459</v>
      </c>
      <c r="G576" t="str">
        <f>IF(Table2[[#This Row],[tune_book]]="LFTBs","Red Book","Green Book")</f>
        <v>Red Book</v>
      </c>
      <c r="H576" t="s">
        <v>642</v>
      </c>
      <c r="I576" t="s">
        <v>1045</v>
      </c>
      <c r="J576" t="str">
        <f>Table2[[#This Row],[file_name]]&amp;".mp3"</f>
        <v>240r.mid.mp3</v>
      </c>
      <c r="M576">
        <v>273</v>
      </c>
      <c r="N5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--song="Scotstoun (9.9.6.6.6.4.)" --artist="John. F. Harvey" --comment="" --album="Red Book" --track="240" 240r.mid.mp3</v>
      </c>
      <c r="P576" s="4" t="e">
        <f ca="1">VLOOKUP(Table2[[#This Row],[mp3_file]],Table3[#All],3,FALSE)</f>
        <v>#NAME?</v>
      </c>
    </row>
    <row r="577" spans="1:16" x14ac:dyDescent="0.3">
      <c r="A577">
        <v>398</v>
      </c>
      <c r="B577" t="s">
        <v>2014</v>
      </c>
      <c r="C577" t="s">
        <v>595</v>
      </c>
      <c r="D577" s="7">
        <f>IFERROR(VLOOKUP(Table2[[#This Row],[tune_meter]],Table1[#All],3,FALSE),"NONE")</f>
        <v>68</v>
      </c>
      <c r="F577" t="s">
        <v>324</v>
      </c>
      <c r="G577" t="str">
        <f>IF(Table2[[#This Row],[tune_book]]="LFTBs","Red Book","Green Book")</f>
        <v>Green Book</v>
      </c>
      <c r="H577" t="s">
        <v>849</v>
      </c>
      <c r="I577" t="s">
        <v>2015</v>
      </c>
      <c r="J577" t="str">
        <f>Table2[[#This Row],[file_name]]&amp;".mp3"</f>
        <v>398g.mid.mp3</v>
      </c>
      <c r="M577">
        <v>680</v>
      </c>
      <c r="N5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--song="Seeds of Kindness (8.7.8.7.8.7.8.7.7.7.)" --artist="S.J. Vail" --comment="" --album="Green Book" --track="398" 398g.mid.mp3</v>
      </c>
      <c r="P577" s="4" t="e">
        <f ca="1">VLOOKUP(Table2[[#This Row],[mp3_file]],Table3[#All],3,FALSE)</f>
        <v>#NAME?</v>
      </c>
    </row>
    <row r="578" spans="1:16" x14ac:dyDescent="0.3">
      <c r="A578">
        <v>423</v>
      </c>
      <c r="B578" t="s">
        <v>426</v>
      </c>
      <c r="C578" t="s">
        <v>343</v>
      </c>
      <c r="D578" s="7">
        <f>IFERROR(VLOOKUP(Table2[[#This Row],[tune_meter]],Table1[#All],3,FALSE),"NONE")</f>
        <v>30</v>
      </c>
      <c r="F578" t="s">
        <v>324</v>
      </c>
      <c r="G578" t="str">
        <f>IF(Table2[[#This Row],[tune_book]]="LFTBs","Red Book","Green Book")</f>
        <v>Green Book</v>
      </c>
      <c r="H578" t="s">
        <v>427</v>
      </c>
      <c r="I578" t="s">
        <v>428</v>
      </c>
      <c r="J578" t="str">
        <f>Table2[[#This Row],[file_name]]&amp;".mp3"</f>
        <v>423g.mid.mp3</v>
      </c>
      <c r="M578">
        <v>33</v>
      </c>
      <c r="N5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--song="Semper Fidelis (8.8.8.8.)" --artist="C.T. Lambert" --comment="" --album="Green Book" --track="423" 423g.mid.mp3</v>
      </c>
      <c r="P578" s="4" t="e">
        <f ca="1">VLOOKUP(Table2[[#This Row],[mp3_file]],Table3[#All],3,FALSE)</f>
        <v>#NAME?</v>
      </c>
    </row>
    <row r="579" spans="1:16" x14ac:dyDescent="0.3">
      <c r="A579">
        <v>49</v>
      </c>
      <c r="B579" t="s">
        <v>1046</v>
      </c>
      <c r="C579" t="s">
        <v>623</v>
      </c>
      <c r="D579" s="7">
        <f>IFERROR(VLOOKUP(Table2[[#This Row],[tune_meter]],Table1[#All],3,FALSE),"NONE")</f>
        <v>22</v>
      </c>
      <c r="F579" t="s">
        <v>459</v>
      </c>
      <c r="G579" t="str">
        <f>IF(Table2[[#This Row],[tune_book]]="LFTBs","Red Book","Green Book")</f>
        <v>Red Book</v>
      </c>
      <c r="H579" t="s">
        <v>1047</v>
      </c>
      <c r="I579" t="s">
        <v>1048</v>
      </c>
      <c r="J579" t="str">
        <f>Table2[[#This Row],[file_name]]&amp;".mp3"</f>
        <v>49r.mid.mp3</v>
      </c>
      <c r="M579">
        <v>274</v>
      </c>
      <c r="N5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--song="Serenity (S.M.)" --artist="C. Bryan" --comment="" --album="Red Book" --track="49" 49r.mid.mp3</v>
      </c>
      <c r="P579" s="4" t="e">
        <f ca="1">VLOOKUP(Table2[[#This Row],[mp3_file]],Table3[#All],3,FALSE)</f>
        <v>#NAME?</v>
      </c>
    </row>
    <row r="580" spans="1:16" x14ac:dyDescent="0.3">
      <c r="A580">
        <v>345</v>
      </c>
      <c r="B580" t="s">
        <v>1970</v>
      </c>
      <c r="C580" t="s">
        <v>370</v>
      </c>
      <c r="D580" s="7">
        <f>IFERROR(VLOOKUP(Table2[[#This Row],[tune_meter]],Table1[#All],3,FALSE),"NONE")</f>
        <v>24</v>
      </c>
      <c r="F580" t="s">
        <v>324</v>
      </c>
      <c r="G580" t="str">
        <f>IF(Table2[[#This Row],[tune_book]]="LFTBs","Red Book","Green Book")</f>
        <v>Green Book</v>
      </c>
      <c r="H580" t="s">
        <v>1971</v>
      </c>
      <c r="I580" t="s">
        <v>1972</v>
      </c>
      <c r="J580" t="str">
        <f>Table2[[#This Row],[file_name]]&amp;".mp3"</f>
        <v>345g.mid.mp3</v>
      </c>
      <c r="M580">
        <v>660</v>
      </c>
      <c r="N5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--song="Shades of Evening (8.7.8.7.)" --artist="D.E. Jones" --comment="" --album="Green Book" --track="345" 345g.mid.mp3</v>
      </c>
      <c r="P580" s="4" t="e">
        <f ca="1">VLOOKUP(Table2[[#This Row],[mp3_file]],Table3[#All],3,FALSE)</f>
        <v>#NAME?</v>
      </c>
    </row>
    <row r="581" spans="1:16" x14ac:dyDescent="0.3">
      <c r="A581">
        <v>231</v>
      </c>
      <c r="B581" t="s">
        <v>1049</v>
      </c>
      <c r="C581" t="s">
        <v>492</v>
      </c>
      <c r="D581" s="7">
        <f>IFERROR(VLOOKUP(Table2[[#This Row],[tune_meter]],Table1[#All],3,FALSE),"NONE")</f>
        <v>35</v>
      </c>
      <c r="F581" t="s">
        <v>459</v>
      </c>
      <c r="G581" t="str">
        <f>IF(Table2[[#This Row],[tune_book]]="LFTBs","Red Book","Green Book")</f>
        <v>Red Book</v>
      </c>
      <c r="H581" t="s">
        <v>572</v>
      </c>
      <c r="I581" t="s">
        <v>1050</v>
      </c>
      <c r="J581" t="str">
        <f>Table2[[#This Row],[file_name]]&amp;".mp3"</f>
        <v>231r.mid.mp3</v>
      </c>
      <c r="M581">
        <v>275</v>
      </c>
      <c r="N5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--song="Shamgar (9.8.9.8.)" --artist="Miss. E.C. Shanks" --comment="" --album="Red Book" --track="231" 231r.mid.mp3</v>
      </c>
      <c r="P581" s="4" t="e">
        <f ca="1">VLOOKUP(Table2[[#This Row],[mp3_file]],Table3[#All],3,FALSE)</f>
        <v>#NAME?</v>
      </c>
    </row>
    <row r="582" spans="1:16" x14ac:dyDescent="0.3">
      <c r="A582">
        <v>74</v>
      </c>
      <c r="B582" t="s">
        <v>1051</v>
      </c>
      <c r="C582" t="s">
        <v>328</v>
      </c>
      <c r="D582" s="7">
        <f>IFERROR(VLOOKUP(Table2[[#This Row],[tune_meter]],Table1[#All],3,FALSE),"NONE")</f>
        <v>27</v>
      </c>
      <c r="E582" t="s">
        <v>669</v>
      </c>
      <c r="F582" t="s">
        <v>459</v>
      </c>
      <c r="G582" t="str">
        <f>IF(Table2[[#This Row],[tune_book]]="LFTBs","Red Book","Green Book")</f>
        <v>Red Book</v>
      </c>
      <c r="H582" t="s">
        <v>745</v>
      </c>
      <c r="I582" t="s">
        <v>1052</v>
      </c>
      <c r="J582" t="str">
        <f>Table2[[#This Row],[file_name]]&amp;".mp3"</f>
        <v>74r.mid.mp3</v>
      </c>
      <c r="M582">
        <v>276</v>
      </c>
      <c r="N5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--song="Shannon (6.5.11.6.5.11.)" --artist="P.S. Pope" --comment="" --album="Red Book" --track="74" 74r.mid.mp3</v>
      </c>
      <c r="P582" s="4" t="e">
        <f ca="1">VLOOKUP(Table2[[#This Row],[mp3_file]],Table3[#All],3,FALSE)</f>
        <v>#NAME?</v>
      </c>
    </row>
    <row r="583" spans="1:16" x14ac:dyDescent="0.3">
      <c r="A583">
        <v>341</v>
      </c>
      <c r="B583" t="s">
        <v>1592</v>
      </c>
      <c r="C583" t="s">
        <v>370</v>
      </c>
      <c r="D583" s="7">
        <f>IFERROR(VLOOKUP(Table2[[#This Row],[tune_meter]],Table1[#All],3,FALSE),"NONE")</f>
        <v>24</v>
      </c>
      <c r="F583" t="s">
        <v>324</v>
      </c>
      <c r="G583" t="str">
        <f>IF(Table2[[#This Row],[tune_book]]="LFTBs","Red Book","Green Book")</f>
        <v>Green Book</v>
      </c>
      <c r="H583" t="s">
        <v>1593</v>
      </c>
      <c r="I583" t="s">
        <v>1594</v>
      </c>
      <c r="J583" t="str">
        <f>Table2[[#This Row],[file_name]]&amp;".mp3"</f>
        <v>341g.mid.mp3</v>
      </c>
      <c r="M583">
        <v>501</v>
      </c>
      <c r="N5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--song="Sharon (8.7.8.7.)" --artist="Dr. W. Boyce" --comment="" --album="Green Book" --track="341" 341g.mid.mp3</v>
      </c>
      <c r="P583" s="4" t="e">
        <f ca="1">VLOOKUP(Table2[[#This Row],[mp3_file]],Table3[#All],3,FALSE)</f>
        <v>#NAME?</v>
      </c>
    </row>
    <row r="584" spans="1:16" x14ac:dyDescent="0.3">
      <c r="A584">
        <v>67</v>
      </c>
      <c r="B584" t="s">
        <v>1818</v>
      </c>
      <c r="C584" t="s">
        <v>486</v>
      </c>
      <c r="D584" s="7">
        <f>IFERROR(VLOOKUP(Table2[[#This Row],[tune_meter]],Table1[#All],3,FALSE),"NONE")</f>
        <v>19</v>
      </c>
      <c r="F584" t="s">
        <v>324</v>
      </c>
      <c r="G584" t="str">
        <f>IF(Table2[[#This Row],[tune_book]]="LFTBs","Red Book","Green Book")</f>
        <v>Green Book</v>
      </c>
      <c r="H584" t="s">
        <v>1819</v>
      </c>
      <c r="I584" t="s">
        <v>1820</v>
      </c>
      <c r="J584" t="str">
        <f>Table2[[#This Row],[file_name]]&amp;".mp3"</f>
        <v>67g.mid.mp3</v>
      </c>
      <c r="M584">
        <v>597</v>
      </c>
      <c r="N5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--song="Sheffield (C.M.)" --artist="W. Mather" --comment="" --album="Green Book" --track="67" 67g.mid.mp3</v>
      </c>
      <c r="P584" s="4" t="e">
        <f ca="1">VLOOKUP(Table2[[#This Row],[mp3_file]],Table3[#All],3,FALSE)</f>
        <v>#NAME?</v>
      </c>
    </row>
    <row r="585" spans="1:16" x14ac:dyDescent="0.3">
      <c r="A585">
        <v>283</v>
      </c>
      <c r="B585" t="s">
        <v>429</v>
      </c>
      <c r="C585" t="s">
        <v>430</v>
      </c>
      <c r="D585" s="7" t="str">
        <f>IFERROR(VLOOKUP(Table2[[#This Row],[tune_meter]],Table1[#All],3,FALSE),"NONE")</f>
        <v>NONE</v>
      </c>
      <c r="F585" t="s">
        <v>324</v>
      </c>
      <c r="G585" t="str">
        <f>IF(Table2[[#This Row],[tune_book]]="LFTBs","Red Book","Green Book")</f>
        <v>Green Book</v>
      </c>
      <c r="H585" t="s">
        <v>329</v>
      </c>
      <c r="I585" t="s">
        <v>431</v>
      </c>
      <c r="J585" t="str">
        <f>Table2[[#This Row],[file_name]]&amp;".mp3"</f>
        <v>283g.mid.mp3</v>
      </c>
      <c r="M585">
        <v>34</v>
      </c>
      <c r="N5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--song="Shoshannim (7.7.8.7.)" --artist="T. Collins" --comment="" --album="Green Book" --track="283" 283g.mid.mp3</v>
      </c>
      <c r="P585" s="4" t="e">
        <f ca="1">VLOOKUP(Table2[[#This Row],[mp3_file]],Table3[#All],3,FALSE)</f>
        <v>#NAME?</v>
      </c>
    </row>
    <row r="586" spans="1:16" x14ac:dyDescent="0.3">
      <c r="A586">
        <v>353</v>
      </c>
      <c r="B586" t="s">
        <v>1600</v>
      </c>
      <c r="C586" t="s">
        <v>1042</v>
      </c>
      <c r="D586" s="7">
        <f>IFERROR(VLOOKUP(Table2[[#This Row],[tune_meter]],Table1[#All],3,FALSE),"NONE")</f>
        <v>54</v>
      </c>
      <c r="F586" t="s">
        <v>324</v>
      </c>
      <c r="G586" t="str">
        <f>IF(Table2[[#This Row],[tune_book]]="LFTBs","Red Book","Green Book")</f>
        <v>Green Book</v>
      </c>
      <c r="H586" t="s">
        <v>1415</v>
      </c>
      <c r="I586" t="s">
        <v>1601</v>
      </c>
      <c r="J586" t="str">
        <f>Table2[[#This Row],[file_name]]&amp;".mp3"</f>
        <v>353g.mid.mp3</v>
      </c>
      <c r="M586">
        <v>504</v>
      </c>
      <c r="N5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--song="Showers of Blessing (8.7.8.7. Dactylic Chorus 5.7.8.7.)" --artist="J. McGranahan" --comment="" --album="Green Book" --track="353" 353g.mid.mp3</v>
      </c>
      <c r="P586" s="4" t="e">
        <f ca="1">VLOOKUP(Table2[[#This Row],[mp3_file]],Table3[#All],3,FALSE)</f>
        <v>#NAME?</v>
      </c>
    </row>
    <row r="587" spans="1:16" x14ac:dyDescent="0.3">
      <c r="A587">
        <v>342</v>
      </c>
      <c r="B587" t="s">
        <v>1595</v>
      </c>
      <c r="C587" t="s">
        <v>370</v>
      </c>
      <c r="D587" s="7">
        <f>IFERROR(VLOOKUP(Table2[[#This Row],[tune_meter]],Table1[#All],3,FALSE),"NONE")</f>
        <v>24</v>
      </c>
      <c r="F587" t="s">
        <v>324</v>
      </c>
      <c r="G587" t="str">
        <f>IF(Table2[[#This Row],[tune_book]]="LFTBs","Red Book","Green Book")</f>
        <v>Green Book</v>
      </c>
      <c r="H587" t="s">
        <v>1596</v>
      </c>
      <c r="I587" t="s">
        <v>1597</v>
      </c>
      <c r="J587" t="str">
        <f>Table2[[#This Row],[file_name]]&amp;".mp3"</f>
        <v>342g.mid.mp3</v>
      </c>
      <c r="M587">
        <v>502</v>
      </c>
      <c r="N5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--song="Sicilian Mariners (8.7.8.7.)" --artist="Old Sicilian Melody" --comment="" --album="Green Book" --track="342" 342g.mid.mp3</v>
      </c>
      <c r="P587" s="4" t="e">
        <f ca="1">VLOOKUP(Table2[[#This Row],[mp3_file]],Table3[#All],3,FALSE)</f>
        <v>#NAME?</v>
      </c>
    </row>
    <row r="588" spans="1:16" x14ac:dyDescent="0.3">
      <c r="A588">
        <v>163</v>
      </c>
      <c r="B588" t="s">
        <v>432</v>
      </c>
      <c r="C588" t="s">
        <v>394</v>
      </c>
      <c r="D588" s="7">
        <f>IFERROR(VLOOKUP(Table2[[#This Row],[tune_meter]],Table1[#All],3,FALSE),"NONE")</f>
        <v>74</v>
      </c>
      <c r="F588" t="s">
        <v>324</v>
      </c>
      <c r="G588" t="str">
        <f>IF(Table2[[#This Row],[tune_book]]="LFTBs","Red Book","Green Book")</f>
        <v>Green Book</v>
      </c>
      <c r="H588" t="s">
        <v>2723</v>
      </c>
      <c r="I588" t="s">
        <v>433</v>
      </c>
      <c r="J588" t="str">
        <f>Table2[[#This Row],[file_name]]&amp;".mp3"</f>
        <v>163g.mid.mp3</v>
      </c>
      <c r="M588">
        <v>35</v>
      </c>
      <c r="N5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--song="Sidcup (4.6.8.8.4.)" --artist="C. T. Lambert" --comment="" --album="Green Book" --track="163" 163g.mid.mp3</v>
      </c>
      <c r="P588" s="4" t="e">
        <f ca="1">VLOOKUP(Table2[[#This Row],[mp3_file]],Table3[#All],3,FALSE)</f>
        <v>#NAME?</v>
      </c>
    </row>
    <row r="589" spans="1:16" x14ac:dyDescent="0.3">
      <c r="A589">
        <v>151</v>
      </c>
      <c r="B589" t="s">
        <v>1459</v>
      </c>
      <c r="C589" t="s">
        <v>623</v>
      </c>
      <c r="D589" s="7">
        <f>IFERROR(VLOOKUP(Table2[[#This Row],[tune_meter]],Table1[#All],3,FALSE),"NONE")</f>
        <v>22</v>
      </c>
      <c r="F589" t="s">
        <v>324</v>
      </c>
      <c r="G589" t="str">
        <f>IF(Table2[[#This Row],[tune_book]]="LFTBs","Red Book","Green Book")</f>
        <v>Green Book</v>
      </c>
      <c r="H589" t="s">
        <v>1460</v>
      </c>
      <c r="I589" t="s">
        <v>1461</v>
      </c>
      <c r="J589" t="str">
        <f>Table2[[#This Row],[file_name]]&amp;".mp3"</f>
        <v>151g.mid.mp3</v>
      </c>
      <c r="M589">
        <v>443</v>
      </c>
      <c r="N5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--song="Silchester (S.M.)" --artist="Dr. H.A.C. Malan" --comment="" --album="Green Book" --track="151" 151g.mid.mp3</v>
      </c>
      <c r="P589" s="4" t="e">
        <f ca="1">VLOOKUP(Table2[[#This Row],[mp3_file]],Table3[#All],3,FALSE)</f>
        <v>#NAME?</v>
      </c>
    </row>
    <row r="590" spans="1:16" x14ac:dyDescent="0.3">
      <c r="A590">
        <v>256</v>
      </c>
      <c r="B590" t="s">
        <v>1053</v>
      </c>
      <c r="C590" t="s">
        <v>582</v>
      </c>
      <c r="D590" s="7">
        <f>IFERROR(VLOOKUP(Table2[[#This Row],[tune_meter]],Table1[#All],3,FALSE),"NONE")</f>
        <v>21</v>
      </c>
      <c r="F590" t="s">
        <v>459</v>
      </c>
      <c r="G590" t="str">
        <f>IF(Table2[[#This Row],[tune_book]]="LFTBs","Red Book","Green Book")</f>
        <v>Red Book</v>
      </c>
      <c r="H590" t="s">
        <v>1054</v>
      </c>
      <c r="I590" t="s">
        <v>1055</v>
      </c>
      <c r="J590" t="str">
        <f>Table2[[#This Row],[file_name]]&amp;".mp3"</f>
        <v>256r.mid.mp3</v>
      </c>
      <c r="M590">
        <v>277</v>
      </c>
      <c r="N5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--song="Silla (10.10.10.10.)" --artist="Paul Gerard" --comment="" --album="Red Book" --track="256" 256r.mid.mp3</v>
      </c>
      <c r="P590" s="4" t="e">
        <f ca="1">VLOOKUP(Table2[[#This Row],[mp3_file]],Table3[#All],3,FALSE)</f>
        <v>#NAME?</v>
      </c>
    </row>
    <row r="591" spans="1:16" x14ac:dyDescent="0.3">
      <c r="A591">
        <v>39</v>
      </c>
      <c r="B591" t="s">
        <v>1056</v>
      </c>
      <c r="C591" t="s">
        <v>516</v>
      </c>
      <c r="D591" s="7">
        <f>IFERROR(VLOOKUP(Table2[[#This Row],[tune_meter]],Table1[#All],3,FALSE),"NONE")</f>
        <v>16</v>
      </c>
      <c r="F591" t="s">
        <v>459</v>
      </c>
      <c r="G591" t="str">
        <f>IF(Table2[[#This Row],[tune_book]]="LFTBs","Red Book","Green Book")</f>
        <v>Red Book</v>
      </c>
      <c r="H591" t="s">
        <v>846</v>
      </c>
      <c r="I591" t="s">
        <v>1057</v>
      </c>
      <c r="J591" t="str">
        <f>Table2[[#This Row],[file_name]]&amp;".mp3"</f>
        <v>39r.mid.mp3</v>
      </c>
      <c r="L591" t="s">
        <v>1058</v>
      </c>
      <c r="M591">
        <v>278</v>
      </c>
      <c r="N5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--song="Silver Hill (L.M.)" --artist="F.C. Maker" --comment="Copyright.  By permission of Geo. Taylor, The Cross Printing Works, Stainland" --album="Red Book" --track="39" 39r.mid.mp3</v>
      </c>
      <c r="P591" s="4" t="e">
        <f ca="1">VLOOKUP(Table2[[#This Row],[mp3_file]],Table3[#All],3,FALSE)</f>
        <v>#NAME?</v>
      </c>
    </row>
    <row r="592" spans="1:16" x14ac:dyDescent="0.3">
      <c r="A592">
        <v>528</v>
      </c>
      <c r="B592" t="s">
        <v>2159</v>
      </c>
      <c r="C592" t="s">
        <v>543</v>
      </c>
      <c r="D592" s="7">
        <f>IFERROR(VLOOKUP(Table2[[#This Row],[tune_meter]],Table1[#All],3,FALSE),"NONE")</f>
        <v>17</v>
      </c>
      <c r="F592" t="s">
        <v>324</v>
      </c>
      <c r="G592" t="str">
        <f>IF(Table2[[#This Row],[tune_book]]="LFTBs","Red Book","Green Book")</f>
        <v>Green Book</v>
      </c>
      <c r="H592" t="s">
        <v>2905</v>
      </c>
      <c r="I592" t="s">
        <v>2160</v>
      </c>
      <c r="J592" t="str">
        <f>Table2[[#This Row],[file_name]]&amp;".mp3"</f>
        <v>528g.mid.mp3</v>
      </c>
      <c r="K592">
        <v>1860</v>
      </c>
      <c r="M592">
        <v>747</v>
      </c>
      <c r="N5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--song="Skelton (11.10.11.10. Dactylic)" --artist="Miss F. T. Wigram" --comment="" --album="Green Book" --track="528" 528g.mid.mp3</v>
      </c>
      <c r="P592" s="4" t="e">
        <f ca="1">VLOOKUP(Table2[[#This Row],[mp3_file]],Table3[#All],3,FALSE)</f>
        <v>#NAME?</v>
      </c>
    </row>
    <row r="593" spans="1:16" x14ac:dyDescent="0.3">
      <c r="A593">
        <v>260</v>
      </c>
      <c r="B593" t="s">
        <v>1059</v>
      </c>
      <c r="C593" t="s">
        <v>881</v>
      </c>
      <c r="D593" s="7">
        <f>IFERROR(VLOOKUP(Table2[[#This Row],[tune_meter]],Table1[#All],3,FALSE),"NONE")</f>
        <v>63</v>
      </c>
      <c r="F593" t="s">
        <v>459</v>
      </c>
      <c r="G593" t="str">
        <f>IF(Table2[[#This Row],[tune_book]]="LFTBs","Red Book","Green Book")</f>
        <v>Red Book</v>
      </c>
      <c r="H593" t="s">
        <v>1060</v>
      </c>
      <c r="I593" t="s">
        <v>1061</v>
      </c>
      <c r="J593" t="str">
        <f>Table2[[#This Row],[file_name]]&amp;".mp3"</f>
        <v>260r.mid.mp3</v>
      </c>
      <c r="L593" t="s">
        <v>1062</v>
      </c>
      <c r="M593">
        <v>279</v>
      </c>
      <c r="N5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--song="Slane (10.10.10.10. Dactylic)" --artist="Irish Folk Melody" --comment="Harmonized by L.L. Dix" --album="Red Book" --track="260" 260r.mid.mp3</v>
      </c>
      <c r="P593" s="4" t="e">
        <f ca="1">VLOOKUP(Table2[[#This Row],[mp3_file]],Table3[#All],3,FALSE)</f>
        <v>#NAME?</v>
      </c>
    </row>
    <row r="594" spans="1:16" x14ac:dyDescent="0.3">
      <c r="A594">
        <v>152</v>
      </c>
      <c r="B594" t="s">
        <v>1462</v>
      </c>
      <c r="C594" t="s">
        <v>623</v>
      </c>
      <c r="D594" s="7">
        <f>IFERROR(VLOOKUP(Table2[[#This Row],[tune_meter]],Table1[#All],3,FALSE),"NONE")</f>
        <v>22</v>
      </c>
      <c r="F594" t="s">
        <v>324</v>
      </c>
      <c r="G594" t="str">
        <f>IF(Table2[[#This Row],[tune_book]]="LFTBs","Red Book","Green Book")</f>
        <v>Green Book</v>
      </c>
      <c r="H594" t="s">
        <v>344</v>
      </c>
      <c r="I594" t="s">
        <v>1463</v>
      </c>
      <c r="J594" t="str">
        <f>Table2[[#This Row],[file_name]]&amp;".mp3"</f>
        <v>152g.mid.mp3</v>
      </c>
      <c r="M594">
        <v>444</v>
      </c>
      <c r="N5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--song="Solyma (S.M.)" --artist="Unknown" --comment="" --album="Green Book" --track="152" 152g.mid.mp3</v>
      </c>
      <c r="P594" s="4" t="e">
        <f ca="1">VLOOKUP(Table2[[#This Row],[mp3_file]],Table3[#All],3,FALSE)</f>
        <v>#NAME?</v>
      </c>
    </row>
    <row r="595" spans="1:16" x14ac:dyDescent="0.3">
      <c r="A595">
        <v>399</v>
      </c>
      <c r="B595" t="s">
        <v>2016</v>
      </c>
      <c r="C595" t="s">
        <v>595</v>
      </c>
      <c r="D595" s="7">
        <f>IFERROR(VLOOKUP(Table2[[#This Row],[tune_meter]],Table1[#All],3,FALSE),"NONE")</f>
        <v>68</v>
      </c>
      <c r="F595" t="s">
        <v>324</v>
      </c>
      <c r="G595" t="str">
        <f>IF(Table2[[#This Row],[tune_book]]="LFTBs","Red Book","Green Book")</f>
        <v>Green Book</v>
      </c>
      <c r="H595" t="s">
        <v>2017</v>
      </c>
      <c r="I595" t="s">
        <v>2018</v>
      </c>
      <c r="J595" t="str">
        <f>Table2[[#This Row],[file_name]]&amp;".mp3"</f>
        <v>399g.mid.mp3</v>
      </c>
      <c r="K595">
        <v>1952</v>
      </c>
      <c r="M595">
        <v>681</v>
      </c>
      <c r="N5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--song="Source of Blessing (8.7.8.7.8.7.8.7.7.7.)" --artist="Miss Dorothea Markham" --comment="" --album="Green Book" --track="399" 399g.mid.mp3</v>
      </c>
      <c r="P595" s="4" t="e">
        <f ca="1">VLOOKUP(Table2[[#This Row],[mp3_file]],Table3[#All],3,FALSE)</f>
        <v>#NAME?</v>
      </c>
    </row>
    <row r="596" spans="1:16" x14ac:dyDescent="0.3">
      <c r="A596">
        <v>123</v>
      </c>
      <c r="B596" t="s">
        <v>1063</v>
      </c>
      <c r="C596" t="s">
        <v>1064</v>
      </c>
      <c r="D596" s="7">
        <f>IFERROR(VLOOKUP(Table2[[#This Row],[tune_meter]],Table1[#All],3,FALSE),"NONE")</f>
        <v>82</v>
      </c>
      <c r="F596" t="s">
        <v>459</v>
      </c>
      <c r="G596" t="str">
        <f>IF(Table2[[#This Row],[tune_book]]="LFTBs","Red Book","Green Book")</f>
        <v>Red Book</v>
      </c>
      <c r="H596" t="s">
        <v>958</v>
      </c>
      <c r="I596" t="s">
        <v>1065</v>
      </c>
      <c r="J596" t="str">
        <f>Table2[[#This Row],[file_name]]&amp;".mp3"</f>
        <v>123r.mid.mp3</v>
      </c>
      <c r="M596">
        <v>280</v>
      </c>
      <c r="N5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--song="Southampton (7.7.8.7.7.7.8.7.)" --artist="A.B. Skeffington" --comment="" --album="Red Book" --track="123" 123r.mid.mp3</v>
      </c>
      <c r="P596" s="4" t="e">
        <f ca="1">VLOOKUP(Table2[[#This Row],[mp3_file]],Table3[#All],3,FALSE)</f>
        <v>#NAME?</v>
      </c>
    </row>
    <row r="597" spans="1:16" x14ac:dyDescent="0.3">
      <c r="A597">
        <v>288</v>
      </c>
      <c r="B597" t="s">
        <v>1549</v>
      </c>
      <c r="C597" t="s">
        <v>789</v>
      </c>
      <c r="D597" s="7">
        <f>IFERROR(VLOOKUP(Table2[[#This Row],[tune_meter]],Table1[#All],3,FALSE),"NONE")</f>
        <v>47</v>
      </c>
      <c r="F597" t="s">
        <v>324</v>
      </c>
      <c r="G597" t="str">
        <f>IF(Table2[[#This Row],[tune_book]]="LFTBs","Red Book","Green Book")</f>
        <v>Green Book</v>
      </c>
      <c r="H597" t="s">
        <v>2740</v>
      </c>
      <c r="I597" t="s">
        <v>1550</v>
      </c>
      <c r="J597" t="str">
        <f>Table2[[#This Row],[file_name]]&amp;".mp3"</f>
        <v>288g.mid.mp3</v>
      </c>
      <c r="M597">
        <v>482</v>
      </c>
      <c r="N5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--song="Southgate (8.4.8.4.8.8.8.4.)" --artist="T. B. Southgate" --comment="" --album="Green Book" --track="288" 288g.mid.mp3</v>
      </c>
      <c r="P597" s="4" t="e">
        <f ca="1">VLOOKUP(Table2[[#This Row],[mp3_file]],Table3[#All],3,FALSE)</f>
        <v>#NAME?</v>
      </c>
    </row>
    <row r="598" spans="1:16" x14ac:dyDescent="0.3">
      <c r="A598">
        <v>68</v>
      </c>
      <c r="B598" t="s">
        <v>1821</v>
      </c>
      <c r="C598" t="s">
        <v>486</v>
      </c>
      <c r="D598" s="7">
        <f>IFERROR(VLOOKUP(Table2[[#This Row],[tune_meter]],Table1[#All],3,FALSE),"NONE")</f>
        <v>19</v>
      </c>
      <c r="F598" t="s">
        <v>324</v>
      </c>
      <c r="G598" t="str">
        <f>IF(Table2[[#This Row],[tune_book]]="LFTBs","Red Book","Green Book")</f>
        <v>Green Book</v>
      </c>
      <c r="H598" t="s">
        <v>1822</v>
      </c>
      <c r="I598" t="s">
        <v>1823</v>
      </c>
      <c r="J598" t="str">
        <f>Table2[[#This Row],[file_name]]&amp;".mp3"</f>
        <v>68g.mid.mp3</v>
      </c>
      <c r="M598">
        <v>598</v>
      </c>
      <c r="N5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--song="Southwell (C.M.)" --artist="H.S. Irons" --comment="" --album="Green Book" --track="68" 68g.mid.mp3</v>
      </c>
      <c r="P598" s="4" t="e">
        <f ca="1">VLOOKUP(Table2[[#This Row],[mp3_file]],Table3[#All],3,FALSE)</f>
        <v>#NAME?</v>
      </c>
    </row>
    <row r="599" spans="1:16" x14ac:dyDescent="0.3">
      <c r="A599">
        <v>95</v>
      </c>
      <c r="B599" t="s">
        <v>1066</v>
      </c>
      <c r="C599" t="s">
        <v>332</v>
      </c>
      <c r="D599" s="7">
        <f>IFERROR(VLOOKUP(Table2[[#This Row],[tune_meter]],Table1[#All],3,FALSE),"NONE")</f>
        <v>73</v>
      </c>
      <c r="F599" t="s">
        <v>459</v>
      </c>
      <c r="G599" t="str">
        <f>IF(Table2[[#This Row],[tune_book]]="LFTBs","Red Book","Green Book")</f>
        <v>Red Book</v>
      </c>
      <c r="H599" t="s">
        <v>1067</v>
      </c>
      <c r="I599" t="s">
        <v>1068</v>
      </c>
      <c r="J599" t="str">
        <f>Table2[[#This Row],[file_name]]&amp;".mp3"</f>
        <v>95r.mid.mp3</v>
      </c>
      <c r="M599">
        <v>281</v>
      </c>
      <c r="N5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5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--song="Sovereignty (6.6.8.6.6.8.)" --artist="A.W. Michael Rooke" --comment="" --album="Red Book" --track="95" 95r.mid.mp3</v>
      </c>
      <c r="P599" s="4" t="e">
        <f ca="1">VLOOKUP(Table2[[#This Row],[mp3_file]],Table3[#All],3,FALSE)</f>
        <v>#NAME?</v>
      </c>
    </row>
    <row r="600" spans="1:16" x14ac:dyDescent="0.3">
      <c r="A600">
        <v>232</v>
      </c>
      <c r="B600" t="s">
        <v>1069</v>
      </c>
      <c r="C600" t="s">
        <v>492</v>
      </c>
      <c r="D600" s="7">
        <f>IFERROR(VLOOKUP(Table2[[#This Row],[tune_meter]],Table1[#All],3,FALSE),"NONE")</f>
        <v>35</v>
      </c>
      <c r="F600" t="s">
        <v>459</v>
      </c>
      <c r="G600" t="str">
        <f>IF(Table2[[#This Row],[tune_book]]="LFTBs","Red Book","Green Book")</f>
        <v>Red Book</v>
      </c>
      <c r="H600" t="s">
        <v>344</v>
      </c>
      <c r="I600" t="s">
        <v>1070</v>
      </c>
      <c r="J600" t="str">
        <f>Table2[[#This Row],[file_name]]&amp;".mp3"</f>
        <v>232r.mid.mp3</v>
      </c>
      <c r="M600">
        <v>282</v>
      </c>
      <c r="N6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--song="Spanish Air (9.8.9.8.)" --artist="Unknown" --comment="" --album="Red Book" --track="232" 232r.mid.mp3</v>
      </c>
      <c r="P600" s="4" t="e">
        <f ca="1">VLOOKUP(Table2[[#This Row],[mp3_file]],Table3[#All],3,FALSE)</f>
        <v>#NAME?</v>
      </c>
    </row>
    <row r="601" spans="1:16" x14ac:dyDescent="0.3">
      <c r="A601">
        <v>257</v>
      </c>
      <c r="B601" t="s">
        <v>1071</v>
      </c>
      <c r="C601" t="s">
        <v>582</v>
      </c>
      <c r="D601" s="7">
        <f>IFERROR(VLOOKUP(Table2[[#This Row],[tune_meter]],Table1[#All],3,FALSE),"NONE")</f>
        <v>21</v>
      </c>
      <c r="F601" t="s">
        <v>459</v>
      </c>
      <c r="G601" t="str">
        <f>IF(Table2[[#This Row],[tune_book]]="LFTBs","Red Book","Green Book")</f>
        <v>Red Book</v>
      </c>
      <c r="H601" t="s">
        <v>1072</v>
      </c>
      <c r="I601" t="s">
        <v>1073</v>
      </c>
      <c r="J601" t="str">
        <f>Table2[[#This Row],[file_name]]&amp;".mp3"</f>
        <v>257r.mid.mp3</v>
      </c>
      <c r="M601">
        <v>283</v>
      </c>
      <c r="N6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--song="Speak to Me, Lord (10.10.10.10.)" --artist="W.H. Jude" --comment="" --album="Red Book" --track="257" 257r.mid.mp3</v>
      </c>
      <c r="P601" s="4" t="e">
        <f ca="1">VLOOKUP(Table2[[#This Row],[mp3_file]],Table3[#All],3,FALSE)</f>
        <v>#NAME?</v>
      </c>
    </row>
    <row r="602" spans="1:16" x14ac:dyDescent="0.3">
      <c r="A602">
        <v>499</v>
      </c>
      <c r="B602" t="s">
        <v>1370</v>
      </c>
      <c r="C602" t="s">
        <v>582</v>
      </c>
      <c r="D602" s="7">
        <f>IFERROR(VLOOKUP(Table2[[#This Row],[tune_meter]],Table1[#All],3,FALSE),"NONE")</f>
        <v>21</v>
      </c>
      <c r="F602" t="s">
        <v>324</v>
      </c>
      <c r="G602" t="str">
        <f>IF(Table2[[#This Row],[tune_book]]="LFTBs","Red Book","Green Book")</f>
        <v>Green Book</v>
      </c>
      <c r="H602" t="s">
        <v>351</v>
      </c>
      <c r="I602" t="s">
        <v>1371</v>
      </c>
      <c r="J602" t="str">
        <f>Table2[[#This Row],[file_name]]&amp;".mp3"</f>
        <v>499g.mid.mp3</v>
      </c>
      <c r="M602">
        <v>405</v>
      </c>
      <c r="N6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--song="Speranza (10.10.10.10.)" --artist="C. Leflaive" --comment="" --album="Green Book" --track="499" 499g.mid.mp3</v>
      </c>
      <c r="P602" s="4" t="e">
        <f ca="1">VLOOKUP(Table2[[#This Row],[mp3_file]],Table3[#All],3,FALSE)</f>
        <v>#NAME?</v>
      </c>
    </row>
    <row r="603" spans="1:16" x14ac:dyDescent="0.3">
      <c r="A603">
        <v>500</v>
      </c>
      <c r="B603" t="s">
        <v>1721</v>
      </c>
      <c r="C603" t="s">
        <v>582</v>
      </c>
      <c r="D603" s="7">
        <f>IFERROR(VLOOKUP(Table2[[#This Row],[tune_meter]],Table1[#All],3,FALSE),"NONE")</f>
        <v>21</v>
      </c>
      <c r="F603" t="s">
        <v>324</v>
      </c>
      <c r="G603" t="str">
        <f>IF(Table2[[#This Row],[tune_book]]="LFTBs","Red Book","Green Book")</f>
        <v>Green Book</v>
      </c>
      <c r="H603" t="s">
        <v>2906</v>
      </c>
      <c r="I603" t="s">
        <v>1722</v>
      </c>
      <c r="J603" t="str">
        <f>Table2[[#This Row],[file_name]]&amp;".mp3"</f>
        <v>500g.mid.mp3</v>
      </c>
      <c r="M603">
        <v>557</v>
      </c>
      <c r="N6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--song="Spes Mea in Deo (10.10.10.10.)" --artist="J. S. Warburton" --comment="" --album="Green Book" --track="500" 500g.mid.mp3</v>
      </c>
      <c r="P603" s="4" t="e">
        <f ca="1">VLOOKUP(Table2[[#This Row],[mp3_file]],Table3[#All],3,FALSE)</f>
        <v>#NAME?</v>
      </c>
    </row>
    <row r="604" spans="1:16" x14ac:dyDescent="0.3">
      <c r="A604">
        <v>57</v>
      </c>
      <c r="B604" t="s">
        <v>1074</v>
      </c>
      <c r="C604" t="s">
        <v>354</v>
      </c>
      <c r="D604" s="7">
        <f>IFERROR(VLOOKUP(Table2[[#This Row],[tune_meter]],Table1[#All],3,FALSE),"NONE")</f>
        <v>28</v>
      </c>
      <c r="F604" t="s">
        <v>459</v>
      </c>
      <c r="G604" t="str">
        <f>IF(Table2[[#This Row],[tune_book]]="LFTBs","Red Book","Green Book")</f>
        <v>Red Book</v>
      </c>
      <c r="H604" t="s">
        <v>528</v>
      </c>
      <c r="I604" t="s">
        <v>1075</v>
      </c>
      <c r="J604" t="str">
        <f>Table2[[#This Row],[file_name]]&amp;".mp3"</f>
        <v>57r.mid.mp3</v>
      </c>
      <c r="M604">
        <v>284</v>
      </c>
      <c r="N6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--song="Splendor (4.8.4.8.8.)" --artist="Peter Blanche" --comment="" --album="Red Book" --track="57" 57r.mid.mp3</v>
      </c>
      <c r="P604" s="4" t="e">
        <f ca="1">VLOOKUP(Table2[[#This Row],[mp3_file]],Table3[#All],3,FALSE)</f>
        <v>#NAME?</v>
      </c>
    </row>
    <row r="605" spans="1:16" x14ac:dyDescent="0.3">
      <c r="A605">
        <v>69</v>
      </c>
      <c r="B605" t="s">
        <v>1824</v>
      </c>
      <c r="C605" t="s">
        <v>486</v>
      </c>
      <c r="D605" s="7">
        <f>IFERROR(VLOOKUP(Table2[[#This Row],[tune_meter]],Table1[#All],3,FALSE),"NONE")</f>
        <v>19</v>
      </c>
      <c r="F605" t="s">
        <v>324</v>
      </c>
      <c r="G605" t="str">
        <f>IF(Table2[[#This Row],[tune_book]]="LFTBs","Red Book","Green Book")</f>
        <v>Green Book</v>
      </c>
      <c r="H605" t="s">
        <v>2907</v>
      </c>
      <c r="I605" t="s">
        <v>1825</v>
      </c>
      <c r="J605" t="str">
        <f>Table2[[#This Row],[file_name]]&amp;".mp3"</f>
        <v>69g.mid.mp3</v>
      </c>
      <c r="M605">
        <v>599</v>
      </c>
      <c r="N6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--song="Spohr (C.M.)" --artist="L. Spohr" --comment="" --album="Green Book" --track="69" 69g.mid.mp3</v>
      </c>
      <c r="P605" s="4" t="e">
        <f ca="1">VLOOKUP(Table2[[#This Row],[mp3_file]],Table3[#All],3,FALSE)</f>
        <v>#NAME?</v>
      </c>
    </row>
    <row r="606" spans="1:16" x14ac:dyDescent="0.3">
      <c r="A606">
        <v>529</v>
      </c>
      <c r="B606" t="s">
        <v>2908</v>
      </c>
      <c r="C606" t="s">
        <v>543</v>
      </c>
      <c r="D606" s="7">
        <f>IFERROR(VLOOKUP(Table2[[#This Row],[tune_meter]],Table1[#All],3,FALSE),"NONE")</f>
        <v>17</v>
      </c>
      <c r="F606" t="s">
        <v>324</v>
      </c>
      <c r="G606" t="str">
        <f>IF(Table2[[#This Row],[tune_book]]="LFTBs","Red Book","Green Book")</f>
        <v>Green Book</v>
      </c>
      <c r="H606" t="s">
        <v>2893</v>
      </c>
      <c r="I606" t="s">
        <v>2161</v>
      </c>
      <c r="J606" t="str">
        <f>Table2[[#This Row],[file_name]]&amp;".mp3"</f>
        <v>529g.mid.mp3</v>
      </c>
      <c r="M606">
        <v>748</v>
      </c>
      <c r="N6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--song="Springfield (11.10.11.10.) (11.10.11.10. Dactylic)" --artist="Dr. H. J. Gauntlett" --comment="" --album="Green Book" --track="529" 529g.mid.mp3</v>
      </c>
      <c r="P606" s="4" t="e">
        <f ca="1">VLOOKUP(Table2[[#This Row],[mp3_file]],Table3[#All],3,FALSE)</f>
        <v>#NAME?</v>
      </c>
    </row>
    <row r="607" spans="1:16" x14ac:dyDescent="0.3">
      <c r="A607">
        <v>343</v>
      </c>
      <c r="B607" t="s">
        <v>2909</v>
      </c>
      <c r="C607" t="s">
        <v>370</v>
      </c>
      <c r="D607" s="7">
        <f>IFERROR(VLOOKUP(Table2[[#This Row],[tune_meter]],Table1[#All],3,FALSE),"NONE")</f>
        <v>24</v>
      </c>
      <c r="F607" t="s">
        <v>324</v>
      </c>
      <c r="G607" t="str">
        <f>IF(Table2[[#This Row],[tune_book]]="LFTBs","Red Book","Green Book")</f>
        <v>Green Book</v>
      </c>
      <c r="H607" t="s">
        <v>2893</v>
      </c>
      <c r="I607" t="s">
        <v>1599</v>
      </c>
      <c r="J607" t="str">
        <f>Table2[[#This Row],[file_name]]&amp;".mp3"</f>
        <v>343g.mid.mp3</v>
      </c>
      <c r="M607">
        <v>503</v>
      </c>
      <c r="N6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--song="Springfield (8.7.8.7.) (8.7.8.7.)" --artist="Dr. H. J. Gauntlett" --comment="" --album="Green Book" --track="343" 343g.mid.mp3</v>
      </c>
      <c r="P607" s="4" t="e">
        <f ca="1">VLOOKUP(Table2[[#This Row],[mp3_file]],Table3[#All],3,FALSE)</f>
        <v>#NAME?</v>
      </c>
    </row>
    <row r="608" spans="1:16" x14ac:dyDescent="0.3">
      <c r="A608">
        <v>210</v>
      </c>
      <c r="B608" t="s">
        <v>1076</v>
      </c>
      <c r="C608" t="s">
        <v>520</v>
      </c>
      <c r="D608" s="7">
        <f>IFERROR(VLOOKUP(Table2[[#This Row],[tune_meter]],Table1[#All],3,FALSE),"NONE")</f>
        <v>58</v>
      </c>
      <c r="F608" t="s">
        <v>459</v>
      </c>
      <c r="G608" t="str">
        <f>IF(Table2[[#This Row],[tune_book]]="LFTBs","Red Book","Green Book")</f>
        <v>Red Book</v>
      </c>
      <c r="H608" t="s">
        <v>1067</v>
      </c>
      <c r="I608" t="s">
        <v>1077</v>
      </c>
      <c r="J608" t="str">
        <f>Table2[[#This Row],[file_name]]&amp;".mp3"</f>
        <v>210r.mid.mp3</v>
      </c>
      <c r="M608">
        <v>285</v>
      </c>
      <c r="N6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--song="Springing Fountain (8.8.8.8.6.)" --artist="A.W. Michael Rooke" --comment="" --album="Red Book" --track="210" 210r.mid.mp3</v>
      </c>
      <c r="P608" s="4" t="e">
        <f ca="1">VLOOKUP(Table2[[#This Row],[mp3_file]],Table3[#All],3,FALSE)</f>
        <v>#NAME?</v>
      </c>
    </row>
    <row r="609" spans="1:16" x14ac:dyDescent="0.3">
      <c r="A609">
        <v>164</v>
      </c>
      <c r="B609" t="s">
        <v>1078</v>
      </c>
      <c r="C609" t="s">
        <v>906</v>
      </c>
      <c r="D609" s="7">
        <f>IFERROR(VLOOKUP(Table2[[#This Row],[tune_meter]],Table1[#All],3,FALSE),"NONE")</f>
        <v>80</v>
      </c>
      <c r="F609" t="s">
        <v>459</v>
      </c>
      <c r="G609" t="str">
        <f>IF(Table2[[#This Row],[tune_book]]="LFTBs","Red Book","Green Book")</f>
        <v>Red Book</v>
      </c>
      <c r="H609" t="s">
        <v>367</v>
      </c>
      <c r="I609" t="s">
        <v>1079</v>
      </c>
      <c r="J609" t="str">
        <f>Table2[[#This Row],[file_name]]&amp;".mp3"</f>
        <v>164r.mid.mp3</v>
      </c>
      <c r="M609">
        <v>286</v>
      </c>
      <c r="N6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--song="Springing Well (8.7.8.7. Dactylic)" --artist="Gordon Millar" --comment="" --album="Red Book" --track="164" 164r.mid.mp3</v>
      </c>
      <c r="P609" s="4" t="e">
        <f ca="1">VLOOKUP(Table2[[#This Row],[mp3_file]],Table3[#All],3,FALSE)</f>
        <v>#NAME?</v>
      </c>
    </row>
    <row r="610" spans="1:16" x14ac:dyDescent="0.3">
      <c r="A610">
        <v>54</v>
      </c>
      <c r="B610" t="s">
        <v>2891</v>
      </c>
      <c r="C610" t="s">
        <v>486</v>
      </c>
      <c r="D610" s="7">
        <f>IFERROR(VLOOKUP(Table2[[#This Row],[tune_meter]],Table1[#All],3,FALSE),"NONE")</f>
        <v>19</v>
      </c>
      <c r="F610" t="s">
        <v>324</v>
      </c>
      <c r="G610" t="str">
        <f>IF(Table2[[#This Row],[tune_book]]="LFTBs","Red Book","Green Book")</f>
        <v>Green Book</v>
      </c>
      <c r="H610" t="s">
        <v>575</v>
      </c>
      <c r="I610" t="s">
        <v>1669</v>
      </c>
      <c r="J610" t="str">
        <f>Table2[[#This Row],[file_name]]&amp;".mp3"</f>
        <v>54g.mid.mp3</v>
      </c>
      <c r="M610">
        <v>534</v>
      </c>
      <c r="N6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Agnes (Dykes/Durham) (C.M.)" --artist="Dr. J.B. Dykes" --comment="" --album="Green Book" --track="54" 54g.mid.mp3</v>
      </c>
      <c r="P610" s="4" t="e">
        <f ca="1">VLOOKUP(Table2[[#This Row],[mp3_file]],Table3[#All],3,FALSE)</f>
        <v>#NAME?</v>
      </c>
    </row>
    <row r="611" spans="1:16" x14ac:dyDescent="0.3">
      <c r="A611">
        <v>497</v>
      </c>
      <c r="B611" t="s">
        <v>2892</v>
      </c>
      <c r="C611" t="s">
        <v>582</v>
      </c>
      <c r="D611" s="7">
        <f>IFERROR(VLOOKUP(Table2[[#This Row],[tune_meter]],Table1[#All],3,FALSE),"NONE")</f>
        <v>21</v>
      </c>
      <c r="F611" t="s">
        <v>324</v>
      </c>
      <c r="G611" t="str">
        <f>IF(Table2[[#This Row],[tune_book]]="LFTBs","Red Book","Green Book")</f>
        <v>Green Book</v>
      </c>
      <c r="H611" t="s">
        <v>1368</v>
      </c>
      <c r="I611" t="s">
        <v>1369</v>
      </c>
      <c r="J611" t="str">
        <f>Table2[[#This Row],[file_name]]&amp;".mp3"</f>
        <v>497g.mid.mp3</v>
      </c>
      <c r="M611">
        <v>404</v>
      </c>
      <c r="N6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Agnes (Langran/Hoyland) (10.10.10.10.)" --artist="J. Langran" --comment="" --album="Green Book" --track="497" 497g.mid.mp3</v>
      </c>
      <c r="P611" s="4" t="e">
        <f ca="1">VLOOKUP(Table2[[#This Row],[mp3_file]],Table3[#All],3,FALSE)</f>
        <v>#NAME?</v>
      </c>
    </row>
    <row r="612" spans="1:16" x14ac:dyDescent="0.3">
      <c r="A612">
        <v>19</v>
      </c>
      <c r="B612" t="s">
        <v>1080</v>
      </c>
      <c r="C612" t="s">
        <v>486</v>
      </c>
      <c r="D612" s="7">
        <f>IFERROR(VLOOKUP(Table2[[#This Row],[tune_meter]],Table1[#All],3,FALSE),"NONE")</f>
        <v>19</v>
      </c>
      <c r="F612" t="s">
        <v>459</v>
      </c>
      <c r="G612" t="str">
        <f>IF(Table2[[#This Row],[tune_book]]="LFTBs","Red Book","Green Book")</f>
        <v>Red Book</v>
      </c>
      <c r="H612" t="s">
        <v>344</v>
      </c>
      <c r="I612" t="s">
        <v>1081</v>
      </c>
      <c r="J612" t="str">
        <f>Table2[[#This Row],[file_name]]&amp;".mp3"</f>
        <v>19r.mid.mp3</v>
      </c>
      <c r="M612">
        <v>287</v>
      </c>
      <c r="N6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Alban (C.M.)" --artist="Unknown" --comment="" --album="Red Book" --track="19" 19r.mid.mp3</v>
      </c>
      <c r="P612" s="4" t="e">
        <f ca="1">VLOOKUP(Table2[[#This Row],[mp3_file]],Table3[#All],3,FALSE)</f>
        <v>#NAME?</v>
      </c>
    </row>
    <row r="613" spans="1:16" x14ac:dyDescent="0.3">
      <c r="A613">
        <v>221</v>
      </c>
      <c r="B613" t="s">
        <v>1889</v>
      </c>
      <c r="C613" t="s">
        <v>886</v>
      </c>
      <c r="D613" s="7">
        <f>IFERROR(VLOOKUP(Table2[[#This Row],[tune_meter]],Table1[#All],3,FALSE),"NONE")</f>
        <v>41</v>
      </c>
      <c r="F613" t="s">
        <v>324</v>
      </c>
      <c r="G613" t="str">
        <f>IF(Table2[[#This Row],[tune_book]]="LFTBs","Red Book","Green Book")</f>
        <v>Green Book</v>
      </c>
      <c r="H613" t="s">
        <v>2893</v>
      </c>
      <c r="I613" t="s">
        <v>1890</v>
      </c>
      <c r="J613" t="str">
        <f>Table2[[#This Row],[file_name]]&amp;".mp3"</f>
        <v>221g.mid.mp3</v>
      </c>
      <c r="M613">
        <v>626</v>
      </c>
      <c r="N6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Alphege (7.6.7.6.)" --artist="Dr. H. J. Gauntlett" --comment="" --album="Green Book" --track="221" 221g.mid.mp3</v>
      </c>
      <c r="P613" s="4" t="e">
        <f ca="1">VLOOKUP(Table2[[#This Row],[mp3_file]],Table3[#All],3,FALSE)</f>
        <v>#NAME?</v>
      </c>
    </row>
    <row r="614" spans="1:16" x14ac:dyDescent="0.3">
      <c r="A614">
        <v>264</v>
      </c>
      <c r="B614" t="s">
        <v>1925</v>
      </c>
      <c r="C614" t="s">
        <v>903</v>
      </c>
      <c r="D614" s="7">
        <f>IFERROR(VLOOKUP(Table2[[#This Row],[tune_meter]],Table1[#All],3,FALSE),"NONE")</f>
        <v>81</v>
      </c>
      <c r="F614" t="s">
        <v>324</v>
      </c>
      <c r="G614" t="str">
        <f>IF(Table2[[#This Row],[tune_book]]="LFTBs","Red Book","Green Book")</f>
        <v>Green Book</v>
      </c>
      <c r="H614" t="s">
        <v>1926</v>
      </c>
      <c r="I614" t="s">
        <v>1927</v>
      </c>
      <c r="J614" t="str">
        <f>Table2[[#This Row],[file_name]]&amp;".mp3"</f>
        <v>264g.mid.mp3</v>
      </c>
      <c r="M614">
        <v>642</v>
      </c>
      <c r="N6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Anatolius (7.6.7.6.8.8.)" --artist="Arthur H. Brown" --comment="" --album="Green Book" --track="264" 264g.mid.mp3</v>
      </c>
      <c r="P614" s="4" t="e">
        <f ca="1">VLOOKUP(Table2[[#This Row],[mp3_file]],Table3[#All],3,FALSE)</f>
        <v>#NAME?</v>
      </c>
    </row>
    <row r="615" spans="1:16" x14ac:dyDescent="0.3">
      <c r="A615">
        <v>55</v>
      </c>
      <c r="B615" t="s">
        <v>1791</v>
      </c>
      <c r="C615" t="s">
        <v>486</v>
      </c>
      <c r="D615" s="7">
        <f>IFERROR(VLOOKUP(Table2[[#This Row],[tune_meter]],Table1[#All],3,FALSE),"NONE")</f>
        <v>19</v>
      </c>
      <c r="F615" t="s">
        <v>324</v>
      </c>
      <c r="G615" t="str">
        <f>IF(Table2[[#This Row],[tune_book]]="LFTBs","Red Book","Green Book")</f>
        <v>Green Book</v>
      </c>
      <c r="H615" t="s">
        <v>1792</v>
      </c>
      <c r="I615" t="s">
        <v>1793</v>
      </c>
      <c r="J615" t="str">
        <f>Table2[[#This Row],[file_name]]&amp;".mp3"</f>
        <v>55g.mid.mp3</v>
      </c>
      <c r="K615">
        <v>1764</v>
      </c>
      <c r="M615">
        <v>585</v>
      </c>
      <c r="N6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Andrew (C.M.)" --artist="From 'New Harmony of Sion'" --comment="" --album="Green Book" --track="55" 55g.mid.mp3</v>
      </c>
      <c r="P615" s="4" t="e">
        <f ca="1">VLOOKUP(Table2[[#This Row],[mp3_file]],Table3[#All],3,FALSE)</f>
        <v>#NAME?</v>
      </c>
    </row>
    <row r="616" spans="1:16" x14ac:dyDescent="0.3">
      <c r="A616">
        <v>56</v>
      </c>
      <c r="B616" t="s">
        <v>1794</v>
      </c>
      <c r="C616" t="s">
        <v>486</v>
      </c>
      <c r="D616" s="7">
        <f>IFERROR(VLOOKUP(Table2[[#This Row],[tune_meter]],Table1[#All],3,FALSE),"NONE")</f>
        <v>19</v>
      </c>
      <c r="F616" t="s">
        <v>324</v>
      </c>
      <c r="G616" t="str">
        <f>IF(Table2[[#This Row],[tune_book]]="LFTBs","Red Book","Green Book")</f>
        <v>Green Book</v>
      </c>
      <c r="H616" t="s">
        <v>1678</v>
      </c>
      <c r="I616" t="s">
        <v>1795</v>
      </c>
      <c r="J616" t="str">
        <f>Table2[[#This Row],[file_name]]&amp;".mp3"</f>
        <v>56g.mid.mp3</v>
      </c>
      <c r="M616">
        <v>586</v>
      </c>
      <c r="N6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Anne (C.M.)" --artist="Dr. W. Croft" --comment="" --album="Green Book" --track="56" 56g.mid.mp3</v>
      </c>
      <c r="P616" s="4" t="e">
        <f ca="1">VLOOKUP(Table2[[#This Row],[mp3_file]],Table3[#All],3,FALSE)</f>
        <v>#NAME?</v>
      </c>
    </row>
    <row r="617" spans="1:16" x14ac:dyDescent="0.3">
      <c r="A617">
        <v>272</v>
      </c>
      <c r="B617" t="s">
        <v>1542</v>
      </c>
      <c r="C617" t="s">
        <v>786</v>
      </c>
      <c r="D617" s="7">
        <f>IFERROR(VLOOKUP(Table2[[#This Row],[tune_meter]],Table1[#All],3,FALSE),"NONE")</f>
        <v>29</v>
      </c>
      <c r="F617" t="s">
        <v>324</v>
      </c>
      <c r="G617" t="str">
        <f>IF(Table2[[#This Row],[tune_book]]="LFTBs","Red Book","Green Book")</f>
        <v>Green Book</v>
      </c>
      <c r="H617" t="s">
        <v>2716</v>
      </c>
      <c r="I617" t="s">
        <v>1543</v>
      </c>
      <c r="J617" t="str">
        <f>Table2[[#This Row],[file_name]]&amp;".mp3"</f>
        <v>272g.mid.mp3</v>
      </c>
      <c r="M617">
        <v>479</v>
      </c>
      <c r="N6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Bees (7.7.7.7.)" --artist="Dr. J. B. Dykes" --comment="" --album="Green Book" --track="272" 272g.mid.mp3</v>
      </c>
      <c r="P617" s="4" t="e">
        <f ca="1">VLOOKUP(Table2[[#This Row],[mp3_file]],Table3[#All],3,FALSE)</f>
        <v>#NAME?</v>
      </c>
    </row>
    <row r="618" spans="1:16" x14ac:dyDescent="0.3">
      <c r="A618">
        <v>57</v>
      </c>
      <c r="B618" t="s">
        <v>1796</v>
      </c>
      <c r="C618" t="s">
        <v>486</v>
      </c>
      <c r="D618" s="7">
        <f>IFERROR(VLOOKUP(Table2[[#This Row],[tune_meter]],Table1[#All],3,FALSE),"NONE")</f>
        <v>19</v>
      </c>
      <c r="F618" t="s">
        <v>324</v>
      </c>
      <c r="G618" t="str">
        <f>IF(Table2[[#This Row],[tune_book]]="LFTBs","Red Book","Green Book")</f>
        <v>Green Book</v>
      </c>
      <c r="H618" t="s">
        <v>1797</v>
      </c>
      <c r="I618" t="s">
        <v>1798</v>
      </c>
      <c r="J618" t="str">
        <f>Table2[[#This Row],[file_name]]&amp;".mp3"</f>
        <v>57g.mid.mp3</v>
      </c>
      <c r="M618">
        <v>587</v>
      </c>
      <c r="N618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Bernard (C.M.)" --artist="J. Richardson" --comment="" --album="Green Book" --track="57" 57g.mid.mp3</v>
      </c>
      <c r="P618" s="4" t="e">
        <f>VLOOKUP(Table2[[#This Row],[mp3_file]],Table3[#All],3,FALSE)</f>
        <v>#N/A</v>
      </c>
    </row>
    <row r="619" spans="1:16" x14ac:dyDescent="0.3">
      <c r="A619">
        <v>161</v>
      </c>
      <c r="B619" t="s">
        <v>2894</v>
      </c>
      <c r="C619" t="s">
        <v>370</v>
      </c>
      <c r="D619" s="7">
        <f>IFERROR(VLOOKUP(Table2[[#This Row],[tune_meter]],Table1[#All],3,FALSE),"NONE")</f>
        <v>24</v>
      </c>
      <c r="F619" t="s">
        <v>459</v>
      </c>
      <c r="G619" t="str">
        <f>IF(Table2[[#This Row],[tune_book]]="LFTBs","Red Book","Green Book")</f>
        <v>Red Book</v>
      </c>
      <c r="H619" t="s">
        <v>1082</v>
      </c>
      <c r="I619" t="s">
        <v>1083</v>
      </c>
      <c r="J619" t="str">
        <f>Table2[[#This Row],[file_name]]&amp;".mp3"</f>
        <v>161r.mid.mp3</v>
      </c>
      <c r="M619">
        <v>288</v>
      </c>
      <c r="N6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Catherine (Flood Jones) (8.7.8.7.)" --artist="S. Flood Jones" --comment="" --album="Red Book" --track="161" 161r.mid.mp3</v>
      </c>
      <c r="P619" s="4" t="e">
        <f ca="1">VLOOKUP(Table2[[#This Row],[mp3_file]],Table3[#All],3,FALSE)</f>
        <v>#NAME?</v>
      </c>
    </row>
    <row r="620" spans="1:16" x14ac:dyDescent="0.3">
      <c r="A620">
        <v>256</v>
      </c>
      <c r="B620" t="s">
        <v>1524</v>
      </c>
      <c r="C620" t="s">
        <v>467</v>
      </c>
      <c r="D620" s="7">
        <f>IFERROR(VLOOKUP(Table2[[#This Row],[tune_meter]],Table1[#All],3,FALSE),"NONE")</f>
        <v>34</v>
      </c>
      <c r="F620" t="s">
        <v>324</v>
      </c>
      <c r="G620" t="str">
        <f>IF(Table2[[#This Row],[tune_book]]="LFTBs","Red Book","Green Book")</f>
        <v>Green Book</v>
      </c>
      <c r="H620" t="s">
        <v>2719</v>
      </c>
      <c r="I620" t="s">
        <v>1525</v>
      </c>
      <c r="J620" t="str">
        <f>Table2[[#This Row],[file_name]]&amp;".mp3"</f>
        <v>256g.mid.mp3</v>
      </c>
      <c r="M620">
        <v>472</v>
      </c>
      <c r="N6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Christopher (7.6.7.6.7.6.7.6.)" --artist="F. C. Maker" --comment="" --album="Green Book" --track="256" 256g.mid.mp3</v>
      </c>
      <c r="P620" s="4" t="e">
        <f ca="1">VLOOKUP(Table2[[#This Row],[mp3_file]],Table3[#All],3,FALSE)</f>
        <v>#NAME?</v>
      </c>
    </row>
    <row r="621" spans="1:16" x14ac:dyDescent="0.3">
      <c r="A621">
        <v>117</v>
      </c>
      <c r="B621" t="s">
        <v>1254</v>
      </c>
      <c r="C621" t="s">
        <v>516</v>
      </c>
      <c r="D621" s="7">
        <f>IFERROR(VLOOKUP(Table2[[#This Row],[tune_meter]],Table1[#All],3,FALSE),"NONE")</f>
        <v>16</v>
      </c>
      <c r="F621" t="s">
        <v>324</v>
      </c>
      <c r="G621" t="str">
        <f>IF(Table2[[#This Row],[tune_book]]="LFTBs","Red Book","Green Book")</f>
        <v>Green Book</v>
      </c>
      <c r="H621" t="s">
        <v>2895</v>
      </c>
      <c r="I621" t="s">
        <v>1255</v>
      </c>
      <c r="J621" t="str">
        <f>Table2[[#This Row],[file_name]]&amp;".mp3"</f>
        <v>117g.mid.mp3</v>
      </c>
      <c r="M621">
        <v>355</v>
      </c>
      <c r="N6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Clement (L.M.)" --artist="C. C. Scholefield" --comment="" --album="Green Book" --track="117" 117g.mid.mp3</v>
      </c>
      <c r="P621" s="4" t="e">
        <f ca="1">VLOOKUP(Table2[[#This Row],[mp3_file]],Table3[#All],3,FALSE)</f>
        <v>#NAME?</v>
      </c>
    </row>
    <row r="622" spans="1:16" x14ac:dyDescent="0.3">
      <c r="A622">
        <v>58</v>
      </c>
      <c r="B622" t="s">
        <v>2896</v>
      </c>
      <c r="C622" t="s">
        <v>486</v>
      </c>
      <c r="D622" s="7">
        <f>IFERROR(VLOOKUP(Table2[[#This Row],[tune_meter]],Table1[#All],3,FALSE),"NONE")</f>
        <v>19</v>
      </c>
      <c r="F622" t="s">
        <v>324</v>
      </c>
      <c r="G622" t="str">
        <f>IF(Table2[[#This Row],[tune_book]]="LFTBs","Red Book","Green Book")</f>
        <v>Green Book</v>
      </c>
      <c r="H622" t="s">
        <v>1799</v>
      </c>
      <c r="I622" t="s">
        <v>1800</v>
      </c>
      <c r="J622" t="str">
        <f>Table2[[#This Row],[file_name]]&amp;".mp3"</f>
        <v>58g.mid.mp3</v>
      </c>
      <c r="M622">
        <v>588</v>
      </c>
      <c r="N6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Columba (C.M.)" --artist="Irish Traditional Melody" --comment="" --album="Green Book" --track="58" 58g.mid.mp3</v>
      </c>
      <c r="P622" s="4" t="e">
        <f ca="1">VLOOKUP(Table2[[#This Row],[mp3_file]],Table3[#All],3,FALSE)</f>
        <v>#NAME?</v>
      </c>
    </row>
    <row r="623" spans="1:16" x14ac:dyDescent="0.3">
      <c r="A623">
        <v>301</v>
      </c>
      <c r="B623" t="s">
        <v>1565</v>
      </c>
      <c r="C623" t="s">
        <v>611</v>
      </c>
      <c r="D623" s="7">
        <f>IFERROR(VLOOKUP(Table2[[#This Row],[tune_meter]],Table1[#All],3,FALSE),"NONE")</f>
        <v>72</v>
      </c>
      <c r="F623" t="s">
        <v>324</v>
      </c>
      <c r="G623" t="str">
        <f>IF(Table2[[#This Row],[tune_book]]="LFTBs","Red Book","Green Book")</f>
        <v>Green Book</v>
      </c>
      <c r="H623" t="s">
        <v>2716</v>
      </c>
      <c r="I623" t="s">
        <v>1566</v>
      </c>
      <c r="J623" t="str">
        <f>Table2[[#This Row],[file_name]]&amp;".mp3"</f>
        <v>301g.mid.mp3</v>
      </c>
      <c r="M623">
        <v>489</v>
      </c>
      <c r="N6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Cuthbert (8.6.8.4.)" --artist="Dr. J. B. Dykes" --comment="" --album="Green Book" --track="301" 301g.mid.mp3</v>
      </c>
      <c r="P623" s="4" t="e">
        <f ca="1">VLOOKUP(Table2[[#This Row],[mp3_file]],Table3[#All],3,FALSE)</f>
        <v>#NAME?</v>
      </c>
    </row>
    <row r="624" spans="1:16" x14ac:dyDescent="0.3">
      <c r="A624">
        <v>536</v>
      </c>
      <c r="B624" t="s">
        <v>1733</v>
      </c>
      <c r="C624" t="s">
        <v>669</v>
      </c>
      <c r="D624" s="7">
        <f>IFERROR(VLOOKUP(Table2[[#This Row],[tune_meter]],Table1[#All],3,FALSE),"NONE")</f>
        <v>31</v>
      </c>
      <c r="F624" t="s">
        <v>324</v>
      </c>
      <c r="G624" t="str">
        <f>IF(Table2[[#This Row],[tune_book]]="LFTBs","Red Book","Green Book")</f>
        <v>Green Book</v>
      </c>
      <c r="H624" t="s">
        <v>1734</v>
      </c>
      <c r="I624" t="s">
        <v>1735</v>
      </c>
      <c r="J624" t="str">
        <f>Table2[[#This Row],[file_name]]&amp;".mp3"</f>
        <v>536g.mid.mp3</v>
      </c>
      <c r="M624">
        <v>562</v>
      </c>
      <c r="N6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Denio (11.11.11.11.)" --artist="Welch Hymn Melody" --comment="" --album="Green Book" --track="536" 536g.mid.mp3</v>
      </c>
      <c r="P624" s="4" t="e">
        <f ca="1">VLOOKUP(Table2[[#This Row],[mp3_file]],Table3[#All],3,FALSE)</f>
        <v>#NAME?</v>
      </c>
    </row>
    <row r="625" spans="1:16" x14ac:dyDescent="0.3">
      <c r="A625">
        <v>257</v>
      </c>
      <c r="B625" t="s">
        <v>1526</v>
      </c>
      <c r="C625" t="s">
        <v>467</v>
      </c>
      <c r="D625" s="7">
        <f>IFERROR(VLOOKUP(Table2[[#This Row],[tune_meter]],Table1[#All],3,FALSE),"NONE")</f>
        <v>34</v>
      </c>
      <c r="F625" t="s">
        <v>324</v>
      </c>
      <c r="G625" t="str">
        <f>IF(Table2[[#This Row],[tune_book]]="LFTBs","Red Book","Green Book")</f>
        <v>Green Book</v>
      </c>
      <c r="H625" t="s">
        <v>1527</v>
      </c>
      <c r="I625" t="s">
        <v>1528</v>
      </c>
      <c r="J625" t="str">
        <f>Table2[[#This Row],[file_name]]&amp;".mp3"</f>
        <v>257g.mid.mp3</v>
      </c>
      <c r="K625">
        <v>1840</v>
      </c>
      <c r="M625">
        <v>473</v>
      </c>
      <c r="N6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Denis (7.6.7.6.7.6.7.6.)" --artist="From 'Calcotts Psalm and Hymn Tunes'" --comment="" --album="Green Book" --track="257" 257g.mid.mp3</v>
      </c>
      <c r="P625" s="4" t="e">
        <f ca="1">VLOOKUP(Table2[[#This Row],[mp3_file]],Table3[#All],3,FALSE)</f>
        <v>#NAME?</v>
      </c>
    </row>
    <row r="626" spans="1:16" x14ac:dyDescent="0.3">
      <c r="A626">
        <v>179</v>
      </c>
      <c r="B626" t="s">
        <v>1872</v>
      </c>
      <c r="C626" t="s">
        <v>446</v>
      </c>
      <c r="D626" s="7">
        <f>IFERROR(VLOOKUP(Table2[[#This Row],[tune_meter]],Table1[#All],3,FALSE),"NONE")</f>
        <v>44</v>
      </c>
      <c r="F626" t="s">
        <v>324</v>
      </c>
      <c r="G626" t="str">
        <f>IF(Table2[[#This Row],[tune_book]]="LFTBs","Red Book","Green Book")</f>
        <v>Green Book</v>
      </c>
      <c r="H626" t="s">
        <v>1149</v>
      </c>
      <c r="I626" t="s">
        <v>1873</v>
      </c>
      <c r="J626" t="str">
        <f>Table2[[#This Row],[file_name]]&amp;".mp3"</f>
        <v>179g.mid.mp3</v>
      </c>
      <c r="M626">
        <v>618</v>
      </c>
      <c r="N6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Edmund (6.4.6.4.6.6.6.4.)" --artist="Sir Arthur S. Sullivan" --comment="" --album="Green Book" --track="179" 179g.mid.mp3</v>
      </c>
      <c r="P626" s="4" t="e">
        <f ca="1">VLOOKUP(Table2[[#This Row],[mp3_file]],Table3[#All],3,FALSE)</f>
        <v>#NAME?</v>
      </c>
    </row>
    <row r="627" spans="1:16" x14ac:dyDescent="0.3">
      <c r="A627">
        <v>59</v>
      </c>
      <c r="B627" t="s">
        <v>1801</v>
      </c>
      <c r="C627" t="s">
        <v>486</v>
      </c>
      <c r="D627" s="7">
        <f>IFERROR(VLOOKUP(Table2[[#This Row],[tune_meter]],Table1[#All],3,FALSE),"NONE")</f>
        <v>19</v>
      </c>
      <c r="F627" t="s">
        <v>324</v>
      </c>
      <c r="G627" t="str">
        <f>IF(Table2[[#This Row],[tune_book]]="LFTBs","Red Book","Green Book")</f>
        <v>Green Book</v>
      </c>
      <c r="H627" t="s">
        <v>2893</v>
      </c>
      <c r="I627" t="s">
        <v>1802</v>
      </c>
      <c r="J627" t="str">
        <f>Table2[[#This Row],[file_name]]&amp;".mp3"</f>
        <v>59g.mid.mp3</v>
      </c>
      <c r="M627">
        <v>589</v>
      </c>
      <c r="N6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Fulbert (C.M.)" --artist="Dr. H. J. Gauntlett" --comment="" --album="Green Book" --track="59" 59g.mid.mp3</v>
      </c>
      <c r="P627" s="4" t="e">
        <f ca="1">VLOOKUP(Table2[[#This Row],[mp3_file]],Table3[#All],3,FALSE)</f>
        <v>#NAME?</v>
      </c>
    </row>
    <row r="628" spans="1:16" x14ac:dyDescent="0.3">
      <c r="A628">
        <v>149</v>
      </c>
      <c r="B628" t="s">
        <v>1870</v>
      </c>
      <c r="C628" t="s">
        <v>623</v>
      </c>
      <c r="D628" s="7">
        <f>IFERROR(VLOOKUP(Table2[[#This Row],[tune_meter]],Table1[#All],3,FALSE),"NONE")</f>
        <v>22</v>
      </c>
      <c r="F628" t="s">
        <v>324</v>
      </c>
      <c r="G628" t="str">
        <f>IF(Table2[[#This Row],[tune_book]]="LFTBs","Red Book","Green Book")</f>
        <v>Green Book</v>
      </c>
      <c r="H628" t="s">
        <v>2893</v>
      </c>
      <c r="I628" t="s">
        <v>1871</v>
      </c>
      <c r="J628" t="str">
        <f>Table2[[#This Row],[file_name]]&amp;".mp3"</f>
        <v>149g.mid.mp3</v>
      </c>
      <c r="M628">
        <v>617</v>
      </c>
      <c r="N6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George (S.M.)" --artist="Dr. H. J. Gauntlett" --comment="" --album="Green Book" --track="149" 149g.mid.mp3</v>
      </c>
      <c r="P628" s="4" t="e">
        <f ca="1">VLOOKUP(Table2[[#This Row],[mp3_file]],Table3[#All],3,FALSE)</f>
        <v>#NAME?</v>
      </c>
    </row>
    <row r="629" spans="1:16" x14ac:dyDescent="0.3">
      <c r="A629">
        <v>94</v>
      </c>
      <c r="B629" t="s">
        <v>1084</v>
      </c>
      <c r="C629" t="s">
        <v>332</v>
      </c>
      <c r="D629" s="7">
        <f>IFERROR(VLOOKUP(Table2[[#This Row],[tune_meter]],Table1[#All],3,FALSE),"NONE")</f>
        <v>73</v>
      </c>
      <c r="F629" t="s">
        <v>459</v>
      </c>
      <c r="G629" t="str">
        <f>IF(Table2[[#This Row],[tune_book]]="LFTBs","Red Book","Green Book")</f>
        <v>Red Book</v>
      </c>
      <c r="H629" t="s">
        <v>1085</v>
      </c>
      <c r="I629" t="s">
        <v>1086</v>
      </c>
      <c r="J629" t="str">
        <f>Table2[[#This Row],[file_name]]&amp;".mp3"</f>
        <v>94r.mid.mp3</v>
      </c>
      <c r="M629">
        <v>289</v>
      </c>
      <c r="N629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Ives (6.6.8.6.6.8.)" --artist="C. Green" --comment="" --album="Red Book" --track="94" 94r.mid.mp3</v>
      </c>
      <c r="P629" s="4" t="e">
        <f>VLOOKUP(Table2[[#This Row],[mp3_file]],Table3[#All],3,FALSE)</f>
        <v>#N/A</v>
      </c>
    </row>
    <row r="630" spans="1:16" x14ac:dyDescent="0.3">
      <c r="A630">
        <v>86</v>
      </c>
      <c r="B630" t="s">
        <v>1087</v>
      </c>
      <c r="C630" t="s">
        <v>540</v>
      </c>
      <c r="D630" s="7">
        <f>IFERROR(VLOOKUP(Table2[[#This Row],[tune_meter]],Table1[#All],3,FALSE),"NONE")</f>
        <v>51</v>
      </c>
      <c r="F630" t="s">
        <v>459</v>
      </c>
      <c r="G630" t="str">
        <f>IF(Table2[[#This Row],[tune_book]]="LFTBs","Red Book","Green Book")</f>
        <v>Red Book</v>
      </c>
      <c r="H630" t="s">
        <v>1088</v>
      </c>
      <c r="I630" t="s">
        <v>1089</v>
      </c>
      <c r="J630" t="str">
        <f>Table2[[#This Row],[file_name]]&amp;".mp3"</f>
        <v>86r.mid.mp3</v>
      </c>
      <c r="M630">
        <v>290</v>
      </c>
      <c r="N6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John (6.6.6.6.8.8.)" --artist="J. Baptiste Calkin" --comment="" --album="Red Book" --track="86" 86r.mid.mp3</v>
      </c>
      <c r="P630" s="4" t="e">
        <f ca="1">VLOOKUP(Table2[[#This Row],[mp3_file]],Table3[#All],3,FALSE)</f>
        <v>#NAME?</v>
      </c>
    </row>
    <row r="631" spans="1:16" x14ac:dyDescent="0.3">
      <c r="A631">
        <v>60</v>
      </c>
      <c r="B631" t="s">
        <v>1803</v>
      </c>
      <c r="C631" t="s">
        <v>486</v>
      </c>
      <c r="D631" s="7">
        <f>IFERROR(VLOOKUP(Table2[[#This Row],[tune_meter]],Table1[#All],3,FALSE),"NONE")</f>
        <v>19</v>
      </c>
      <c r="F631" t="s">
        <v>324</v>
      </c>
      <c r="G631" t="str">
        <f>IF(Table2[[#This Row],[tune_book]]="LFTBs","Red Book","Green Book")</f>
        <v>Green Book</v>
      </c>
      <c r="H631" t="s">
        <v>2734</v>
      </c>
      <c r="I631" t="s">
        <v>1804</v>
      </c>
      <c r="J631" t="str">
        <f>Table2[[#This Row],[file_name]]&amp;".mp3"</f>
        <v>60g.mid.mp3</v>
      </c>
      <c r="M631">
        <v>590</v>
      </c>
      <c r="N6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Leonard (C.M.)" --artist="H. T. Smart" --comment="" --album="Green Book" --track="60" 60g.mid.mp3</v>
      </c>
      <c r="P631" s="4" t="e">
        <f ca="1">VLOOKUP(Table2[[#This Row],[mp3_file]],Table3[#All],3,FALSE)</f>
        <v>#NAME?</v>
      </c>
    </row>
    <row r="632" spans="1:16" x14ac:dyDescent="0.3">
      <c r="A632">
        <v>427</v>
      </c>
      <c r="B632" t="s">
        <v>2044</v>
      </c>
      <c r="C632" t="s">
        <v>520</v>
      </c>
      <c r="D632" s="7">
        <f>IFERROR(VLOOKUP(Table2[[#This Row],[tune_meter]],Table1[#All],3,FALSE),"NONE")</f>
        <v>58</v>
      </c>
      <c r="F632" t="s">
        <v>324</v>
      </c>
      <c r="G632" t="str">
        <f>IF(Table2[[#This Row],[tune_book]]="LFTBs","Red Book","Green Book")</f>
        <v>Green Book</v>
      </c>
      <c r="H632" t="s">
        <v>2897</v>
      </c>
      <c r="I632" t="s">
        <v>2045</v>
      </c>
      <c r="J632" t="str">
        <f>Table2[[#This Row],[file_name]]&amp;".mp3"</f>
        <v>427g.mid.mp3</v>
      </c>
      <c r="M632">
        <v>693</v>
      </c>
      <c r="N6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Margaret (8.8.8.8.6.)" --artist="A. L. Peace" --comment="" --album="Green Book" --track="427" 427g.mid.mp3</v>
      </c>
      <c r="P632" s="4" t="e">
        <f ca="1">VLOOKUP(Table2[[#This Row],[mp3_file]],Table3[#All],3,FALSE)</f>
        <v>#NAME?</v>
      </c>
    </row>
    <row r="633" spans="1:16" x14ac:dyDescent="0.3">
      <c r="A633">
        <v>84</v>
      </c>
      <c r="B633" t="s">
        <v>1677</v>
      </c>
      <c r="C633" t="s">
        <v>578</v>
      </c>
      <c r="D633" s="7">
        <f>IFERROR(VLOOKUP(Table2[[#This Row],[tune_meter]],Table1[#All],3,FALSE),"NONE")</f>
        <v>61</v>
      </c>
      <c r="F633" t="s">
        <v>324</v>
      </c>
      <c r="G633" t="str">
        <f>IF(Table2[[#This Row],[tune_book]]="LFTBs","Red Book","Green Book")</f>
        <v>Green Book</v>
      </c>
      <c r="H633" t="s">
        <v>1678</v>
      </c>
      <c r="I633" t="s">
        <v>1679</v>
      </c>
      <c r="J633" t="str">
        <f>Table2[[#This Row],[file_name]]&amp;".mp3"</f>
        <v>84g.mid.mp3</v>
      </c>
      <c r="M633">
        <v>538</v>
      </c>
      <c r="N6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Matthew (C.M.D.)" --artist="Dr. W. Croft" --comment="" --album="Green Book" --track="84" 84g.mid.mp3</v>
      </c>
      <c r="P633" s="4" t="e">
        <f ca="1">VLOOKUP(Table2[[#This Row],[mp3_file]],Table3[#All],3,FALSE)</f>
        <v>#NAME?</v>
      </c>
    </row>
    <row r="634" spans="1:16" x14ac:dyDescent="0.3">
      <c r="A634">
        <v>439</v>
      </c>
      <c r="B634" t="s">
        <v>2059</v>
      </c>
      <c r="C634" t="s">
        <v>554</v>
      </c>
      <c r="D634" s="7">
        <f>IFERROR(VLOOKUP(Table2[[#This Row],[tune_meter]],Table1[#All],3,FALSE),"NONE")</f>
        <v>26</v>
      </c>
      <c r="F634" t="s">
        <v>324</v>
      </c>
      <c r="G634" t="str">
        <f>IF(Table2[[#This Row],[tune_book]]="LFTBs","Red Book","Green Book")</f>
        <v>Green Book</v>
      </c>
      <c r="H634" t="s">
        <v>1158</v>
      </c>
      <c r="I634" t="s">
        <v>2060</v>
      </c>
      <c r="J634" t="str">
        <f>Table2[[#This Row],[file_name]]&amp;".mp3"</f>
        <v>439g.mid.mp3</v>
      </c>
      <c r="M634">
        <v>701</v>
      </c>
      <c r="N6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Matthias (8.8.8.8.8.8.)" --artist="Dr. W.H. Monk" --comment="" --album="Green Book" --track="439" 439g.mid.mp3</v>
      </c>
      <c r="P634" s="4" t="e">
        <f ca="1">VLOOKUP(Table2[[#This Row],[mp3_file]],Table3[#All],3,FALSE)</f>
        <v>#NAME?</v>
      </c>
    </row>
    <row r="635" spans="1:16" x14ac:dyDescent="0.3">
      <c r="A635">
        <v>150</v>
      </c>
      <c r="B635" t="s">
        <v>1457</v>
      </c>
      <c r="C635" t="s">
        <v>623</v>
      </c>
      <c r="D635" s="7">
        <f>IFERROR(VLOOKUP(Table2[[#This Row],[tune_meter]],Table1[#All],3,FALSE),"NONE")</f>
        <v>22</v>
      </c>
      <c r="F635" t="s">
        <v>324</v>
      </c>
      <c r="G635" t="str">
        <f>IF(Table2[[#This Row],[tune_book]]="LFTBs","Red Book","Green Book")</f>
        <v>Green Book</v>
      </c>
      <c r="H635" t="s">
        <v>2898</v>
      </c>
      <c r="I635" t="s">
        <v>1458</v>
      </c>
      <c r="J635" t="str">
        <f>Table2[[#This Row],[file_name]]&amp;".mp3"</f>
        <v>150g.mid.mp3</v>
      </c>
      <c r="M635">
        <v>442</v>
      </c>
      <c r="N6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Michael (S.M.)" --artist="From 'Day's Psalter'" --comment="" --album="Green Book" --track="150" 150g.mid.mp3</v>
      </c>
      <c r="P635" s="4" t="e">
        <f ca="1">VLOOKUP(Table2[[#This Row],[mp3_file]],Table3[#All],3,FALSE)</f>
        <v>#NAME?</v>
      </c>
    </row>
    <row r="636" spans="1:16" x14ac:dyDescent="0.3">
      <c r="A636">
        <v>61</v>
      </c>
      <c r="B636" t="s">
        <v>1805</v>
      </c>
      <c r="C636" t="s">
        <v>486</v>
      </c>
      <c r="D636" s="7">
        <f>IFERROR(VLOOKUP(Table2[[#This Row],[tune_meter]],Table1[#All],3,FALSE),"NONE")</f>
        <v>19</v>
      </c>
      <c r="F636" t="s">
        <v>324</v>
      </c>
      <c r="G636" t="str">
        <f>IF(Table2[[#This Row],[tune_book]]="LFTBs","Red Book","Green Book")</f>
        <v>Green Book</v>
      </c>
      <c r="H636" t="s">
        <v>2899</v>
      </c>
      <c r="I636" t="s">
        <v>1806</v>
      </c>
      <c r="J636" t="str">
        <f>Table2[[#This Row],[file_name]]&amp;".mp3"</f>
        <v>61g.mid.mp3</v>
      </c>
      <c r="M636">
        <v>591</v>
      </c>
      <c r="N6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Paul (C.M.)" --artist="From 'Chalmer's Collection'" --comment="" --album="Green Book" --track="61" 61g.mid.mp3</v>
      </c>
      <c r="P636" s="4" t="e">
        <f ca="1">VLOOKUP(Table2[[#This Row],[mp3_file]],Table3[#All],3,FALSE)</f>
        <v>#NAME?</v>
      </c>
    </row>
    <row r="637" spans="1:16" x14ac:dyDescent="0.3">
      <c r="A637">
        <v>48</v>
      </c>
      <c r="B637" t="s">
        <v>1090</v>
      </c>
      <c r="C637" t="s">
        <v>623</v>
      </c>
      <c r="D637" s="7">
        <f>IFERROR(VLOOKUP(Table2[[#This Row],[tune_meter]],Table1[#All],3,FALSE),"NONE")</f>
        <v>22</v>
      </c>
      <c r="F637" t="s">
        <v>459</v>
      </c>
      <c r="G637" t="str">
        <f>IF(Table2[[#This Row],[tune_book]]="LFTBs","Red Book","Green Book")</f>
        <v>Red Book</v>
      </c>
      <c r="H637" t="s">
        <v>541</v>
      </c>
      <c r="I637" t="s">
        <v>1091</v>
      </c>
      <c r="J637" t="str">
        <f>Table2[[#This Row],[file_name]]&amp;".mp3"</f>
        <v>48r.mid.mp3</v>
      </c>
      <c r="M637">
        <v>291</v>
      </c>
      <c r="N6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Paul's (S.M.)" --artist="Sir John Stainer" --comment="" --album="Red Book" --track="48" 48r.mid.mp3</v>
      </c>
      <c r="P637" s="4" t="e">
        <f ca="1">VLOOKUP(Table2[[#This Row],[mp3_file]],Table3[#All],3,FALSE)</f>
        <v>#NAME?</v>
      </c>
    </row>
    <row r="638" spans="1:16" x14ac:dyDescent="0.3">
      <c r="A638">
        <v>62</v>
      </c>
      <c r="B638" t="s">
        <v>1807</v>
      </c>
      <c r="C638" t="s">
        <v>486</v>
      </c>
      <c r="D638" s="7">
        <f>IFERROR(VLOOKUP(Table2[[#This Row],[tune_meter]],Table1[#All],3,FALSE),"NONE")</f>
        <v>19</v>
      </c>
      <c r="F638" t="s">
        <v>324</v>
      </c>
      <c r="G638" t="str">
        <f>IF(Table2[[#This Row],[tune_book]]="LFTBs","Red Book","Green Book")</f>
        <v>Green Book</v>
      </c>
      <c r="H638" t="s">
        <v>2900</v>
      </c>
      <c r="I638" t="s">
        <v>1808</v>
      </c>
      <c r="J638" t="str">
        <f>Table2[[#This Row],[file_name]]&amp;".mp3"</f>
        <v>62g.mid.mp3</v>
      </c>
      <c r="M638">
        <v>592</v>
      </c>
      <c r="N6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Peter (C.M.)" --artist="A. R. Reinagle" --comment="" --album="Green Book" --track="62" 62g.mid.mp3</v>
      </c>
      <c r="P638" s="4" t="e">
        <f ca="1">VLOOKUP(Table2[[#This Row],[mp3_file]],Table3[#All],3,FALSE)</f>
        <v>#NAME?</v>
      </c>
    </row>
    <row r="639" spans="1:16" x14ac:dyDescent="0.3">
      <c r="A639">
        <v>222</v>
      </c>
      <c r="B639" t="s">
        <v>1891</v>
      </c>
      <c r="C639" t="s">
        <v>886</v>
      </c>
      <c r="D639" s="7">
        <f>IFERROR(VLOOKUP(Table2[[#This Row],[tune_meter]],Table1[#All],3,FALSE),"NONE")</f>
        <v>41</v>
      </c>
      <c r="F639" t="s">
        <v>324</v>
      </c>
      <c r="G639" t="str">
        <f>IF(Table2[[#This Row],[tune_book]]="LFTBs","Red Book","Green Book")</f>
        <v>Green Book</v>
      </c>
      <c r="H639" t="s">
        <v>344</v>
      </c>
      <c r="I639" t="s">
        <v>1892</v>
      </c>
      <c r="J639" t="str">
        <f>Table2[[#This Row],[file_name]]&amp;".mp3"</f>
        <v>222g.mid.mp3</v>
      </c>
      <c r="M639">
        <v>627</v>
      </c>
      <c r="N6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Philip (7.6.7.6.)" --artist="Unknown" --comment="" --album="Green Book" --track="222" 222g.mid.mp3</v>
      </c>
      <c r="P639" s="4" t="e">
        <f ca="1">VLOOKUP(Table2[[#This Row],[mp3_file]],Table3[#All],3,FALSE)</f>
        <v>#NAME?</v>
      </c>
    </row>
    <row r="640" spans="1:16" x14ac:dyDescent="0.3">
      <c r="A640">
        <v>63</v>
      </c>
      <c r="B640" t="s">
        <v>1809</v>
      </c>
      <c r="C640" t="s">
        <v>486</v>
      </c>
      <c r="D640" s="7">
        <f>IFERROR(VLOOKUP(Table2[[#This Row],[tune_meter]],Table1[#All],3,FALSE),"NONE")</f>
        <v>19</v>
      </c>
      <c r="F640" t="s">
        <v>324</v>
      </c>
      <c r="G640" t="str">
        <f>IF(Table2[[#This Row],[tune_book]]="LFTBs","Red Book","Green Book")</f>
        <v>Green Book</v>
      </c>
      <c r="H640" t="s">
        <v>2901</v>
      </c>
      <c r="I640" t="s">
        <v>1810</v>
      </c>
      <c r="J640" t="str">
        <f>Table2[[#This Row],[file_name]]&amp;".mp3"</f>
        <v>63g.mid.mp3</v>
      </c>
      <c r="M640">
        <v>593</v>
      </c>
      <c r="N6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Saviour (C.M.)" --artist="F. G. Baker" --comment="" --album="Green Book" --track="63" 63g.mid.mp3</v>
      </c>
      <c r="P640" s="4" t="e">
        <f ca="1">VLOOKUP(Table2[[#This Row],[mp3_file]],Table3[#All],3,FALSE)</f>
        <v>#NAME?</v>
      </c>
    </row>
    <row r="641" spans="1:16" x14ac:dyDescent="0.3">
      <c r="A641">
        <v>64</v>
      </c>
      <c r="B641" t="s">
        <v>1811</v>
      </c>
      <c r="C641" t="s">
        <v>486</v>
      </c>
      <c r="D641" s="7">
        <f>IFERROR(VLOOKUP(Table2[[#This Row],[tune_meter]],Table1[#All],3,FALSE),"NONE")</f>
        <v>19</v>
      </c>
      <c r="F641" t="s">
        <v>324</v>
      </c>
      <c r="G641" t="str">
        <f>IF(Table2[[#This Row],[tune_book]]="LFTBs","Red Book","Green Book")</f>
        <v>Green Book</v>
      </c>
      <c r="H641" t="s">
        <v>1812</v>
      </c>
      <c r="I641" t="s">
        <v>1813</v>
      </c>
      <c r="J641" t="str">
        <f>Table2[[#This Row],[file_name]]&amp;".mp3"</f>
        <v>64g.mid.mp3</v>
      </c>
      <c r="M641">
        <v>594</v>
      </c>
      <c r="N64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Stephen (C.M.)" --artist="W. Jones" --comment="" --album="Green Book" --track="64" 64g.mid.mp3</v>
      </c>
      <c r="P641" s="4" t="e">
        <f ca="1">VLOOKUP(Table2[[#This Row],[mp3_file]],Table3[#All],3,FALSE)</f>
        <v>#NAME?</v>
      </c>
    </row>
    <row r="642" spans="1:16" x14ac:dyDescent="0.3">
      <c r="A642">
        <v>446</v>
      </c>
      <c r="B642" t="s">
        <v>2070</v>
      </c>
      <c r="C642" t="s">
        <v>492</v>
      </c>
      <c r="D642" s="7">
        <f>IFERROR(VLOOKUP(Table2[[#This Row],[tune_meter]],Table1[#All],3,FALSE),"NONE")</f>
        <v>35</v>
      </c>
      <c r="F642" t="s">
        <v>324</v>
      </c>
      <c r="G642" t="str">
        <f>IF(Table2[[#This Row],[tune_book]]="LFTBs","Red Book","Green Book")</f>
        <v>Green Book</v>
      </c>
      <c r="H642" t="s">
        <v>2071</v>
      </c>
      <c r="I642" t="s">
        <v>2072</v>
      </c>
      <c r="J642" t="str">
        <f>Table2[[#This Row],[file_name]]&amp;".mp3"</f>
        <v>446g.mid.mp3</v>
      </c>
      <c r="M642">
        <v>706</v>
      </c>
      <c r="N6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Sulien (9.8.9.8.)" --artist="Edward Arthur" --comment="" --album="Green Book" --track="446" 446g.mid.mp3</v>
      </c>
      <c r="P642" s="4" t="e">
        <f ca="1">VLOOKUP(Table2[[#This Row],[mp3_file]],Table3[#All],3,FALSE)</f>
        <v>#NAME?</v>
      </c>
    </row>
    <row r="643" spans="1:16" x14ac:dyDescent="0.3">
      <c r="A643">
        <v>554</v>
      </c>
      <c r="B643" t="s">
        <v>2902</v>
      </c>
      <c r="C643" t="s">
        <v>588</v>
      </c>
      <c r="D643" s="7">
        <f>IFERROR(VLOOKUP(Table2[[#This Row],[tune_meter]],Table1[#All],3,FALSE),"NONE")</f>
        <v>85</v>
      </c>
      <c r="F643" t="s">
        <v>324</v>
      </c>
      <c r="G643" t="str">
        <f>IF(Table2[[#This Row],[tune_book]]="LFTBs","Red Book","Green Book")</f>
        <v>Green Book</v>
      </c>
      <c r="H643" t="s">
        <v>443</v>
      </c>
      <c r="I643" t="s">
        <v>1748</v>
      </c>
      <c r="J643" t="str">
        <f>Table2[[#This Row],[file_name]]&amp;".mp3"</f>
        <v>554g.mid.mp3</v>
      </c>
      <c r="M643">
        <v>568</v>
      </c>
      <c r="N6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Sylvester (Barnby) (14.14.14.14.)" --artist="Sir Joseph Barnby" --comment="" --album="Green Book" --track="554" 554g.mid.mp3</v>
      </c>
      <c r="P643" s="4" t="e">
        <f ca="1">VLOOKUP(Table2[[#This Row],[mp3_file]],Table3[#All],3,FALSE)</f>
        <v>#NAME?</v>
      </c>
    </row>
    <row r="644" spans="1:16" x14ac:dyDescent="0.3">
      <c r="A644">
        <v>258</v>
      </c>
      <c r="B644" t="s">
        <v>1917</v>
      </c>
      <c r="C644" t="s">
        <v>467</v>
      </c>
      <c r="D644" s="7">
        <f>IFERROR(VLOOKUP(Table2[[#This Row],[tune_meter]],Table1[#All],3,FALSE),"NONE")</f>
        <v>34</v>
      </c>
      <c r="F644" t="s">
        <v>324</v>
      </c>
      <c r="G644" t="str">
        <f>IF(Table2[[#This Row],[tune_book]]="LFTBs","Red Book","Green Book")</f>
        <v>Green Book</v>
      </c>
      <c r="H644" t="s">
        <v>1918</v>
      </c>
      <c r="I644" t="s">
        <v>1919</v>
      </c>
      <c r="J644" t="str">
        <f>Table2[[#This Row],[file_name]]&amp;".mp3"</f>
        <v>258g.mid.mp3</v>
      </c>
      <c r="K644">
        <v>1615</v>
      </c>
      <c r="M644">
        <v>639</v>
      </c>
      <c r="N6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--song="St. Theodulph (7.6.7.6.7.6.7.6.)" --artist="M. Teschner" --comment="" --album="Green Book" --track="258" 258g.mid.mp3</v>
      </c>
      <c r="P644" s="4" t="e">
        <f ca="1">VLOOKUP(Table2[[#This Row],[mp3_file]],Table3[#All],3,FALSE)</f>
        <v>#NAME?</v>
      </c>
    </row>
    <row r="645" spans="1:16" x14ac:dyDescent="0.3">
      <c r="A645">
        <v>530</v>
      </c>
      <c r="B645" t="s">
        <v>2162</v>
      </c>
      <c r="C645" t="s">
        <v>543</v>
      </c>
      <c r="D645" s="7">
        <f>IFERROR(VLOOKUP(Table2[[#This Row],[tune_meter]],Table1[#All],3,FALSE),"NONE")</f>
        <v>17</v>
      </c>
      <c r="F645" t="s">
        <v>324</v>
      </c>
      <c r="G645" t="str">
        <f>IF(Table2[[#This Row],[tune_book]]="LFTBs","Red Book","Green Book")</f>
        <v>Green Book</v>
      </c>
      <c r="H645" t="s">
        <v>329</v>
      </c>
      <c r="I645" t="s">
        <v>2163</v>
      </c>
      <c r="J645" t="str">
        <f>Table2[[#This Row],[file_name]]&amp;".mp3"</f>
        <v>530g.mid.mp3</v>
      </c>
      <c r="M645">
        <v>749</v>
      </c>
      <c r="N6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--song="Stachys (11.10.11.10. Dactylic)" --artist="T. Collins" --comment="" --album="Green Book" --track="530" 530g.mid.mp3</v>
      </c>
      <c r="P645" s="4" t="e">
        <f ca="1">VLOOKUP(Table2[[#This Row],[mp3_file]],Table3[#All],3,FALSE)</f>
        <v>#NAME?</v>
      </c>
    </row>
    <row r="646" spans="1:16" x14ac:dyDescent="0.3">
      <c r="A646">
        <v>297</v>
      </c>
      <c r="B646" t="s">
        <v>1092</v>
      </c>
      <c r="C646" t="s">
        <v>588</v>
      </c>
      <c r="D646" s="7">
        <f>IFERROR(VLOOKUP(Table2[[#This Row],[tune_meter]],Table1[#All],3,FALSE),"NONE")</f>
        <v>85</v>
      </c>
      <c r="F646" t="s">
        <v>459</v>
      </c>
      <c r="G646" t="str">
        <f>IF(Table2[[#This Row],[tune_book]]="LFTBs","Red Book","Green Book")</f>
        <v>Red Book</v>
      </c>
      <c r="H646" t="s">
        <v>464</v>
      </c>
      <c r="I646" t="s">
        <v>1093</v>
      </c>
      <c r="J646" t="str">
        <f>Table2[[#This Row],[file_name]]&amp;".mp3"</f>
        <v>297r.mid.mp3</v>
      </c>
      <c r="M646">
        <v>292</v>
      </c>
      <c r="N6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--song="Star of Bethlehem (14.14.14.14.)" --artist="Miss E.C. Shanks" --comment="" --album="Red Book" --track="297" 297r.mid.mp3</v>
      </c>
      <c r="P646" s="4" t="e">
        <f ca="1">VLOOKUP(Table2[[#This Row],[mp3_file]],Table3[#All],3,FALSE)</f>
        <v>#NAME?</v>
      </c>
    </row>
    <row r="647" spans="1:16" x14ac:dyDescent="0.3">
      <c r="A647">
        <v>440</v>
      </c>
      <c r="B647" t="s">
        <v>2061</v>
      </c>
      <c r="C647" t="s">
        <v>554</v>
      </c>
      <c r="D647" s="7">
        <f>IFERROR(VLOOKUP(Table2[[#This Row],[tune_meter]],Table1[#All],3,FALSE),"NONE")</f>
        <v>26</v>
      </c>
      <c r="F647" t="s">
        <v>324</v>
      </c>
      <c r="G647" t="str">
        <f>IF(Table2[[#This Row],[tune_book]]="LFTBs","Red Book","Green Book")</f>
        <v>Green Book</v>
      </c>
      <c r="H647" t="s">
        <v>2062</v>
      </c>
      <c r="I647" t="s">
        <v>2063</v>
      </c>
      <c r="J647" t="str">
        <f>Table2[[#This Row],[file_name]]&amp;".mp3"</f>
        <v>440g.mid.mp3</v>
      </c>
      <c r="M647">
        <v>702</v>
      </c>
      <c r="N6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--song="Stella (8.8.8.8.8.8.)" --artist="Old English Melody" --comment="" --album="Green Book" --track="440" 440g.mid.mp3</v>
      </c>
      <c r="P647" s="4" t="e">
        <f ca="1">VLOOKUP(Table2[[#This Row],[mp3_file]],Table3[#All],3,FALSE)</f>
        <v>#NAME?</v>
      </c>
    </row>
    <row r="648" spans="1:16" x14ac:dyDescent="0.3">
      <c r="A648">
        <v>293</v>
      </c>
      <c r="B648" t="s">
        <v>1946</v>
      </c>
      <c r="C648" t="s">
        <v>523</v>
      </c>
      <c r="D648" s="7">
        <f>IFERROR(VLOOKUP(Table2[[#This Row],[tune_meter]],Table1[#All],3,FALSE),"NONE")</f>
        <v>53</v>
      </c>
      <c r="F648" t="s">
        <v>324</v>
      </c>
      <c r="G648" t="str">
        <f>IF(Table2[[#This Row],[tune_book]]="LFTBs","Red Book","Green Book")</f>
        <v>Green Book</v>
      </c>
      <c r="H648" t="s">
        <v>1947</v>
      </c>
      <c r="I648" t="s">
        <v>1948</v>
      </c>
      <c r="J648" t="str">
        <f>Table2[[#This Row],[file_name]]&amp;".mp3"</f>
        <v>293g.mid.mp3</v>
      </c>
      <c r="M648">
        <v>650</v>
      </c>
      <c r="N6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--song="Stephanos (8.5.8.3.)" --artist="Sir Henry W. Baker" --comment="" --album="Green Book" --track="293" 293g.mid.mp3</v>
      </c>
      <c r="P648" s="4" t="e">
        <f ca="1">VLOOKUP(Table2[[#This Row],[mp3_file]],Table3[#All],3,FALSE)</f>
        <v>#NAME?</v>
      </c>
    </row>
    <row r="649" spans="1:16" x14ac:dyDescent="0.3">
      <c r="A649">
        <v>168</v>
      </c>
      <c r="B649" t="s">
        <v>434</v>
      </c>
      <c r="C649" t="s">
        <v>435</v>
      </c>
      <c r="D649" s="7">
        <f>IFERROR(VLOOKUP(Table2[[#This Row],[tune_meter]],Table1[#All],3,FALSE),"NONE")</f>
        <v>40</v>
      </c>
      <c r="F649" t="s">
        <v>324</v>
      </c>
      <c r="G649" t="str">
        <f>IF(Table2[[#This Row],[tune_book]]="LFTBs","Red Book","Green Book")</f>
        <v>Green Book</v>
      </c>
      <c r="H649" t="s">
        <v>384</v>
      </c>
      <c r="I649" t="s">
        <v>436</v>
      </c>
      <c r="J649" t="str">
        <f>Table2[[#This Row],[file_name]]&amp;".mp3"</f>
        <v>168g.mid.mp3</v>
      </c>
      <c r="K649">
        <v>1938</v>
      </c>
      <c r="M649">
        <v>36</v>
      </c>
      <c r="N6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--song="Stockholm (5.5.4.5.5.4.)" --artist="E. Carren" --comment="" --album="Green Book" --track="168" 168g.mid.mp3</v>
      </c>
      <c r="P649" s="4" t="e">
        <f ca="1">VLOOKUP(Table2[[#This Row],[mp3_file]],Table3[#All],3,FALSE)</f>
        <v>#NAME?</v>
      </c>
    </row>
    <row r="650" spans="1:16" x14ac:dyDescent="0.3">
      <c r="A650">
        <v>70</v>
      </c>
      <c r="B650" t="s">
        <v>1826</v>
      </c>
      <c r="C650" t="s">
        <v>486</v>
      </c>
      <c r="D650" s="7">
        <f>IFERROR(VLOOKUP(Table2[[#This Row],[tune_meter]],Table1[#All],3,FALSE),"NONE")</f>
        <v>19</v>
      </c>
      <c r="F650" t="s">
        <v>324</v>
      </c>
      <c r="G650" t="str">
        <f>IF(Table2[[#This Row],[tune_book]]="LFTBs","Red Book","Green Book")</f>
        <v>Green Book</v>
      </c>
      <c r="H650" t="s">
        <v>1827</v>
      </c>
      <c r="I650" t="s">
        <v>1828</v>
      </c>
      <c r="J650" t="str">
        <f>Table2[[#This Row],[file_name]]&amp;".mp3"</f>
        <v>70g.mid.mp3</v>
      </c>
      <c r="M650">
        <v>600</v>
      </c>
      <c r="N6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--song="Stracathro (C.M.)" --artist="C. Hutcheson" --comment="" --album="Green Book" --track="70" 70g.mid.mp3</v>
      </c>
      <c r="P650" s="4" t="e">
        <f ca="1">VLOOKUP(Table2[[#This Row],[mp3_file]],Table3[#All],3,FALSE)</f>
        <v>#NAME?</v>
      </c>
    </row>
    <row r="651" spans="1:16" x14ac:dyDescent="0.3">
      <c r="A651">
        <v>238</v>
      </c>
      <c r="B651" t="s">
        <v>1094</v>
      </c>
      <c r="C651" t="s">
        <v>878</v>
      </c>
      <c r="D651" s="7">
        <f>IFERROR(VLOOKUP(Table2[[#This Row],[tune_meter]],Table1[#All],3,FALSE),"NONE")</f>
        <v>59</v>
      </c>
      <c r="F651" t="s">
        <v>459</v>
      </c>
      <c r="G651" t="str">
        <f>IF(Table2[[#This Row],[tune_book]]="LFTBs","Red Book","Green Book")</f>
        <v>Red Book</v>
      </c>
      <c r="H651" t="s">
        <v>1095</v>
      </c>
      <c r="I651" t="s">
        <v>1096</v>
      </c>
      <c r="J651" t="str">
        <f>Table2[[#This Row],[file_name]]&amp;".mp3"</f>
        <v>238r.mid.mp3</v>
      </c>
      <c r="M651">
        <v>293</v>
      </c>
      <c r="N6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--song="Stuartholme (9.8.9.8.9.8.9.8.)" --artist="C.T. McCorkell" --comment="" --album="Red Book" --track="238" 238r.mid.mp3</v>
      </c>
      <c r="P651" s="4" t="e">
        <f ca="1">VLOOKUP(Table2[[#This Row],[mp3_file]],Table3[#All],3,FALSE)</f>
        <v>#NAME?</v>
      </c>
    </row>
    <row r="652" spans="1:16" x14ac:dyDescent="0.3">
      <c r="A652">
        <v>464</v>
      </c>
      <c r="B652" t="s">
        <v>437</v>
      </c>
      <c r="C652" t="s">
        <v>438</v>
      </c>
      <c r="D652" s="7">
        <f>IFERROR(VLOOKUP(Table2[[#This Row],[tune_meter]],Table1[#All],3,FALSE),"NONE")</f>
        <v>18</v>
      </c>
      <c r="F652" t="s">
        <v>324</v>
      </c>
      <c r="G652" t="str">
        <f>IF(Table2[[#This Row],[tune_book]]="LFTBs","Red Book","Green Book")</f>
        <v>Green Book</v>
      </c>
      <c r="H652" t="s">
        <v>2910</v>
      </c>
      <c r="I652" t="s">
        <v>440</v>
      </c>
      <c r="J652" t="str">
        <f>Table2[[#This Row],[file_name]]&amp;".mp3"</f>
        <v>464g.mid.mp3</v>
      </c>
      <c r="K652">
        <v>1951</v>
      </c>
      <c r="M652">
        <v>37</v>
      </c>
      <c r="N6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--song="Studley (10.10.4.10.10.4.)" --artist="Mrs. D. L. Johnston" --comment="" --album="Green Book" --track="464" 464g.mid.mp3</v>
      </c>
      <c r="P652" s="4" t="e">
        <f ca="1">VLOOKUP(Table2[[#This Row],[mp3_file]],Table3[#All],3,FALSE)</f>
        <v>#NAME?</v>
      </c>
    </row>
    <row r="653" spans="1:16" x14ac:dyDescent="0.3">
      <c r="A653">
        <v>344</v>
      </c>
      <c r="B653" t="s">
        <v>1967</v>
      </c>
      <c r="C653" t="s">
        <v>370</v>
      </c>
      <c r="D653" s="7">
        <f>IFERROR(VLOOKUP(Table2[[#This Row],[tune_meter]],Table1[#All],3,FALSE),"NONE")</f>
        <v>24</v>
      </c>
      <c r="F653" t="s">
        <v>324</v>
      </c>
      <c r="G653" t="str">
        <f>IF(Table2[[#This Row],[tune_book]]="LFTBs","Red Book","Green Book")</f>
        <v>Green Book</v>
      </c>
      <c r="H653" t="s">
        <v>1968</v>
      </c>
      <c r="I653" t="s">
        <v>1969</v>
      </c>
      <c r="J653" t="str">
        <f>Table2[[#This Row],[file_name]]&amp;".mp3"</f>
        <v>344g.mid.mp3</v>
      </c>
      <c r="K653">
        <v>1715</v>
      </c>
      <c r="M653">
        <v>659</v>
      </c>
      <c r="N6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--song="Stuttgart (8.7.8.7.)" --artist="German" --comment="" --album="Green Book" --track="344" 344g.mid.mp3</v>
      </c>
      <c r="P653" s="4" t="e">
        <f ca="1">VLOOKUP(Table2[[#This Row],[mp3_file]],Table3[#All],3,FALSE)</f>
        <v>#NAME?</v>
      </c>
    </row>
    <row r="654" spans="1:16" x14ac:dyDescent="0.3">
      <c r="A654">
        <v>79</v>
      </c>
      <c r="B654" t="s">
        <v>1097</v>
      </c>
      <c r="C654" t="s">
        <v>463</v>
      </c>
      <c r="D654" s="7">
        <f>IFERROR(VLOOKUP(Table2[[#This Row],[tune_meter]],Table1[#All],3,FALSE),"NONE")</f>
        <v>90</v>
      </c>
      <c r="F654" t="s">
        <v>459</v>
      </c>
      <c r="G654" t="str">
        <f>IF(Table2[[#This Row],[tune_book]]="LFTBs","Red Book","Green Book")</f>
        <v>Red Book</v>
      </c>
      <c r="H654" t="s">
        <v>544</v>
      </c>
      <c r="I654" t="s">
        <v>1098</v>
      </c>
      <c r="J654" t="str">
        <f>Table2[[#This Row],[file_name]]&amp;".mp3"</f>
        <v>79r.mid.mp3</v>
      </c>
      <c r="M654">
        <v>294</v>
      </c>
      <c r="N6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--song="Subjection (6.6.6.6.6.6.6.6.)" --artist="F.H. Parkes" --comment="" --album="Red Book" --track="79" 79r.mid.mp3</v>
      </c>
      <c r="P654" s="4" t="e">
        <f ca="1">VLOOKUP(Table2[[#This Row],[mp3_file]],Table3[#All],3,FALSE)</f>
        <v>#NAME?</v>
      </c>
    </row>
    <row r="655" spans="1:16" x14ac:dyDescent="0.3">
      <c r="A655">
        <v>302</v>
      </c>
      <c r="B655" t="s">
        <v>1567</v>
      </c>
      <c r="C655" t="s">
        <v>1179</v>
      </c>
      <c r="D655" s="7">
        <f>IFERROR(VLOOKUP(Table2[[#This Row],[tune_meter]],Table1[#All],3,FALSE),"NONE")</f>
        <v>96</v>
      </c>
      <c r="F655" t="s">
        <v>324</v>
      </c>
      <c r="G655" t="str">
        <f>IF(Table2[[#This Row],[tune_book]]="LFTBs","Red Book","Green Book")</f>
        <v>Green Book</v>
      </c>
      <c r="H655" t="s">
        <v>348</v>
      </c>
      <c r="I655" t="s">
        <v>1568</v>
      </c>
      <c r="J655" t="str">
        <f>Table2[[#This Row],[file_name]]&amp;".mp3"</f>
        <v>302g.mid.mp3</v>
      </c>
      <c r="M655">
        <v>490</v>
      </c>
      <c r="N6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--song="Substitution (8.6.8.6.8.6.)" --artist="Ira D. Sankey" --comment="" --album="Green Book" --track="302" 302g.mid.mp3</v>
      </c>
      <c r="P655" s="4" t="e">
        <f ca="1">VLOOKUP(Table2[[#This Row],[mp3_file]],Table3[#All],3,FALSE)</f>
        <v>#NAME?</v>
      </c>
    </row>
    <row r="656" spans="1:16" x14ac:dyDescent="0.3">
      <c r="A656">
        <v>180</v>
      </c>
      <c r="B656" t="s">
        <v>1874</v>
      </c>
      <c r="C656" t="s">
        <v>446</v>
      </c>
      <c r="D656" s="7">
        <f>IFERROR(VLOOKUP(Table2[[#This Row],[tune_meter]],Table1[#All],3,FALSE),"NONE")</f>
        <v>44</v>
      </c>
      <c r="F656" t="s">
        <v>324</v>
      </c>
      <c r="G656" t="str">
        <f>IF(Table2[[#This Row],[tune_book]]="LFTBs","Red Book","Green Book")</f>
        <v>Green Book</v>
      </c>
      <c r="H656" t="s">
        <v>2911</v>
      </c>
      <c r="I656" t="s">
        <v>1875</v>
      </c>
      <c r="J656" t="str">
        <f>Table2[[#This Row],[file_name]]&amp;".mp3"</f>
        <v>180g.mid.mp3</v>
      </c>
      <c r="M656">
        <v>619</v>
      </c>
      <c r="N6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--song="Summer Land (6.4.6.4.6.6.6.4.)" --artist="P. G. Fithian" --comment="" --album="Green Book" --track="180" 180g.mid.mp3</v>
      </c>
      <c r="P656" s="4" t="e">
        <f ca="1">VLOOKUP(Table2[[#This Row],[mp3_file]],Table3[#All],3,FALSE)</f>
        <v>#NAME?</v>
      </c>
    </row>
    <row r="657" spans="1:16" x14ac:dyDescent="0.3">
      <c r="A657">
        <v>153</v>
      </c>
      <c r="B657" t="s">
        <v>1464</v>
      </c>
      <c r="C657" t="s">
        <v>623</v>
      </c>
      <c r="D657" s="7">
        <f>IFERROR(VLOOKUP(Table2[[#This Row],[tune_meter]],Table1[#All],3,FALSE),"NONE")</f>
        <v>22</v>
      </c>
      <c r="F657" t="s">
        <v>324</v>
      </c>
      <c r="G657" t="str">
        <f>IF(Table2[[#This Row],[tune_book]]="LFTBs","Red Book","Green Book")</f>
        <v>Green Book</v>
      </c>
      <c r="H657" t="s">
        <v>344</v>
      </c>
      <c r="I657" t="s">
        <v>1465</v>
      </c>
      <c r="J657" t="str">
        <f>Table2[[#This Row],[file_name]]&amp;".mp3"</f>
        <v>153g.mid.mp3</v>
      </c>
      <c r="M657">
        <v>445</v>
      </c>
      <c r="N6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--song="Summerfield (S.M.)" --artist="Unknown" --comment="" --album="Green Book" --track="153" 153g.mid.mp3</v>
      </c>
      <c r="P657" s="4" t="e">
        <f ca="1">VLOOKUP(Table2[[#This Row],[mp3_file]],Table3[#All],3,FALSE)</f>
        <v>#NAME?</v>
      </c>
    </row>
    <row r="658" spans="1:16" x14ac:dyDescent="0.3">
      <c r="A658">
        <v>58</v>
      </c>
      <c r="B658" t="s">
        <v>1099</v>
      </c>
      <c r="C658" t="s">
        <v>354</v>
      </c>
      <c r="D658" s="7">
        <f>IFERROR(VLOOKUP(Table2[[#This Row],[tune_meter]],Table1[#All],3,FALSE),"NONE")</f>
        <v>28</v>
      </c>
      <c r="F658" t="s">
        <v>459</v>
      </c>
      <c r="G658" t="str">
        <f>IF(Table2[[#This Row],[tune_book]]="LFTBs","Red Book","Green Book")</f>
        <v>Red Book</v>
      </c>
      <c r="H658" t="s">
        <v>367</v>
      </c>
      <c r="I658" t="s">
        <v>1100</v>
      </c>
      <c r="J658" t="str">
        <f>Table2[[#This Row],[file_name]]&amp;".mp3"</f>
        <v>58r.mid.mp3</v>
      </c>
      <c r="M658">
        <v>295</v>
      </c>
      <c r="N6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--song="Summit (4.8.4.8.8.)" --artist="Gordon Millar" --comment="" --album="Red Book" --track="58" 58r.mid.mp3</v>
      </c>
      <c r="P658" s="4" t="e">
        <f ca="1">VLOOKUP(Table2[[#This Row],[mp3_file]],Table3[#All],3,FALSE)</f>
        <v>#NAME?</v>
      </c>
    </row>
    <row r="659" spans="1:16" x14ac:dyDescent="0.3">
      <c r="A659">
        <v>308</v>
      </c>
      <c r="B659" t="s">
        <v>1572</v>
      </c>
      <c r="C659" t="s">
        <v>483</v>
      </c>
      <c r="D659" s="7">
        <f>IFERROR(VLOOKUP(Table2[[#This Row],[tune_meter]],Table1[#All],3,FALSE),"NONE")</f>
        <v>55</v>
      </c>
      <c r="F659" t="s">
        <v>324</v>
      </c>
      <c r="G659" t="str">
        <f>IF(Table2[[#This Row],[tune_book]]="LFTBs","Red Book","Green Book")</f>
        <v>Green Book</v>
      </c>
      <c r="H659" t="s">
        <v>1573</v>
      </c>
      <c r="I659" t="s">
        <v>1574</v>
      </c>
      <c r="J659" t="str">
        <f>Table2[[#This Row],[file_name]]&amp;".mp3"</f>
        <v>308g.mid.mp3</v>
      </c>
      <c r="K659">
        <v>1933</v>
      </c>
      <c r="M659">
        <v>492</v>
      </c>
      <c r="N6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--song="Supremacy (8.6.8.6.8.8.)" --artist="N. Tomblin" --comment="" --album="Green Book" --track="308" 308g.mid.mp3</v>
      </c>
      <c r="P659" s="4" t="e">
        <f ca="1">VLOOKUP(Table2[[#This Row],[mp3_file]],Table3[#All],3,FALSE)</f>
        <v>#NAME?</v>
      </c>
    </row>
    <row r="660" spans="1:16" x14ac:dyDescent="0.3">
      <c r="A660">
        <v>20</v>
      </c>
      <c r="B660" t="s">
        <v>1101</v>
      </c>
      <c r="C660" t="s">
        <v>486</v>
      </c>
      <c r="D660" s="7">
        <f>IFERROR(VLOOKUP(Table2[[#This Row],[tune_meter]],Table1[#All],3,FALSE),"NONE")</f>
        <v>19</v>
      </c>
      <c r="F660" t="s">
        <v>459</v>
      </c>
      <c r="G660" t="str">
        <f>IF(Table2[[#This Row],[tune_book]]="LFTBs","Red Book","Green Book")</f>
        <v>Red Book</v>
      </c>
      <c r="H660" t="s">
        <v>966</v>
      </c>
      <c r="I660" t="s">
        <v>1102</v>
      </c>
      <c r="J660" t="str">
        <f>Table2[[#This Row],[file_name]]&amp;".mp3"</f>
        <v>20r.mid.mp3</v>
      </c>
      <c r="M660">
        <v>296</v>
      </c>
      <c r="N6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--song="Supreme (C.M.)" --artist="Miss F.R. Jones" --comment="" --album="Red Book" --track="20" 20r.mid.mp3</v>
      </c>
      <c r="P660" s="4" t="e">
        <f ca="1">VLOOKUP(Table2[[#This Row],[mp3_file]],Table3[#All],3,FALSE)</f>
        <v>#NAME?</v>
      </c>
    </row>
    <row r="661" spans="1:16" x14ac:dyDescent="0.3">
      <c r="A661">
        <v>154</v>
      </c>
      <c r="B661" t="s">
        <v>1256</v>
      </c>
      <c r="C661" t="s">
        <v>623</v>
      </c>
      <c r="D661" s="7">
        <f>IFERROR(VLOOKUP(Table2[[#This Row],[tune_meter]],Table1[#All],3,FALSE),"NONE")</f>
        <v>22</v>
      </c>
      <c r="F661" t="s">
        <v>324</v>
      </c>
      <c r="G661" t="str">
        <f>IF(Table2[[#This Row],[tune_book]]="LFTBs","Red Book","Green Book")</f>
        <v>Green Book</v>
      </c>
      <c r="H661" t="s">
        <v>1257</v>
      </c>
      <c r="I661" t="s">
        <v>1258</v>
      </c>
      <c r="J661" t="str">
        <f>Table2[[#This Row],[file_name]]&amp;".mp3"</f>
        <v>154g.mid.mp3</v>
      </c>
      <c r="K661">
        <v>1745</v>
      </c>
      <c r="M661">
        <v>356</v>
      </c>
      <c r="N6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--song="Swabia (S.M.)" --artist="From 'Spiess's Gesangbuch'" --comment="" --album="Green Book" --track="154" 154g.mid.mp3</v>
      </c>
      <c r="P661" s="4" t="e">
        <f ca="1">VLOOKUP(Table2[[#This Row],[mp3_file]],Table3[#All],3,FALSE)</f>
        <v>#NAME?</v>
      </c>
    </row>
    <row r="662" spans="1:16" x14ac:dyDescent="0.3">
      <c r="A662">
        <v>259</v>
      </c>
      <c r="B662" t="s">
        <v>1920</v>
      </c>
      <c r="C662" t="s">
        <v>467</v>
      </c>
      <c r="D662" s="7">
        <f>IFERROR(VLOOKUP(Table2[[#This Row],[tune_meter]],Table1[#All],3,FALSE),"NONE")</f>
        <v>34</v>
      </c>
      <c r="F662" t="s">
        <v>324</v>
      </c>
      <c r="G662" t="str">
        <f>IF(Table2[[#This Row],[tune_book]]="LFTBs","Red Book","Green Book")</f>
        <v>Green Book</v>
      </c>
      <c r="H662" t="s">
        <v>1921</v>
      </c>
      <c r="I662" t="s">
        <v>1922</v>
      </c>
      <c r="J662" t="str">
        <f>Table2[[#This Row],[file_name]]&amp;".mp3"</f>
        <v>259g.mid.mp3</v>
      </c>
      <c r="M662">
        <v>640</v>
      </c>
      <c r="N6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--song="Swansea (7.6.7.6.7.6.7.6.)" --artist="Henri F. Hemy" --comment="" --album="Green Book" --track="259" 259g.mid.mp3</v>
      </c>
      <c r="P662" s="4" t="e">
        <f ca="1">VLOOKUP(Table2[[#This Row],[mp3_file]],Table3[#All],3,FALSE)</f>
        <v>#NAME?</v>
      </c>
    </row>
    <row r="663" spans="1:16" x14ac:dyDescent="0.3">
      <c r="A663">
        <v>401</v>
      </c>
      <c r="B663" t="s">
        <v>441</v>
      </c>
      <c r="C663" t="s">
        <v>417</v>
      </c>
      <c r="D663" s="7">
        <f>IFERROR(VLOOKUP(Table2[[#This Row],[tune_meter]],Table1[#All],3,FALSE),"NONE")</f>
        <v>65</v>
      </c>
      <c r="F663" t="s">
        <v>324</v>
      </c>
      <c r="G663" t="str">
        <f>IF(Table2[[#This Row],[tune_book]]="LFTBs","Red Book","Green Book")</f>
        <v>Green Book</v>
      </c>
      <c r="H663" t="s">
        <v>344</v>
      </c>
      <c r="I663" t="s">
        <v>442</v>
      </c>
      <c r="J663" t="str">
        <f>Table2[[#This Row],[file_name]]&amp;".mp3"</f>
        <v>401g.mid.mp3</v>
      </c>
      <c r="M663">
        <v>38</v>
      </c>
      <c r="N6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--song="Swiss Tune (8.8.4.8.8.4.)" --artist="Unknown" --comment="" --album="Green Book" --track="401" 401g.mid.mp3</v>
      </c>
      <c r="P663" s="4" t="e">
        <f ca="1">VLOOKUP(Table2[[#This Row],[mp3_file]],Table3[#All],3,FALSE)</f>
        <v>#NAME?</v>
      </c>
    </row>
    <row r="664" spans="1:16" x14ac:dyDescent="0.3">
      <c r="A664">
        <v>242</v>
      </c>
      <c r="B664" t="s">
        <v>1103</v>
      </c>
      <c r="C664" t="s">
        <v>1104</v>
      </c>
      <c r="D664" s="7">
        <f>IFERROR(VLOOKUP(Table2[[#This Row],[tune_meter]],Table1[#All],3,FALSE),"NONE")</f>
        <v>60</v>
      </c>
      <c r="F664" t="s">
        <v>459</v>
      </c>
      <c r="G664" t="str">
        <f>IF(Table2[[#This Row],[tune_book]]="LFTBs","Red Book","Green Book")</f>
        <v>Red Book</v>
      </c>
      <c r="H664" t="s">
        <v>549</v>
      </c>
      <c r="I664" t="s">
        <v>1105</v>
      </c>
      <c r="J664" t="str">
        <f>Table2[[#This Row],[file_name]]&amp;".mp3"</f>
        <v>242r.mid.mp3</v>
      </c>
      <c r="M664">
        <v>297</v>
      </c>
      <c r="N66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--song="Sydney (9.9.9.9.)" --artist="E.J. Judd" --comment="" --album="Red Book" --track="242" 242r.mid.mp3</v>
      </c>
      <c r="P664" s="4" t="e">
        <f ca="1">VLOOKUP(Table2[[#This Row],[mp3_file]],Table3[#All],3,FALSE)</f>
        <v>#NAME?</v>
      </c>
    </row>
    <row r="665" spans="1:16" x14ac:dyDescent="0.3">
      <c r="A665">
        <v>166</v>
      </c>
      <c r="B665" t="s">
        <v>1106</v>
      </c>
      <c r="C665" t="s">
        <v>1042</v>
      </c>
      <c r="D665" s="7">
        <f>IFERROR(VLOOKUP(Table2[[#This Row],[tune_meter]],Table1[#All],3,FALSE),"NONE")</f>
        <v>54</v>
      </c>
      <c r="F665" t="s">
        <v>459</v>
      </c>
      <c r="G665" t="str">
        <f>IF(Table2[[#This Row],[tune_book]]="LFTBs","Red Book","Green Book")</f>
        <v>Red Book</v>
      </c>
      <c r="H665" t="s">
        <v>464</v>
      </c>
      <c r="I665" t="s">
        <v>1107</v>
      </c>
      <c r="J665" t="str">
        <f>Table2[[#This Row],[file_name]]&amp;".mp3"</f>
        <v>166r.mid.mp3</v>
      </c>
      <c r="M665">
        <v>298</v>
      </c>
      <c r="N66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--song="Taanach (8.7.8.7. Dactylic Chorus 5.7.8.7.)" --artist="Miss E.C. Shanks" --comment="" --album="Red Book" --track="166" 166r.mid.mp3</v>
      </c>
      <c r="P665" s="4" t="e">
        <f ca="1">VLOOKUP(Table2[[#This Row],[mp3_file]],Table3[#All],3,FALSE)</f>
        <v>#NAME?</v>
      </c>
    </row>
    <row r="666" spans="1:16" x14ac:dyDescent="0.3">
      <c r="A666">
        <v>119</v>
      </c>
      <c r="B666" t="s">
        <v>1836</v>
      </c>
      <c r="C666" t="s">
        <v>516</v>
      </c>
      <c r="D666" s="7">
        <f>IFERROR(VLOOKUP(Table2[[#This Row],[tune_meter]],Table1[#All],3,FALSE),"NONE")</f>
        <v>16</v>
      </c>
      <c r="F666" t="s">
        <v>324</v>
      </c>
      <c r="G666" t="str">
        <f>IF(Table2[[#This Row],[tune_book]]="LFTBs","Red Book","Green Book")</f>
        <v>Green Book</v>
      </c>
      <c r="H666" t="s">
        <v>1837</v>
      </c>
      <c r="I666" t="s">
        <v>1838</v>
      </c>
      <c r="J666" t="str">
        <f>Table2[[#This Row],[file_name]]&amp;".mp3"</f>
        <v>119g.mid.mp3</v>
      </c>
      <c r="M666">
        <v>604</v>
      </c>
      <c r="N66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--song="Tallis's Canon (L.M.)" --artist="T. Tallis" --comment="" --album="Green Book" --track="119" 119g.mid.mp3</v>
      </c>
      <c r="P666" s="4" t="e">
        <f ca="1">VLOOKUP(Table2[[#This Row],[mp3_file]],Table3[#All],3,FALSE)</f>
        <v>#NAME?</v>
      </c>
    </row>
    <row r="667" spans="1:16" x14ac:dyDescent="0.3">
      <c r="A667">
        <v>80</v>
      </c>
      <c r="B667" t="s">
        <v>2629</v>
      </c>
      <c r="C667" t="s">
        <v>2629</v>
      </c>
      <c r="D667" s="7" t="str">
        <f>IFERROR(VLOOKUP(Table2[[#This Row],[tune_meter]],Table1[#All],3,FALSE),"NONE")</f>
        <v>NONE</v>
      </c>
      <c r="G667" s="4" t="str">
        <f>IF(Table2[[#This Row],[tune_book]]="LFTBs","Red Book","Green Book")</f>
        <v>Green Book</v>
      </c>
      <c r="H667" t="s">
        <v>2629</v>
      </c>
      <c r="I667" t="s">
        <v>2628</v>
      </c>
      <c r="J667" s="4" t="str">
        <f>Table2[[#This Row],[file_name]]&amp;".mp3"</f>
        <v>80g.mid.mp3</v>
      </c>
      <c r="K667" s="4"/>
      <c r="M667">
        <v>758</v>
      </c>
      <c r="N667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7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--track="80" 80g.mid.mp3</v>
      </c>
      <c r="P667" s="4" t="e">
        <f ca="1">VLOOKUP(Table2[[#This Row],[mp3_file]],Table3[#All],3,FALSE)</f>
        <v>#NAME?</v>
      </c>
    </row>
    <row r="668" spans="1:16" x14ac:dyDescent="0.3">
      <c r="A668">
        <v>425</v>
      </c>
      <c r="B668" t="s">
        <v>2629</v>
      </c>
      <c r="C668" t="s">
        <v>2629</v>
      </c>
      <c r="D668" s="7" t="str">
        <f>IFERROR(VLOOKUP(Table2[[#This Row],[tune_meter]],Table1[#All],3,FALSE),"NONE")</f>
        <v>NONE</v>
      </c>
      <c r="G668" s="4" t="str">
        <f>IF(Table2[[#This Row],[tune_book]]="LFTBs","Red Book","Green Book")</f>
        <v>Green Book</v>
      </c>
      <c r="H668" t="s">
        <v>2629</v>
      </c>
      <c r="I668" t="s">
        <v>2630</v>
      </c>
      <c r="J668" s="4" t="str">
        <f>Table2[[#This Row],[file_name]]&amp;".mp3"</f>
        <v>425g.mid.mp3</v>
      </c>
      <c r="K668" s="4"/>
      <c r="M668">
        <v>759</v>
      </c>
      <c r="N668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8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--track="425" 425g.mid.mp3</v>
      </c>
      <c r="P668" s="4" t="e">
        <f ca="1">VLOOKUP(Table2[[#This Row],[mp3_file]],Table3[#All],3,FALSE)</f>
        <v>#NAME?</v>
      </c>
    </row>
    <row r="669" spans="1:16" x14ac:dyDescent="0.3">
      <c r="A669">
        <v>407</v>
      </c>
      <c r="B669" t="s">
        <v>2629</v>
      </c>
      <c r="C669" t="s">
        <v>2629</v>
      </c>
      <c r="D669" s="7" t="str">
        <f>IFERROR(VLOOKUP(Table2[[#This Row],[tune_meter]],Table1[#All],3,FALSE),"NONE")</f>
        <v>NONE</v>
      </c>
      <c r="G669" s="4" t="str">
        <f>IF(Table2[[#This Row],[tune_book]]="LFTBs","Red Book","Green Book")</f>
        <v>Green Book</v>
      </c>
      <c r="H669" t="s">
        <v>2629</v>
      </c>
      <c r="I669" t="s">
        <v>2631</v>
      </c>
      <c r="J669" s="4" t="str">
        <f>Table2[[#This Row],[file_name]]&amp;".mp3"</f>
        <v>407g.mid.mp3</v>
      </c>
      <c r="K669" s="4"/>
      <c r="M669">
        <v>760</v>
      </c>
      <c r="N669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69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--track="407" 407g.mid.mp3</v>
      </c>
      <c r="P669" s="4" t="e">
        <f ca="1">VLOOKUP(Table2[[#This Row],[mp3_file]],Table3[#All],3,FALSE)</f>
        <v>#NAME?</v>
      </c>
    </row>
    <row r="670" spans="1:16" x14ac:dyDescent="0.3">
      <c r="A670">
        <v>406</v>
      </c>
      <c r="B670" t="s">
        <v>2629</v>
      </c>
      <c r="C670" t="s">
        <v>2629</v>
      </c>
      <c r="D670" s="7" t="str">
        <f>IFERROR(VLOOKUP(Table2[[#This Row],[tune_meter]],Table1[#All],3,FALSE),"NONE")</f>
        <v>NONE</v>
      </c>
      <c r="G670" s="4" t="str">
        <f>IF(Table2[[#This Row],[tune_book]]="LFTBs","Red Book","Green Book")</f>
        <v>Green Book</v>
      </c>
      <c r="H670" t="s">
        <v>2629</v>
      </c>
      <c r="I670" t="s">
        <v>2632</v>
      </c>
      <c r="J670" s="4" t="str">
        <f>Table2[[#This Row],[file_name]]&amp;".mp3"</f>
        <v>406g.mid.mp3</v>
      </c>
      <c r="K670" s="4"/>
      <c r="M670">
        <v>761</v>
      </c>
      <c r="N670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0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--track="406" 406g.mid.mp3</v>
      </c>
      <c r="P670" s="4" t="e">
        <f ca="1">VLOOKUP(Table2[[#This Row],[mp3_file]],Table3[#All],3,FALSE)</f>
        <v>#NAME?</v>
      </c>
    </row>
    <row r="671" spans="1:16" x14ac:dyDescent="0.3">
      <c r="A671">
        <v>303</v>
      </c>
      <c r="B671" t="s">
        <v>2629</v>
      </c>
      <c r="C671" t="s">
        <v>2629</v>
      </c>
      <c r="D671" s="7" t="str">
        <f>IFERROR(VLOOKUP(Table2[[#This Row],[tune_meter]],Table1[#All],3,FALSE),"NONE")</f>
        <v>NONE</v>
      </c>
      <c r="G671" s="4" t="str">
        <f>IF(Table2[[#This Row],[tune_book]]="LFTBs","Red Book","Green Book")</f>
        <v>Green Book</v>
      </c>
      <c r="H671" t="s">
        <v>2629</v>
      </c>
      <c r="I671" t="s">
        <v>2633</v>
      </c>
      <c r="J671" s="4" t="str">
        <f>Table2[[#This Row],[file_name]]&amp;".mp3"</f>
        <v>303g.mid.mp3</v>
      </c>
      <c r="K671" s="4"/>
      <c r="M671">
        <v>762</v>
      </c>
      <c r="N671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1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--track="303" 303g.mid.mp3</v>
      </c>
      <c r="P671" s="4" t="e">
        <f ca="1">VLOOKUP(Table2[[#This Row],[mp3_file]],Table3[#All],3,FALSE)</f>
        <v>#NAME?</v>
      </c>
    </row>
    <row r="672" spans="1:16" x14ac:dyDescent="0.3">
      <c r="A672">
        <v>253</v>
      </c>
      <c r="B672" t="s">
        <v>2629</v>
      </c>
      <c r="C672" t="s">
        <v>2629</v>
      </c>
      <c r="D672" s="7" t="str">
        <f>IFERROR(VLOOKUP(Table2[[#This Row],[tune_meter]],Table1[#All],3,FALSE),"NONE")</f>
        <v>NONE</v>
      </c>
      <c r="G672" s="4" t="str">
        <f>IF(Table2[[#This Row],[tune_book]]="LFTBs","Red Book","Green Book")</f>
        <v>Green Book</v>
      </c>
      <c r="H672" t="s">
        <v>2629</v>
      </c>
      <c r="I672" t="s">
        <v>2634</v>
      </c>
      <c r="J672" s="4" t="str">
        <f>Table2[[#This Row],[file_name]]&amp;".mp3"</f>
        <v>253g.mid.mp3</v>
      </c>
      <c r="K672" s="4"/>
      <c r="M672">
        <v>763</v>
      </c>
      <c r="N672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2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--track="253" 253g.mid.mp3</v>
      </c>
      <c r="P672" s="4" t="e">
        <f ca="1">VLOOKUP(Table2[[#This Row],[mp3_file]],Table3[#All],3,FALSE)</f>
        <v>#NAME?</v>
      </c>
    </row>
    <row r="673" spans="1:16" x14ac:dyDescent="0.3">
      <c r="A673">
        <v>209</v>
      </c>
      <c r="B673" t="s">
        <v>2629</v>
      </c>
      <c r="C673" t="s">
        <v>2629</v>
      </c>
      <c r="D673" s="7" t="str">
        <f>IFERROR(VLOOKUP(Table2[[#This Row],[tune_meter]],Table1[#All],3,FALSE),"NONE")</f>
        <v>NONE</v>
      </c>
      <c r="G673" s="4" t="str">
        <f>IF(Table2[[#This Row],[tune_book]]="LFTBs","Red Book","Green Book")</f>
        <v>Green Book</v>
      </c>
      <c r="H673" t="s">
        <v>2629</v>
      </c>
      <c r="I673" t="s">
        <v>2635</v>
      </c>
      <c r="J673" s="4" t="str">
        <f>Table2[[#This Row],[file_name]]&amp;".mp3"</f>
        <v>209g.mid.mp3</v>
      </c>
      <c r="K673" s="4"/>
      <c r="M673">
        <v>764</v>
      </c>
      <c r="N673" s="3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3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--song="TBC (TBC)" --artist="TBC" --comment="" --album="Green Book" --track="209" 209g.mid.mp3</v>
      </c>
      <c r="P673" s="4" t="e">
        <f ca="1">VLOOKUP(Table2[[#This Row],[mp3_file]],Table3[#All],3,FALSE)</f>
        <v>#NAME?</v>
      </c>
    </row>
    <row r="674" spans="1:16" x14ac:dyDescent="0.3">
      <c r="A674">
        <v>223</v>
      </c>
      <c r="B674" t="s">
        <v>2912</v>
      </c>
      <c r="C674" t="s">
        <v>886</v>
      </c>
      <c r="D674" s="7">
        <f>IFERROR(VLOOKUP(Table2[[#This Row],[tune_meter]],Table1[#All],3,FALSE),"NONE")</f>
        <v>41</v>
      </c>
      <c r="F674" t="s">
        <v>324</v>
      </c>
      <c r="G674" t="str">
        <f>IF(Table2[[#This Row],[tune_book]]="LFTBs","Red Book","Green Book")</f>
        <v>Green Book</v>
      </c>
      <c r="H674" t="s">
        <v>2723</v>
      </c>
      <c r="I674" t="s">
        <v>1502</v>
      </c>
      <c r="J674" t="str">
        <f>Table2[[#This Row],[file_name]]&amp;".mp3"</f>
        <v>223g.mid.mp3</v>
      </c>
      <c r="K674">
        <v>1925</v>
      </c>
      <c r="M674">
        <v>461</v>
      </c>
      <c r="N67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--song="Teignmouth (7.6.7.6.)" --artist="C. T. Lambert" --comment="" --album="Green Book" --track="223" 223g.mid.mp3</v>
      </c>
      <c r="P674" s="4" t="e">
        <f ca="1">VLOOKUP(Table2[[#This Row],[mp3_file]],Table3[#All],3,FALSE)</f>
        <v>#NAME?</v>
      </c>
    </row>
    <row r="675" spans="1:16" x14ac:dyDescent="0.3">
      <c r="A675">
        <v>394</v>
      </c>
      <c r="B675" t="s">
        <v>2009</v>
      </c>
      <c r="C675" t="s">
        <v>476</v>
      </c>
      <c r="D675" s="7">
        <f>IFERROR(VLOOKUP(Table2[[#This Row],[tune_meter]],Table1[#All],3,FALSE),"NONE")</f>
        <v>25</v>
      </c>
      <c r="F675" t="s">
        <v>324</v>
      </c>
      <c r="G675" t="str">
        <f>IF(Table2[[#This Row],[tune_book]]="LFTBs","Red Book","Green Book")</f>
        <v>Green Book</v>
      </c>
      <c r="H675" t="s">
        <v>348</v>
      </c>
      <c r="I675" t="s">
        <v>2010</v>
      </c>
      <c r="J675" t="str">
        <f>Table2[[#This Row],[file_name]]&amp;".mp3"</f>
        <v>394g.mid.mp3</v>
      </c>
      <c r="M675">
        <v>678</v>
      </c>
      <c r="N675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--song="Tell Me the Story (8.7.8.7.8.7.8.7.)" --artist="Ira D. Sankey" --comment="" --album="Green Book" --track="394" 394g.mid.mp3</v>
      </c>
      <c r="P675" s="4" t="e">
        <f>VLOOKUP(Table2[[#This Row],[mp3_file]],Table3[#All],3,FALSE)</f>
        <v>#N/A</v>
      </c>
    </row>
    <row r="676" spans="1:16" x14ac:dyDescent="0.3">
      <c r="A676">
        <v>66</v>
      </c>
      <c r="B676" t="s">
        <v>1108</v>
      </c>
      <c r="C676" t="s">
        <v>360</v>
      </c>
      <c r="D676" s="7">
        <f>IFERROR(VLOOKUP(Table2[[#This Row],[tune_meter]],Table1[#All],3,FALSE),"NONE")</f>
        <v>32</v>
      </c>
      <c r="F676" t="s">
        <v>459</v>
      </c>
      <c r="G676" t="str">
        <f>IF(Table2[[#This Row],[tune_book]]="LFTBs","Red Book","Green Book")</f>
        <v>Red Book</v>
      </c>
      <c r="H676" t="s">
        <v>1109</v>
      </c>
      <c r="I676" t="s">
        <v>1110</v>
      </c>
      <c r="J676" t="str">
        <f>Table2[[#This Row],[file_name]]&amp;".mp3"</f>
        <v>66r.mid.mp3</v>
      </c>
      <c r="M676">
        <v>299</v>
      </c>
      <c r="N67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--song="Tempestas (6.4.6.4.6.4.6.4.)" --artist="Thomas Langton" --comment="" --album="Red Book" --track="66" 66r.mid.mp3</v>
      </c>
      <c r="P676" s="4" t="e">
        <f ca="1">VLOOKUP(Table2[[#This Row],[mp3_file]],Table3[#All],3,FALSE)</f>
        <v>#NAME?</v>
      </c>
    </row>
    <row r="677" spans="1:16" x14ac:dyDescent="0.3">
      <c r="A677">
        <v>290</v>
      </c>
      <c r="B677" t="s">
        <v>1111</v>
      </c>
      <c r="C677" t="s">
        <v>473</v>
      </c>
      <c r="D677" s="7">
        <f>IFERROR(VLOOKUP(Table2[[#This Row],[tune_meter]],Table1[#All],3,FALSE),"NONE")</f>
        <v>48</v>
      </c>
      <c r="F677" t="s">
        <v>459</v>
      </c>
      <c r="G677" t="str">
        <f>IF(Table2[[#This Row],[tune_book]]="LFTBs","Red Book","Green Book")</f>
        <v>Red Book</v>
      </c>
      <c r="H677" t="s">
        <v>670</v>
      </c>
      <c r="I677" t="s">
        <v>1112</v>
      </c>
      <c r="J677" t="str">
        <f>Table2[[#This Row],[file_name]]&amp;".mp3"</f>
        <v>290r.mid.mp3</v>
      </c>
      <c r="M677">
        <v>300</v>
      </c>
      <c r="N67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--song="Tence (12.13.12.10.)" --artist="John F. Harvey" --comment="" --album="Red Book" --track="290" 290r.mid.mp3</v>
      </c>
      <c r="P677" s="4" t="e">
        <f ca="1">VLOOKUP(Table2[[#This Row],[mp3_file]],Table3[#All],3,FALSE)</f>
        <v>#NAME?</v>
      </c>
    </row>
    <row r="678" spans="1:16" x14ac:dyDescent="0.3">
      <c r="A678">
        <v>193</v>
      </c>
      <c r="B678" t="s">
        <v>1876</v>
      </c>
      <c r="C678" t="s">
        <v>463</v>
      </c>
      <c r="D678" s="7">
        <f>IFERROR(VLOOKUP(Table2[[#This Row],[tune_meter]],Table1[#All],3,FALSE),"NONE")</f>
        <v>90</v>
      </c>
      <c r="F678" t="s">
        <v>324</v>
      </c>
      <c r="G678" t="str">
        <f>IF(Table2[[#This Row],[tune_book]]="LFTBs","Red Book","Green Book")</f>
        <v>Green Book</v>
      </c>
      <c r="H678" t="s">
        <v>541</v>
      </c>
      <c r="I678" t="s">
        <v>1877</v>
      </c>
      <c r="J678" t="str">
        <f>Table2[[#This Row],[file_name]]&amp;".mp3"</f>
        <v>193g.mid.mp3</v>
      </c>
      <c r="M678">
        <v>620</v>
      </c>
      <c r="N67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Blessed Home (6.6.6.6.6.6.6.6.)" --artist="Sir John Stainer" --comment="" --album="Green Book" --track="193" 193g.mid.mp3</v>
      </c>
      <c r="P678" s="4" t="e">
        <f ca="1">VLOOKUP(Table2[[#This Row],[mp3_file]],Table3[#All],3,FALSE)</f>
        <v>#NAME?</v>
      </c>
    </row>
    <row r="679" spans="1:16" x14ac:dyDescent="0.3">
      <c r="A679">
        <v>466</v>
      </c>
      <c r="B679" t="s">
        <v>2913</v>
      </c>
      <c r="C679" t="s">
        <v>373</v>
      </c>
      <c r="D679" s="7">
        <f>IFERROR(VLOOKUP(Table2[[#This Row],[tune_meter]],Table1[#All],3,FALSE),"NONE")</f>
        <v>87</v>
      </c>
      <c r="F679" t="s">
        <v>324</v>
      </c>
      <c r="G679" t="str">
        <f>IF(Table2[[#This Row],[tune_book]]="LFTBs","Red Book","Green Book")</f>
        <v>Green Book</v>
      </c>
      <c r="H679" t="s">
        <v>443</v>
      </c>
      <c r="I679" t="s">
        <v>444</v>
      </c>
      <c r="J679" t="str">
        <f>Table2[[#This Row],[file_name]]&amp;".mp3"</f>
        <v>466g.mid.mp3</v>
      </c>
      <c r="M679">
        <v>39</v>
      </c>
      <c r="N67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Blessed Rest (10.10.10.2.)" --artist="Sir Joseph Barnby" --comment="" --album="Green Book" --track="466" 466g.mid.mp3</v>
      </c>
      <c r="P679" s="4" t="e">
        <f ca="1">VLOOKUP(Table2[[#This Row],[mp3_file]],Table3[#All],3,FALSE)</f>
        <v>#NAME?</v>
      </c>
    </row>
    <row r="680" spans="1:16" x14ac:dyDescent="0.3">
      <c r="A680">
        <v>300</v>
      </c>
      <c r="B680" t="s">
        <v>1562</v>
      </c>
      <c r="C680" t="s">
        <v>781</v>
      </c>
      <c r="D680" s="7">
        <f>IFERROR(VLOOKUP(Table2[[#This Row],[tune_meter]],Table1[#All],3,FALSE),"NONE")</f>
        <v>37</v>
      </c>
      <c r="F680" t="s">
        <v>324</v>
      </c>
      <c r="G680" t="str">
        <f>IF(Table2[[#This Row],[tune_book]]="LFTBs","Red Book","Green Book")</f>
        <v>Green Book</v>
      </c>
      <c r="H680" t="s">
        <v>1563</v>
      </c>
      <c r="I680" t="s">
        <v>1564</v>
      </c>
      <c r="J680" t="str">
        <f>Table2[[#This Row],[file_name]]&amp;".mp3"</f>
        <v>300g.mid.mp3</v>
      </c>
      <c r="M680">
        <v>488</v>
      </c>
      <c r="N68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Bride (8.5.8.5.8.5.8.5.)" --artist="J. Revell" --comment="" --album="Green Book" --track="300" 300g.mid.mp3</v>
      </c>
      <c r="P680" s="4" t="e">
        <f ca="1">VLOOKUP(Table2[[#This Row],[mp3_file]],Table3[#All],3,FALSE)</f>
        <v>#NAME?</v>
      </c>
    </row>
    <row r="681" spans="1:16" x14ac:dyDescent="0.3">
      <c r="A681">
        <v>543</v>
      </c>
      <c r="B681" t="s">
        <v>2168</v>
      </c>
      <c r="C681" t="s">
        <v>509</v>
      </c>
      <c r="D681" s="7">
        <f>IFERROR(VLOOKUP(Table2[[#This Row],[tune_meter]],Table1[#All],3,FALSE),"NONE")</f>
        <v>64</v>
      </c>
      <c r="F681" t="s">
        <v>324</v>
      </c>
      <c r="G681" t="str">
        <f>IF(Table2[[#This Row],[tune_book]]="LFTBs","Red Book","Green Book")</f>
        <v>Green Book</v>
      </c>
      <c r="H681" t="s">
        <v>2723</v>
      </c>
      <c r="I681" t="s">
        <v>2169</v>
      </c>
      <c r="J681" t="str">
        <f>Table2[[#This Row],[file_name]]&amp;".mp3"</f>
        <v>543g.mid.mp3</v>
      </c>
      <c r="K681">
        <v>1916</v>
      </c>
      <c r="M681">
        <v>752</v>
      </c>
      <c r="N68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Coming King (11.11.11.11. Trochaic)" --artist="C. T. Lambert" --comment="" --album="Green Book" --track="543" 543g.mid.mp3</v>
      </c>
      <c r="P681" s="4" t="e">
        <f ca="1">VLOOKUP(Table2[[#This Row],[mp3_file]],Table3[#All],3,FALSE)</f>
        <v>#NAME?</v>
      </c>
    </row>
    <row r="682" spans="1:16" x14ac:dyDescent="0.3">
      <c r="A682">
        <v>72</v>
      </c>
      <c r="B682" t="s">
        <v>1206</v>
      </c>
      <c r="C682" t="s">
        <v>486</v>
      </c>
      <c r="D682" s="7">
        <f>IFERROR(VLOOKUP(Table2[[#This Row],[tune_meter]],Table1[#All],3,FALSE),"NONE")</f>
        <v>19</v>
      </c>
      <c r="F682" t="s">
        <v>324</v>
      </c>
      <c r="G682" t="str">
        <f>IF(Table2[[#This Row],[tune_book]]="LFTBs","Red Book","Green Book")</f>
        <v>Green Book</v>
      </c>
      <c r="H682" t="s">
        <v>1207</v>
      </c>
      <c r="I682" t="s">
        <v>1208</v>
      </c>
      <c r="J682" t="str">
        <f>Table2[[#This Row],[file_name]]&amp;".mp3"</f>
        <v>72g.mid.mp3</v>
      </c>
      <c r="M682">
        <v>337</v>
      </c>
      <c r="N68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Cross (C.M.)" --artist="From Mendelssohn" --comment="" --album="Green Book" --track="72" 72g.mid.mp3</v>
      </c>
      <c r="P682" s="4" t="e">
        <f ca="1">VLOOKUP(Table2[[#This Row],[mp3_file]],Table3[#All],3,FALSE)</f>
        <v>#NAME?</v>
      </c>
    </row>
    <row r="683" spans="1:16" x14ac:dyDescent="0.3">
      <c r="A683">
        <v>260</v>
      </c>
      <c r="B683" t="s">
        <v>1529</v>
      </c>
      <c r="C683" t="s">
        <v>467</v>
      </c>
      <c r="D683" s="7">
        <f>IFERROR(VLOOKUP(Table2[[#This Row],[tune_meter]],Table1[#All],3,FALSE),"NONE")</f>
        <v>34</v>
      </c>
      <c r="F683" t="s">
        <v>324</v>
      </c>
      <c r="G683" t="str">
        <f>IF(Table2[[#This Row],[tune_book]]="LFTBs","Red Book","Green Book")</f>
        <v>Green Book</v>
      </c>
      <c r="H683" t="s">
        <v>348</v>
      </c>
      <c r="I683" t="s">
        <v>1530</v>
      </c>
      <c r="J683" t="str">
        <f>Table2[[#This Row],[file_name]]&amp;".mp3"</f>
        <v>260g.mid.mp3</v>
      </c>
      <c r="M683">
        <v>474</v>
      </c>
      <c r="N68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Cross of Jesus (7.6.7.6.7.6.7.6.)" --artist="Ira D. Sankey" --comment="" --album="Green Book" --track="260" 260g.mid.mp3</v>
      </c>
      <c r="P683" s="4" t="e">
        <f ca="1">VLOOKUP(Table2[[#This Row],[mp3_file]],Table3[#All],3,FALSE)</f>
        <v>#NAME?</v>
      </c>
    </row>
    <row r="684" spans="1:16" x14ac:dyDescent="0.3">
      <c r="A684">
        <v>261</v>
      </c>
      <c r="B684" t="s">
        <v>1531</v>
      </c>
      <c r="C684" t="s">
        <v>467</v>
      </c>
      <c r="D684" s="7">
        <f>IFERROR(VLOOKUP(Table2[[#This Row],[tune_meter]],Table1[#All],3,FALSE),"NONE")</f>
        <v>34</v>
      </c>
      <c r="F684" t="s">
        <v>324</v>
      </c>
      <c r="G684" t="str">
        <f>IF(Table2[[#This Row],[tune_book]]="LFTBs","Red Book","Green Book")</f>
        <v>Green Book</v>
      </c>
      <c r="H684" t="s">
        <v>1532</v>
      </c>
      <c r="I684" t="s">
        <v>1533</v>
      </c>
      <c r="J684" t="str">
        <f>Table2[[#This Row],[file_name]]&amp;".mp3"</f>
        <v>261g.mid.mp3</v>
      </c>
      <c r="M684">
        <v>475</v>
      </c>
      <c r="N68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Glory Shines (7.6.7.6.7.6.7.6.)" --artist="Miss. S.M. Walker" --comment="" --album="Green Book" --track="261" 261g.mid.mp3</v>
      </c>
      <c r="P684" s="4" t="e">
        <f ca="1">VLOOKUP(Table2[[#This Row],[mp3_file]],Table3[#All],3,FALSE)</f>
        <v>#NAME?</v>
      </c>
    </row>
    <row r="685" spans="1:16" x14ac:dyDescent="0.3">
      <c r="A685">
        <v>204</v>
      </c>
      <c r="B685" t="s">
        <v>1493</v>
      </c>
      <c r="C685" t="s">
        <v>540</v>
      </c>
      <c r="D685" s="7">
        <f>IFERROR(VLOOKUP(Table2[[#This Row],[tune_meter]],Table1[#All],3,FALSE),"NONE")</f>
        <v>51</v>
      </c>
      <c r="F685" t="s">
        <v>324</v>
      </c>
      <c r="G685" t="str">
        <f>IF(Table2[[#This Row],[tune_book]]="LFTBs","Red Book","Green Book")</f>
        <v>Green Book</v>
      </c>
      <c r="H685" t="s">
        <v>1415</v>
      </c>
      <c r="I685" t="s">
        <v>1494</v>
      </c>
      <c r="J685" t="str">
        <f>Table2[[#This Row],[file_name]]&amp;".mp3"</f>
        <v>204g.mid.mp3</v>
      </c>
      <c r="M685">
        <v>458</v>
      </c>
      <c r="N68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Gospel of Thy Grace (6.6.6.6.8.8.)" --artist="J. McGranahan" --comment="" --album="Green Book" --track="204" 204g.mid.mp3</v>
      </c>
      <c r="P685" s="4" t="e">
        <f ca="1">VLOOKUP(Table2[[#This Row],[mp3_file]],Table3[#All],3,FALSE)</f>
        <v>#NAME?</v>
      </c>
    </row>
    <row r="686" spans="1:16" x14ac:dyDescent="0.3">
      <c r="A686">
        <v>191</v>
      </c>
      <c r="B686" t="s">
        <v>1113</v>
      </c>
      <c r="C686" t="s">
        <v>1114</v>
      </c>
      <c r="D686" s="7">
        <f>IFERROR(VLOOKUP(Table2[[#This Row],[tune_meter]],Table1[#All],3,FALSE),"NONE")</f>
        <v>66</v>
      </c>
      <c r="F686" t="s">
        <v>459</v>
      </c>
      <c r="G686" t="str">
        <f>IF(Table2[[#This Row],[tune_book]]="LFTBs","Red Book","Green Book")</f>
        <v>Red Book</v>
      </c>
      <c r="H686" t="s">
        <v>381</v>
      </c>
      <c r="I686" t="s">
        <v>1115</v>
      </c>
      <c r="J686" t="str">
        <f>Table2[[#This Row],[file_name]]&amp;".mp3"</f>
        <v>191r.mid.mp3</v>
      </c>
      <c r="M686">
        <v>301</v>
      </c>
      <c r="N68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Hebrew Bondman (8.7.8.7.8.7.8.7. Iambic)" --artist="P.P. Bliss" --comment="" --album="Red Book" --track="191" 191r.mid.mp3</v>
      </c>
      <c r="P686" s="4" t="e">
        <f ca="1">VLOOKUP(Table2[[#This Row],[mp3_file]],Table3[#All],3,FALSE)</f>
        <v>#NAME?</v>
      </c>
    </row>
    <row r="687" spans="1:16" x14ac:dyDescent="0.3">
      <c r="A687">
        <v>85</v>
      </c>
      <c r="B687" t="s">
        <v>1680</v>
      </c>
      <c r="C687" t="s">
        <v>578</v>
      </c>
      <c r="D687" s="7">
        <f>IFERROR(VLOOKUP(Table2[[#This Row],[tune_meter]],Table1[#All],3,FALSE),"NONE")</f>
        <v>61</v>
      </c>
      <c r="F687" t="s">
        <v>324</v>
      </c>
      <c r="G687" t="str">
        <f>IF(Table2[[#This Row],[tune_book]]="LFTBs","Red Book","Green Book")</f>
        <v>Green Book</v>
      </c>
      <c r="H687" t="s">
        <v>1681</v>
      </c>
      <c r="I687" t="s">
        <v>1682</v>
      </c>
      <c r="J687" t="str">
        <f>Table2[[#This Row],[file_name]]&amp;".mp3"</f>
        <v>85g.mid.mp3</v>
      </c>
      <c r="M687">
        <v>539</v>
      </c>
      <c r="N68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Home (C.M.D.)" --artist="Miss S.N. Walker" --comment="" --album="Green Book" --track="85" 85g.mid.mp3</v>
      </c>
      <c r="P687" s="4" t="e">
        <f ca="1">VLOOKUP(Table2[[#This Row],[mp3_file]],Table3[#All],3,FALSE)</f>
        <v>#NAME?</v>
      </c>
    </row>
    <row r="688" spans="1:16" x14ac:dyDescent="0.3">
      <c r="A688">
        <v>508</v>
      </c>
      <c r="B688" t="s">
        <v>2137</v>
      </c>
      <c r="C688" t="s">
        <v>1729</v>
      </c>
      <c r="D688" s="7" t="str">
        <f>IFERROR(VLOOKUP(Table2[[#This Row],[tune_meter]],Table1[#All],3,FALSE),"NONE")</f>
        <v>NONE</v>
      </c>
      <c r="F688" t="s">
        <v>324</v>
      </c>
      <c r="G688" t="str">
        <f>IF(Table2[[#This Row],[tune_book]]="LFTBs","Red Book","Green Book")</f>
        <v>Green Book</v>
      </c>
      <c r="H688" t="s">
        <v>1310</v>
      </c>
      <c r="I688" t="s">
        <v>2138</v>
      </c>
      <c r="J688" t="str">
        <f>Table2[[#This Row],[file_name]]&amp;".mp3"</f>
        <v>508g.mid.mp3</v>
      </c>
      <c r="M688">
        <v>737</v>
      </c>
      <c r="N68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Master's Return (10.10.10.10.10.10.)" --artist="T. Willey" --comment="" --album="Green Book" --track="508" 508g.mid.mp3</v>
      </c>
      <c r="P688" s="4" t="e">
        <f ca="1">VLOOKUP(Table2[[#This Row],[mp3_file]],Table3[#All],3,FALSE)</f>
        <v>#NAME?</v>
      </c>
    </row>
    <row r="689" spans="1:16" x14ac:dyDescent="0.3">
      <c r="A689">
        <v>181</v>
      </c>
      <c r="B689" t="s">
        <v>445</v>
      </c>
      <c r="C689" t="s">
        <v>446</v>
      </c>
      <c r="D689" s="7">
        <f>IFERROR(VLOOKUP(Table2[[#This Row],[tune_meter]],Table1[#All],3,FALSE),"NONE")</f>
        <v>44</v>
      </c>
      <c r="F689" t="s">
        <v>324</v>
      </c>
      <c r="G689" t="str">
        <f>IF(Table2[[#This Row],[tune_book]]="LFTBs","Red Book","Green Book")</f>
        <v>Green Book</v>
      </c>
      <c r="H689" t="s">
        <v>447</v>
      </c>
      <c r="I689" t="s">
        <v>448</v>
      </c>
      <c r="J689" t="str">
        <f>Table2[[#This Row],[file_name]]&amp;".mp3"</f>
        <v>181g.mid.mp3</v>
      </c>
      <c r="M689">
        <v>40</v>
      </c>
      <c r="N68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Path Divine (Camacha) (6.4.6.4.6.6.6.4.)" --artist="B. Mansell Ramsey" --comment="" --album="Green Book" --track="181" 181g.mid.mp3</v>
      </c>
      <c r="P689" s="4" t="e">
        <f ca="1">VLOOKUP(Table2[[#This Row],[mp3_file]],Table3[#All],3,FALSE)</f>
        <v>#NAME?</v>
      </c>
    </row>
    <row r="690" spans="1:16" x14ac:dyDescent="0.3">
      <c r="A690">
        <v>132</v>
      </c>
      <c r="B690" t="s">
        <v>1116</v>
      </c>
      <c r="C690" t="s">
        <v>781</v>
      </c>
      <c r="D690" s="7">
        <f>IFERROR(VLOOKUP(Table2[[#This Row],[tune_meter]],Table1[#All],3,FALSE),"NONE")</f>
        <v>37</v>
      </c>
      <c r="F690" t="s">
        <v>459</v>
      </c>
      <c r="G690" t="str">
        <f>IF(Table2[[#This Row],[tune_book]]="LFTBs","Red Book","Green Book")</f>
        <v>Red Book</v>
      </c>
      <c r="H690" t="s">
        <v>1117</v>
      </c>
      <c r="I690" t="s">
        <v>1118</v>
      </c>
      <c r="J690" t="str">
        <f>Table2[[#This Row],[file_name]]&amp;".mp3"</f>
        <v>132r.mid.mp3</v>
      </c>
      <c r="M690">
        <v>302</v>
      </c>
      <c r="N69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Pleading Voice (8.5.8.5.8.5.8.5.)" --artist="Mrs. Clara H. Scott" --comment="" --album="Red Book" --track="132" 132r.mid.mp3</v>
      </c>
      <c r="P690" s="4" t="e">
        <f ca="1">VLOOKUP(Table2[[#This Row],[mp3_file]],Table3[#All],3,FALSE)</f>
        <v>#NAME?</v>
      </c>
    </row>
    <row r="691" spans="1:16" x14ac:dyDescent="0.3">
      <c r="A691">
        <v>150</v>
      </c>
      <c r="B691" t="s">
        <v>1119</v>
      </c>
      <c r="C691" t="s">
        <v>1120</v>
      </c>
      <c r="D691" s="7">
        <f>IFERROR(VLOOKUP(Table2[[#This Row],[tune_meter]],Table1[#All],3,FALSE),"NONE")</f>
        <v>95</v>
      </c>
      <c r="F691" t="s">
        <v>459</v>
      </c>
      <c r="G691" t="str">
        <f>IF(Table2[[#This Row],[tune_book]]="LFTBs","Red Book","Green Book")</f>
        <v>Red Book</v>
      </c>
      <c r="H691" t="s">
        <v>1121</v>
      </c>
      <c r="I691" t="s">
        <v>1122</v>
      </c>
      <c r="J691" t="str">
        <f>Table2[[#This Row],[file_name]]&amp;".mp3"</f>
        <v>150r.mid.mp3</v>
      </c>
      <c r="M691">
        <v>303</v>
      </c>
      <c r="N69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Saviour's Praise (8.7.8.5.)" --artist="J.R." --comment="" --album="Red Book" --track="150" 150r.mid.mp3</v>
      </c>
      <c r="P691" s="4" t="e">
        <f ca="1">VLOOKUP(Table2[[#This Row],[mp3_file]],Table3[#All],3,FALSE)</f>
        <v>#NAME?</v>
      </c>
    </row>
    <row r="692" spans="1:16" x14ac:dyDescent="0.3">
      <c r="A692">
        <v>501</v>
      </c>
      <c r="B692" t="s">
        <v>1723</v>
      </c>
      <c r="C692" t="s">
        <v>582</v>
      </c>
      <c r="D692" s="7">
        <f>IFERROR(VLOOKUP(Table2[[#This Row],[tune_meter]],Table1[#All],3,FALSE),"NONE")</f>
        <v>21</v>
      </c>
      <c r="F692" t="s">
        <v>324</v>
      </c>
      <c r="G692" t="str">
        <f>IF(Table2[[#This Row],[tune_book]]="LFTBs","Red Book","Green Book")</f>
        <v>Green Book</v>
      </c>
      <c r="H692" t="s">
        <v>351</v>
      </c>
      <c r="I692" t="s">
        <v>1724</v>
      </c>
      <c r="J692" t="str">
        <f>Table2[[#This Row],[file_name]]&amp;".mp3"</f>
        <v>501g.mid.mp3</v>
      </c>
      <c r="M692">
        <v>558</v>
      </c>
      <c r="N69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Shadow of His Wings (10.10.10.10.)" --artist="C. Leflaive" --comment="" --album="Green Book" --track="501" 501g.mid.mp3</v>
      </c>
      <c r="P692" s="4" t="e">
        <f ca="1">VLOOKUP(Table2[[#This Row],[mp3_file]],Table3[#All],3,FALSE)</f>
        <v>#NAME?</v>
      </c>
    </row>
    <row r="693" spans="1:16" x14ac:dyDescent="0.3">
      <c r="A693">
        <v>514</v>
      </c>
      <c r="B693" t="s">
        <v>449</v>
      </c>
      <c r="C693" t="s">
        <v>380</v>
      </c>
      <c r="D693" s="7">
        <f>IFERROR(VLOOKUP(Table2[[#This Row],[tune_meter]],Table1[#All],3,FALSE),"NONE")</f>
        <v>71</v>
      </c>
      <c r="F693" t="s">
        <v>324</v>
      </c>
      <c r="G693" t="str">
        <f>IF(Table2[[#This Row],[tune_book]]="LFTBs","Red Book","Green Book")</f>
        <v>Green Book</v>
      </c>
      <c r="H693" t="s">
        <v>450</v>
      </c>
      <c r="I693" t="s">
        <v>451</v>
      </c>
      <c r="J693" t="str">
        <f>Table2[[#This Row],[file_name]]&amp;".mp3"</f>
        <v>514g.mid.mp3</v>
      </c>
      <c r="K693">
        <v>1916</v>
      </c>
      <c r="M693">
        <v>41</v>
      </c>
      <c r="N69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 Way of Peace (11.8.11.9.)" --artist="P. Aven" --comment="" --album="Green Book" --track="514" 514g.mid.mp3</v>
      </c>
      <c r="P693" s="4" t="e">
        <f ca="1">VLOOKUP(Table2[[#This Row],[mp3_file]],Table3[#All],3,FALSE)</f>
        <v>#NAME?</v>
      </c>
    </row>
    <row r="694" spans="1:16" x14ac:dyDescent="0.3">
      <c r="A694">
        <v>147</v>
      </c>
      <c r="B694" t="s">
        <v>1123</v>
      </c>
      <c r="C694" t="s">
        <v>483</v>
      </c>
      <c r="D694" s="7">
        <f>IFERROR(VLOOKUP(Table2[[#This Row],[tune_meter]],Table1[#All],3,FALSE),"NONE")</f>
        <v>55</v>
      </c>
      <c r="F694" t="s">
        <v>459</v>
      </c>
      <c r="G694" t="str">
        <f>IF(Table2[[#This Row],[tune_book]]="LFTBs","Red Book","Green Book")</f>
        <v>Red Book</v>
      </c>
      <c r="H694" t="s">
        <v>1124</v>
      </c>
      <c r="I694" t="s">
        <v>1125</v>
      </c>
      <c r="J694" t="str">
        <f>Table2[[#This Row],[file_name]]&amp;".mp3"</f>
        <v>147r.mid.mp3</v>
      </c>
      <c r="M694">
        <v>304</v>
      </c>
      <c r="N69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--song="Then Shall My Heart Keep Singing (8.6.8.6.8.8.)" --artist="W.A. Ogden" --comment="" --album="Red Book" --track="147" 147r.mid.mp3</v>
      </c>
      <c r="P694" s="4" t="e">
        <f ca="1">VLOOKUP(Table2[[#This Row],[mp3_file]],Table3[#All],3,FALSE)</f>
        <v>#NAME?</v>
      </c>
    </row>
    <row r="695" spans="1:16" x14ac:dyDescent="0.3">
      <c r="A695">
        <v>273</v>
      </c>
      <c r="B695" t="s">
        <v>2915</v>
      </c>
      <c r="C695" t="s">
        <v>786</v>
      </c>
      <c r="D695" s="7">
        <f>IFERROR(VLOOKUP(Table2[[#This Row],[tune_meter]],Table1[#All],3,FALSE),"NONE")</f>
        <v>29</v>
      </c>
      <c r="F695" t="s">
        <v>324</v>
      </c>
      <c r="G695" t="str">
        <f>IF(Table2[[#This Row],[tune_book]]="LFTBs","Red Book","Green Book")</f>
        <v>Green Book</v>
      </c>
      <c r="H695" t="s">
        <v>357</v>
      </c>
      <c r="I695" t="s">
        <v>1302</v>
      </c>
      <c r="J695" t="str">
        <f>Table2[[#This Row],[file_name]]&amp;".mp3"</f>
        <v>273g.mid.mp3</v>
      </c>
      <c r="M695">
        <v>375</v>
      </c>
      <c r="N69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--song="Theodora (Handel) (7.7.7.7.)" --artist="From Handel" --comment="" --album="Green Book" --track="273" 273g.mid.mp3</v>
      </c>
      <c r="P695" s="4" t="e">
        <f ca="1">VLOOKUP(Table2[[#This Row],[mp3_file]],Table3[#All],3,FALSE)</f>
        <v>#NAME?</v>
      </c>
    </row>
    <row r="696" spans="1:16" x14ac:dyDescent="0.3">
      <c r="A696">
        <v>167</v>
      </c>
      <c r="B696" t="s">
        <v>2914</v>
      </c>
      <c r="C696" t="s">
        <v>391</v>
      </c>
      <c r="D696" s="7">
        <f>IFERROR(VLOOKUP(Table2[[#This Row],[tune_meter]],Table1[#All],3,FALSE),"NONE")</f>
        <v>86</v>
      </c>
      <c r="F696" t="s">
        <v>324</v>
      </c>
      <c r="G696" t="str">
        <f>IF(Table2[[#This Row],[tune_book]]="LFTBs","Red Book","Green Book")</f>
        <v>Green Book</v>
      </c>
      <c r="H696" t="s">
        <v>452</v>
      </c>
      <c r="I696" t="s">
        <v>453</v>
      </c>
      <c r="J696" t="str">
        <f>Table2[[#This Row],[file_name]]&amp;".mp3"</f>
        <v>167g.mid.mp3</v>
      </c>
      <c r="M696">
        <v>42</v>
      </c>
      <c r="N69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--song="Theodora (Legge) (5.4.5.4.5.4.5.4.)" --artist="A. Legge" --comment="" --album="Green Book" --track="167" 167g.mid.mp3</v>
      </c>
      <c r="P696" s="4" t="e">
        <f ca="1">VLOOKUP(Table2[[#This Row],[mp3_file]],Table3[#All],3,FALSE)</f>
        <v>#NAME?</v>
      </c>
    </row>
    <row r="697" spans="1:16" x14ac:dyDescent="0.3">
      <c r="A697">
        <v>443</v>
      </c>
      <c r="B697" t="s">
        <v>2064</v>
      </c>
      <c r="C697" t="s">
        <v>641</v>
      </c>
      <c r="D697" s="7">
        <f>IFERROR(VLOOKUP(Table2[[#This Row],[tune_meter]],Table1[#All],3,FALSE),"NONE")</f>
        <v>46</v>
      </c>
      <c r="F697" t="s">
        <v>324</v>
      </c>
      <c r="G697" t="str">
        <f>IF(Table2[[#This Row],[tune_book]]="LFTBs","Red Book","Green Book")</f>
        <v>Green Book</v>
      </c>
      <c r="H697" t="s">
        <v>2723</v>
      </c>
      <c r="I697" t="s">
        <v>2065</v>
      </c>
      <c r="J697" t="str">
        <f>Table2[[#This Row],[file_name]]&amp;".mp3"</f>
        <v>443g.mid.mp3</v>
      </c>
      <c r="K697">
        <v>1925</v>
      </c>
      <c r="M697">
        <v>703</v>
      </c>
      <c r="N69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--song="There is Rest (8.8.11.8.)" --artist="C. T. Lambert" --comment="" --album="Green Book" --track="443" 443g.mid.mp3</v>
      </c>
      <c r="P697" s="4" t="e">
        <f ca="1">VLOOKUP(Table2[[#This Row],[mp3_file]],Table3[#All],3,FALSE)</f>
        <v>#NAME?</v>
      </c>
    </row>
    <row r="698" spans="1:16" x14ac:dyDescent="0.3">
      <c r="A698">
        <v>241</v>
      </c>
      <c r="B698" t="s">
        <v>1126</v>
      </c>
      <c r="C698" t="s">
        <v>688</v>
      </c>
      <c r="D698" s="7">
        <f>IFERROR(VLOOKUP(Table2[[#This Row],[tune_meter]],Table1[#All],3,FALSE),"NONE")</f>
        <v>69</v>
      </c>
      <c r="F698" t="s">
        <v>459</v>
      </c>
      <c r="G698" t="str">
        <f>IF(Table2[[#This Row],[tune_book]]="LFTBs","Red Book","Green Book")</f>
        <v>Red Book</v>
      </c>
      <c r="H698" t="s">
        <v>384</v>
      </c>
      <c r="I698" t="s">
        <v>1127</v>
      </c>
      <c r="J698" t="str">
        <f>Table2[[#This Row],[file_name]]&amp;".mp3"</f>
        <v>241r.mid.mp3</v>
      </c>
      <c r="M698">
        <v>305</v>
      </c>
      <c r="N69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--song="Thomas (9.9.6.6.6.4.)" --artist="E. Carren" --comment="" --album="Red Book" --track="241" 241r.mid.mp3</v>
      </c>
      <c r="P698" s="4" t="e">
        <f ca="1">VLOOKUP(Table2[[#This Row],[mp3_file]],Table3[#All],3,FALSE)</f>
        <v>#NAME?</v>
      </c>
    </row>
    <row r="699" spans="1:16" x14ac:dyDescent="0.3">
      <c r="A699">
        <v>346</v>
      </c>
      <c r="B699" t="s">
        <v>1973</v>
      </c>
      <c r="C699" t="s">
        <v>370</v>
      </c>
      <c r="D699" s="7">
        <f>IFERROR(VLOOKUP(Table2[[#This Row],[tune_meter]],Table1[#All],3,FALSE),"NONE")</f>
        <v>24</v>
      </c>
      <c r="F699" t="s">
        <v>324</v>
      </c>
      <c r="G699" t="str">
        <f>IF(Table2[[#This Row],[tune_book]]="LFTBs","Red Book","Green Book")</f>
        <v>Green Book</v>
      </c>
      <c r="H699" t="s">
        <v>1840</v>
      </c>
      <c r="I699" t="s">
        <v>1974</v>
      </c>
      <c r="J699" t="str">
        <f>Table2[[#This Row],[file_name]]&amp;".mp3"</f>
        <v>346g.mid.mp3</v>
      </c>
      <c r="K699">
        <v>1893</v>
      </c>
      <c r="M699">
        <v>661</v>
      </c>
      <c r="N69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6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--song="Thou Art Worthy (8.7.8.7.)" --artist="W. Pinsen" --comment="" --album="Green Book" --track="346" 346g.mid.mp3</v>
      </c>
      <c r="P699" s="4" t="e">
        <f ca="1">VLOOKUP(Table2[[#This Row],[mp3_file]],Table3[#All],3,FALSE)</f>
        <v>#NAME?</v>
      </c>
    </row>
    <row r="700" spans="1:16" x14ac:dyDescent="0.3">
      <c r="A700">
        <v>120</v>
      </c>
      <c r="B700" t="s">
        <v>1839</v>
      </c>
      <c r="C700" t="s">
        <v>516</v>
      </c>
      <c r="D700" s="7">
        <f>IFERROR(VLOOKUP(Table2[[#This Row],[tune_meter]],Table1[#All],3,FALSE),"NONE")</f>
        <v>16</v>
      </c>
      <c r="F700" t="s">
        <v>324</v>
      </c>
      <c r="G700" t="str">
        <f>IF(Table2[[#This Row],[tune_book]]="LFTBs","Red Book","Green Book")</f>
        <v>Green Book</v>
      </c>
      <c r="H700" t="s">
        <v>1840</v>
      </c>
      <c r="I700" t="s">
        <v>1841</v>
      </c>
      <c r="J700" t="str">
        <f>Table2[[#This Row],[file_name]]&amp;".mp3"</f>
        <v>120g.mid.mp3</v>
      </c>
      <c r="M700">
        <v>605</v>
      </c>
      <c r="N70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--song="Thou Remainest (L.M.)" --artist="W. Pinsen" --comment="" --album="Green Book" --track="120" 120g.mid.mp3</v>
      </c>
      <c r="P700" s="4" t="e">
        <f ca="1">VLOOKUP(Table2[[#This Row],[mp3_file]],Table3[#All],3,FALSE)</f>
        <v>#NAME?</v>
      </c>
    </row>
    <row r="701" spans="1:16" x14ac:dyDescent="0.3">
      <c r="A701">
        <v>282</v>
      </c>
      <c r="B701" t="s">
        <v>454</v>
      </c>
      <c r="C701" t="s">
        <v>400</v>
      </c>
      <c r="D701" s="7">
        <f>IFERROR(VLOOKUP(Table2[[#This Row],[tune_meter]],Table1[#All],3,FALSE),"NONE")</f>
        <v>88</v>
      </c>
      <c r="F701" t="s">
        <v>324</v>
      </c>
      <c r="G701" t="str">
        <f>IF(Table2[[#This Row],[tune_book]]="LFTBs","Red Book","Green Book")</f>
        <v>Green Book</v>
      </c>
      <c r="H701" t="s">
        <v>2916</v>
      </c>
      <c r="I701" t="s">
        <v>455</v>
      </c>
      <c r="J701" t="str">
        <f>Table2[[#This Row],[file_name]]&amp;".mp3"</f>
        <v>282g.mid.mp3</v>
      </c>
      <c r="K701">
        <v>1953</v>
      </c>
      <c r="M701">
        <v>43</v>
      </c>
      <c r="N70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--song="Timberscombe (7.7.7.8.)" --artist="F. C. P. Hart" --comment="" --album="Green Book" --track="282" 282g.mid.mp3</v>
      </c>
      <c r="P701" s="4" t="e">
        <f ca="1">VLOOKUP(Table2[[#This Row],[mp3_file]],Table3[#All],3,FALSE)</f>
        <v>#NAME?</v>
      </c>
    </row>
    <row r="702" spans="1:16" x14ac:dyDescent="0.3">
      <c r="A702">
        <v>195</v>
      </c>
      <c r="B702" t="s">
        <v>1128</v>
      </c>
      <c r="C702" t="s">
        <v>595</v>
      </c>
      <c r="D702" s="7">
        <f>IFERROR(VLOOKUP(Table2[[#This Row],[tune_meter]],Table1[#All],3,FALSE),"NONE")</f>
        <v>68</v>
      </c>
      <c r="F702" t="s">
        <v>459</v>
      </c>
      <c r="G702" t="str">
        <f>IF(Table2[[#This Row],[tune_book]]="LFTBs","Red Book","Green Book")</f>
        <v>Red Book</v>
      </c>
      <c r="H702" t="s">
        <v>464</v>
      </c>
      <c r="I702" t="s">
        <v>1129</v>
      </c>
      <c r="J702" t="str">
        <f>Table2[[#This Row],[file_name]]&amp;".mp3"</f>
        <v>195r.mid.mp3</v>
      </c>
      <c r="M702">
        <v>306</v>
      </c>
      <c r="N70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--song="Tiphsah (8.7.8.7.8.7.8.7.7.7.)" --artist="Miss E.C. Shanks" --comment="" --album="Red Book" --track="195" 195r.mid.mp3</v>
      </c>
      <c r="P702" s="4" t="e">
        <f ca="1">VLOOKUP(Table2[[#This Row],[mp3_file]],Table3[#All],3,FALSE)</f>
        <v>#NAME?</v>
      </c>
    </row>
    <row r="703" spans="1:16" x14ac:dyDescent="0.3">
      <c r="A703">
        <v>73</v>
      </c>
      <c r="B703" t="s">
        <v>1209</v>
      </c>
      <c r="C703" t="s">
        <v>486</v>
      </c>
      <c r="D703" s="7">
        <f>IFERROR(VLOOKUP(Table2[[#This Row],[tune_meter]],Table1[#All],3,FALSE),"NONE")</f>
        <v>19</v>
      </c>
      <c r="F703" t="s">
        <v>324</v>
      </c>
      <c r="G703" t="str">
        <f>IF(Table2[[#This Row],[tune_book]]="LFTBs","Red Book","Green Book")</f>
        <v>Green Book</v>
      </c>
      <c r="H703" t="s">
        <v>1210</v>
      </c>
      <c r="I703" t="s">
        <v>1211</v>
      </c>
      <c r="J703" t="str">
        <f>Table2[[#This Row],[file_name]]&amp;".mp3"</f>
        <v>73g.mid.mp3</v>
      </c>
      <c r="M703">
        <v>338</v>
      </c>
      <c r="N70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--song="Tiverton (C.M.)" --artist="J. Grigg" --comment="" --album="Green Book" --track="73" 73g.mid.mp3</v>
      </c>
      <c r="P703" s="4" t="e">
        <f ca="1">VLOOKUP(Table2[[#This Row],[mp3_file]],Table3[#All],3,FALSE)</f>
        <v>#NAME?</v>
      </c>
    </row>
    <row r="704" spans="1:16" x14ac:dyDescent="0.3">
      <c r="A704">
        <v>537</v>
      </c>
      <c r="B704" t="s">
        <v>1736</v>
      </c>
      <c r="C704" t="s">
        <v>669</v>
      </c>
      <c r="D704" s="7">
        <f>IFERROR(VLOOKUP(Table2[[#This Row],[tune_meter]],Table1[#All],3,FALSE),"NONE")</f>
        <v>31</v>
      </c>
      <c r="F704" t="s">
        <v>324</v>
      </c>
      <c r="G704" t="str">
        <f>IF(Table2[[#This Row],[tune_book]]="LFTBs","Red Book","Green Book")</f>
        <v>Green Book</v>
      </c>
      <c r="H704" t="s">
        <v>2784</v>
      </c>
      <c r="I704" t="s">
        <v>1737</v>
      </c>
      <c r="J704" t="str">
        <f>Table2[[#This Row],[file_name]]&amp;".mp3"</f>
        <v>537g.mid.mp3</v>
      </c>
      <c r="M704">
        <v>563</v>
      </c>
      <c r="N70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--song="To God Be the Glory (11.11.11.11.)" --artist="W. H. Doane" --comment="" --album="Green Book" --track="537" 537g.mid.mp3</v>
      </c>
      <c r="P704" s="4" t="e">
        <f ca="1">VLOOKUP(Table2[[#This Row],[mp3_file]],Table3[#All],3,FALSE)</f>
        <v>#NAME?</v>
      </c>
    </row>
    <row r="705" spans="1:16" x14ac:dyDescent="0.3">
      <c r="A705">
        <v>233</v>
      </c>
      <c r="B705" t="s">
        <v>1130</v>
      </c>
      <c r="C705" t="s">
        <v>492</v>
      </c>
      <c r="D705" s="7">
        <f>IFERROR(VLOOKUP(Table2[[#This Row],[tune_meter]],Table1[#All],3,FALSE),"NONE")</f>
        <v>35</v>
      </c>
      <c r="F705" t="s">
        <v>459</v>
      </c>
      <c r="G705" t="str">
        <f>IF(Table2[[#This Row],[tune_book]]="LFTBs","Red Book","Green Book")</f>
        <v>Red Book</v>
      </c>
      <c r="H705" t="s">
        <v>464</v>
      </c>
      <c r="I705" t="s">
        <v>1131</v>
      </c>
      <c r="J705" t="str">
        <f>Table2[[#This Row],[file_name]]&amp;".mp3"</f>
        <v>233r.mid.mp3</v>
      </c>
      <c r="M705">
        <v>307</v>
      </c>
      <c r="N70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--song="Tola (9.8.9.8.)" --artist="Miss E.C. Shanks" --comment="" --album="Red Book" --track="233" 233r.mid.mp3</v>
      </c>
      <c r="P705" s="4" t="e">
        <f ca="1">VLOOKUP(Table2[[#This Row],[mp3_file]],Table3[#All],3,FALSE)</f>
        <v>#NAME?</v>
      </c>
    </row>
    <row r="706" spans="1:16" x14ac:dyDescent="0.3">
      <c r="A706">
        <v>87</v>
      </c>
      <c r="B706" t="s">
        <v>1132</v>
      </c>
      <c r="C706" t="s">
        <v>540</v>
      </c>
      <c r="D706" s="7">
        <f>IFERROR(VLOOKUP(Table2[[#This Row],[tune_meter]],Table1[#All],3,FALSE),"NONE")</f>
        <v>51</v>
      </c>
      <c r="F706" t="s">
        <v>459</v>
      </c>
      <c r="G706" t="str">
        <f>IF(Table2[[#This Row],[tune_book]]="LFTBs","Red Book","Green Book")</f>
        <v>Red Book</v>
      </c>
      <c r="H706" t="s">
        <v>958</v>
      </c>
      <c r="I706" t="s">
        <v>1133</v>
      </c>
      <c r="J706" t="str">
        <f>Table2[[#This Row],[file_name]]&amp;".mp3"</f>
        <v>87r.mid.mp3</v>
      </c>
      <c r="K706" s="4">
        <v>1928</v>
      </c>
      <c r="M706">
        <v>308</v>
      </c>
      <c r="N70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--song="Torquay (6.6.6.6.8.8.)" --artist="A.B. Skeffington" --comment="" --album="Red Book" --track="87" 87r.mid.mp3</v>
      </c>
      <c r="P706" s="4" t="e">
        <f ca="1">VLOOKUP(Table2[[#This Row],[mp3_file]],Table3[#All],3,FALSE)</f>
        <v>#NAME?</v>
      </c>
    </row>
    <row r="707" spans="1:16" x14ac:dyDescent="0.3">
      <c r="A707">
        <v>74</v>
      </c>
      <c r="B707" t="s">
        <v>1212</v>
      </c>
      <c r="C707" t="s">
        <v>486</v>
      </c>
      <c r="D707" s="7">
        <f>IFERROR(VLOOKUP(Table2[[#This Row],[tune_meter]],Table1[#All],3,FALSE),"NONE")</f>
        <v>19</v>
      </c>
      <c r="F707" t="s">
        <v>324</v>
      </c>
      <c r="G707" t="str">
        <f>IF(Table2[[#This Row],[tune_book]]="LFTBs","Red Book","Green Book")</f>
        <v>Green Book</v>
      </c>
      <c r="H707" t="s">
        <v>1213</v>
      </c>
      <c r="I707" t="s">
        <v>1214</v>
      </c>
      <c r="J707" t="str">
        <f>Table2[[#This Row],[file_name]]&amp;".mp3"</f>
        <v>74g.mid.mp3</v>
      </c>
      <c r="M707">
        <v>339</v>
      </c>
      <c r="N70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--song="Tottenham (C.M.)" --artist="T. Greatorex" --comment="" --album="Green Book" --track="74" 74g.mid.mp3</v>
      </c>
      <c r="P707" s="4" t="e">
        <f ca="1">VLOOKUP(Table2[[#This Row],[mp3_file]],Table3[#All],3,FALSE)</f>
        <v>#NAME?</v>
      </c>
    </row>
    <row r="708" spans="1:16" x14ac:dyDescent="0.3">
      <c r="A708">
        <v>291</v>
      </c>
      <c r="B708" t="s">
        <v>1134</v>
      </c>
      <c r="C708" t="s">
        <v>473</v>
      </c>
      <c r="D708" s="7">
        <f>IFERROR(VLOOKUP(Table2[[#This Row],[tune_meter]],Table1[#All],3,FALSE),"NONE")</f>
        <v>48</v>
      </c>
      <c r="F708" t="s">
        <v>459</v>
      </c>
      <c r="G708" t="str">
        <f>IF(Table2[[#This Row],[tune_book]]="LFTBs","Red Book","Green Book")</f>
        <v>Red Book</v>
      </c>
      <c r="H708" t="s">
        <v>336</v>
      </c>
      <c r="I708" t="s">
        <v>1135</v>
      </c>
      <c r="J708" t="str">
        <f>Table2[[#This Row],[file_name]]&amp;".mp3"</f>
        <v>291r.mid.mp3</v>
      </c>
      <c r="M708">
        <v>309</v>
      </c>
      <c r="N70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--song="Totteridge (12.13.12.10.)" --artist="R.A. Evershead" --comment="" --album="Red Book" --track="291" 291r.mid.mp3</v>
      </c>
      <c r="P708" s="4" t="e">
        <f ca="1">VLOOKUP(Table2[[#This Row],[mp3_file]],Table3[#All],3,FALSE)</f>
        <v>#NAME?</v>
      </c>
    </row>
    <row r="709" spans="1:16" x14ac:dyDescent="0.3">
      <c r="A709">
        <v>155</v>
      </c>
      <c r="B709" t="s">
        <v>1259</v>
      </c>
      <c r="C709" t="s">
        <v>623</v>
      </c>
      <c r="D709" s="7">
        <f>IFERROR(VLOOKUP(Table2[[#This Row],[tune_meter]],Table1[#All],3,FALSE),"NONE")</f>
        <v>22</v>
      </c>
      <c r="F709" t="s">
        <v>324</v>
      </c>
      <c r="G709" t="str">
        <f>IF(Table2[[#This Row],[tune_book]]="LFTBs","Red Book","Green Book")</f>
        <v>Green Book</v>
      </c>
      <c r="H709" t="s">
        <v>1260</v>
      </c>
      <c r="I709" t="s">
        <v>1261</v>
      </c>
      <c r="J709" t="str">
        <f>Table2[[#This Row],[file_name]]&amp;".mp3"</f>
        <v>155g.mid.mp3</v>
      </c>
      <c r="M709">
        <v>357</v>
      </c>
      <c r="N70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--song="Trentham (S.M.)" --artist="R. Jackson" --comment="" --album="Green Book" --track="155" 155g.mid.mp3</v>
      </c>
      <c r="P709" s="4" t="e">
        <f ca="1">VLOOKUP(Table2[[#This Row],[mp3_file]],Table3[#All],3,FALSE)</f>
        <v>#NAME?</v>
      </c>
    </row>
    <row r="710" spans="1:16" x14ac:dyDescent="0.3">
      <c r="A710">
        <v>40</v>
      </c>
      <c r="B710" t="s">
        <v>1136</v>
      </c>
      <c r="C710" t="s">
        <v>516</v>
      </c>
      <c r="D710" s="7">
        <f>IFERROR(VLOOKUP(Table2[[#This Row],[tune_meter]],Table1[#All],3,FALSE),"NONE")</f>
        <v>16</v>
      </c>
      <c r="F710" t="s">
        <v>459</v>
      </c>
      <c r="G710" t="str">
        <f>IF(Table2[[#This Row],[tune_book]]="LFTBs","Red Book","Green Book")</f>
        <v>Red Book</v>
      </c>
      <c r="H710" t="s">
        <v>1137</v>
      </c>
      <c r="I710" t="s">
        <v>1138</v>
      </c>
      <c r="J710" t="str">
        <f>Table2[[#This Row],[file_name]]&amp;".mp3"</f>
        <v>40r.mid.mp3</v>
      </c>
      <c r="M710">
        <v>310</v>
      </c>
      <c r="N71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--song="Trenwood (L.M.)" --artist="D.J. Sims" --comment="" --album="Red Book" --track="40" 40r.mid.mp3</v>
      </c>
      <c r="P710" s="4" t="e">
        <f ca="1">VLOOKUP(Table2[[#This Row],[mp3_file]],Table3[#All],3,FALSE)</f>
        <v>#NAME?</v>
      </c>
    </row>
    <row r="711" spans="1:16" x14ac:dyDescent="0.3">
      <c r="A711">
        <v>503</v>
      </c>
      <c r="B711" t="s">
        <v>2134</v>
      </c>
      <c r="C711" t="s">
        <v>582</v>
      </c>
      <c r="D711" s="7">
        <f>IFERROR(VLOOKUP(Table2[[#This Row],[tune_meter]],Table1[#All],3,FALSE),"NONE")</f>
        <v>21</v>
      </c>
      <c r="F711" t="s">
        <v>324</v>
      </c>
      <c r="G711" t="str">
        <f>IF(Table2[[#This Row],[tune_book]]="LFTBs","Red Book","Green Book")</f>
        <v>Green Book</v>
      </c>
      <c r="H711" t="s">
        <v>2920</v>
      </c>
      <c r="I711" t="s">
        <v>2136</v>
      </c>
      <c r="J711" t="str">
        <f>Table2[[#This Row],[file_name]]&amp;".mp3"</f>
        <v>503g.mid.mp3</v>
      </c>
      <c r="M711">
        <v>736</v>
      </c>
      <c r="N71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--song="Trimley (10.10.10.10.)" --artist="From 'Geistliche Lieder'" --comment="" --album="Green Book" --track="503" 503g.mid.mp3</v>
      </c>
      <c r="P711" s="4" t="e">
        <f ca="1">VLOOKUP(Table2[[#This Row],[mp3_file]],Table3[#All],3,FALSE)</f>
        <v>#NAME?</v>
      </c>
    </row>
    <row r="712" spans="1:16" x14ac:dyDescent="0.3">
      <c r="A712">
        <v>548</v>
      </c>
      <c r="B712" t="s">
        <v>2173</v>
      </c>
      <c r="C712" t="s">
        <v>473</v>
      </c>
      <c r="D712" s="7">
        <f>IFERROR(VLOOKUP(Table2[[#This Row],[tune_meter]],Table1[#All],3,FALSE),"NONE")</f>
        <v>48</v>
      </c>
      <c r="F712" t="s">
        <v>324</v>
      </c>
      <c r="G712" t="str">
        <f>IF(Table2[[#This Row],[tune_book]]="LFTBs","Red Book","Green Book")</f>
        <v>Green Book</v>
      </c>
      <c r="H712" t="s">
        <v>2174</v>
      </c>
      <c r="I712" t="s">
        <v>2175</v>
      </c>
      <c r="J712" t="str">
        <f>Table2[[#This Row],[file_name]]&amp;".mp3"</f>
        <v>548g.mid.mp3</v>
      </c>
      <c r="M712">
        <v>755</v>
      </c>
      <c r="N71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--song="Trinity (12.13.12.10.)" --artist="A. Stone" --comment="" --album="Green Book" --track="548" 548g.mid.mp3</v>
      </c>
      <c r="P712" s="4" t="e">
        <f ca="1">VLOOKUP(Table2[[#This Row],[mp3_file]],Table3[#All],3,FALSE)</f>
        <v>#NAME?</v>
      </c>
    </row>
    <row r="713" spans="1:16" x14ac:dyDescent="0.3">
      <c r="A713">
        <v>364</v>
      </c>
      <c r="B713" t="s">
        <v>2921</v>
      </c>
      <c r="C713" t="s">
        <v>470</v>
      </c>
      <c r="D713" s="7">
        <f>IFERROR(VLOOKUP(Table2[[#This Row],[tune_meter]],Table1[#All],3,FALSE),"NONE")</f>
        <v>50</v>
      </c>
      <c r="F713" t="s">
        <v>324</v>
      </c>
      <c r="G713" t="str">
        <f>IF(Table2[[#This Row],[tune_book]]="LFTBs","Red Book","Green Book")</f>
        <v>Green Book</v>
      </c>
      <c r="H713" t="s">
        <v>1598</v>
      </c>
      <c r="I713" t="s">
        <v>1613</v>
      </c>
      <c r="J713" t="str">
        <f>Table2[[#This Row],[file_name]]&amp;".mp3"</f>
        <v>364g.mid.mp3</v>
      </c>
      <c r="M713">
        <v>509</v>
      </c>
      <c r="N71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--song="Triumph (Gauntlett) (8.7.8.7.4.7.)" --artist="Dr. H.J. Gauntlett" --comment="" --album="Green Book" --track="364" 364g.mid.mp3</v>
      </c>
      <c r="P713" s="4" t="e">
        <f ca="1">VLOOKUP(Table2[[#This Row],[mp3_file]],Table3[#All],3,FALSE)</f>
        <v>#NAME?</v>
      </c>
    </row>
    <row r="714" spans="1:16" x14ac:dyDescent="0.3">
      <c r="A714">
        <v>88</v>
      </c>
      <c r="B714" t="s">
        <v>2922</v>
      </c>
      <c r="C714" t="s">
        <v>540</v>
      </c>
      <c r="D714" s="7">
        <f>IFERROR(VLOOKUP(Table2[[#This Row],[tune_meter]],Table1[#All],3,FALSE),"NONE")</f>
        <v>51</v>
      </c>
      <c r="F714" t="s">
        <v>459</v>
      </c>
      <c r="G714" t="str">
        <f>IF(Table2[[#This Row],[tune_book]]="LFTBs","Red Book","Green Book")</f>
        <v>Red Book</v>
      </c>
      <c r="H714" t="s">
        <v>842</v>
      </c>
      <c r="I714" t="s">
        <v>1139</v>
      </c>
      <c r="J714" t="str">
        <f>Table2[[#This Row],[file_name]]&amp;".mp3"</f>
        <v>88r.mid.mp3</v>
      </c>
      <c r="M714">
        <v>311</v>
      </c>
      <c r="N71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--song="Triumph (Hope) (6.6.6.6.8.8.)" --artist="Walter R.F. Hope" --comment="" --album="Red Book" --track="88" 88r.mid.mp3</v>
      </c>
      <c r="P714" s="4" t="e">
        <f ca="1">VLOOKUP(Table2[[#This Row],[mp3_file]],Table3[#All],3,FALSE)</f>
        <v>#NAME?</v>
      </c>
    </row>
    <row r="715" spans="1:16" x14ac:dyDescent="0.3">
      <c r="A715">
        <v>278</v>
      </c>
      <c r="B715" t="s">
        <v>1928</v>
      </c>
      <c r="C715" t="s">
        <v>1929</v>
      </c>
      <c r="D715" s="7" t="str">
        <f>IFERROR(VLOOKUP(Table2[[#This Row],[tune_meter]],Table1[#All],3,FALSE),"NONE")</f>
        <v>NONE</v>
      </c>
      <c r="F715" t="s">
        <v>324</v>
      </c>
      <c r="G715" t="str">
        <f>IF(Table2[[#This Row],[tune_book]]="LFTBs","Red Book","Green Book")</f>
        <v>Green Book</v>
      </c>
      <c r="H715" t="s">
        <v>348</v>
      </c>
      <c r="I715" t="s">
        <v>1930</v>
      </c>
      <c r="J715" t="str">
        <f>Table2[[#This Row],[file_name]]&amp;".mp3"</f>
        <v>278g.mid.mp3</v>
      </c>
      <c r="M715">
        <v>643</v>
      </c>
      <c r="N71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--song="Trusting Jesus (7.7.7.7.7.7.7.7.)" --artist="Ira D. Sankey" --comment="" --album="Green Book" --track="278" 278g.mid.mp3</v>
      </c>
      <c r="P715" s="4" t="e">
        <f ca="1">VLOOKUP(Table2[[#This Row],[mp3_file]],Table3[#All],3,FALSE)</f>
        <v>#NAME?</v>
      </c>
    </row>
    <row r="716" spans="1:16" x14ac:dyDescent="0.3">
      <c r="A716">
        <v>73</v>
      </c>
      <c r="B716" t="s">
        <v>1140</v>
      </c>
      <c r="C716" t="s">
        <v>446</v>
      </c>
      <c r="D716" s="7">
        <f>IFERROR(VLOOKUP(Table2[[#This Row],[tune_meter]],Table1[#All],3,FALSE),"NONE")</f>
        <v>44</v>
      </c>
      <c r="F716" t="s">
        <v>459</v>
      </c>
      <c r="G716" t="str">
        <f>IF(Table2[[#This Row],[tune_book]]="LFTBs","Red Book","Green Book")</f>
        <v>Red Book</v>
      </c>
      <c r="H716" t="s">
        <v>364</v>
      </c>
      <c r="I716" t="s">
        <v>1141</v>
      </c>
      <c r="J716" t="str">
        <f>Table2[[#This Row],[file_name]]&amp;".mp3"</f>
        <v>73r.mid.mp3</v>
      </c>
      <c r="M716">
        <v>312</v>
      </c>
      <c r="N71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--song="Tryst (6.4.6.4.6.6.6.4.)" --artist="W.H. Doane" --comment="" --album="Red Book" --track="73" 73r.mid.mp3</v>
      </c>
      <c r="P716" s="4" t="e">
        <f ca="1">VLOOKUP(Table2[[#This Row],[mp3_file]],Table3[#All],3,FALSE)</f>
        <v>#NAME?</v>
      </c>
    </row>
    <row r="717" spans="1:16" x14ac:dyDescent="0.3">
      <c r="A717">
        <v>297</v>
      </c>
      <c r="B717" t="s">
        <v>1560</v>
      </c>
      <c r="C717" t="s">
        <v>744</v>
      </c>
      <c r="D717" s="7">
        <f>IFERROR(VLOOKUP(Table2[[#This Row],[tune_meter]],Table1[#All],3,FALSE),"NONE")</f>
        <v>56</v>
      </c>
      <c r="F717" t="s">
        <v>324</v>
      </c>
      <c r="G717" t="str">
        <f>IF(Table2[[#This Row],[tune_book]]="LFTBs","Red Book","Green Book")</f>
        <v>Green Book</v>
      </c>
      <c r="H717" t="s">
        <v>2739</v>
      </c>
      <c r="I717" t="s">
        <v>1561</v>
      </c>
      <c r="J717" t="str">
        <f>Table2[[#This Row],[file_name]]&amp;".mp3"</f>
        <v>297g.mid.mp3</v>
      </c>
      <c r="K717">
        <v>1952</v>
      </c>
      <c r="M717">
        <v>487</v>
      </c>
      <c r="N71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--song="Unbounded Love (8.5.8.5.)" --artist="F. H. Parkes" --comment="" --album="Green Book" --track="297" 297g.mid.mp3</v>
      </c>
      <c r="P717" s="4" t="e">
        <f ca="1">VLOOKUP(Table2[[#This Row],[mp3_file]],Table3[#All],3,FALSE)</f>
        <v>#NAME?</v>
      </c>
    </row>
    <row r="718" spans="1:16" x14ac:dyDescent="0.3">
      <c r="A718">
        <v>509</v>
      </c>
      <c r="B718" t="s">
        <v>2139</v>
      </c>
      <c r="C718" t="s">
        <v>1729</v>
      </c>
      <c r="D718" s="7" t="str">
        <f>IFERROR(VLOOKUP(Table2[[#This Row],[tune_meter]],Table1[#All],3,FALSE),"NONE")</f>
        <v>NONE</v>
      </c>
      <c r="F718" t="s">
        <v>324</v>
      </c>
      <c r="G718" t="str">
        <f>IF(Table2[[#This Row],[tune_book]]="LFTBs","Red Book","Green Book")</f>
        <v>Green Book</v>
      </c>
      <c r="H718" t="s">
        <v>2811</v>
      </c>
      <c r="I718" t="s">
        <v>2140</v>
      </c>
      <c r="J718" t="str">
        <f>Table2[[#This Row],[file_name]]&amp;".mp3"</f>
        <v>509g.mid.mp3</v>
      </c>
      <c r="M718">
        <v>738</v>
      </c>
      <c r="N71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--song="Unde Et Memores (10.10.10.10.10.10.)" --artist="Dr. W. H. Monk" --comment="" --album="Green Book" --track="509" 509g.mid.mp3</v>
      </c>
      <c r="P718" s="4" t="e">
        <f ca="1">VLOOKUP(Table2[[#This Row],[mp3_file]],Table3[#All],3,FALSE)</f>
        <v>#NAME?</v>
      </c>
    </row>
    <row r="719" spans="1:16" x14ac:dyDescent="0.3">
      <c r="A719">
        <v>502</v>
      </c>
      <c r="B719" t="s">
        <v>344</v>
      </c>
      <c r="C719" t="s">
        <v>582</v>
      </c>
      <c r="D719" s="7">
        <f>IFERROR(VLOOKUP(Table2[[#This Row],[tune_meter]],Table1[#All],3,FALSE),"NONE")</f>
        <v>21</v>
      </c>
      <c r="F719" t="s">
        <v>324</v>
      </c>
      <c r="G719" t="str">
        <f>IF(Table2[[#This Row],[tune_book]]="LFTBs","Red Book","Green Book")</f>
        <v>Green Book</v>
      </c>
      <c r="H719" t="s">
        <v>2132</v>
      </c>
      <c r="I719" t="s">
        <v>2133</v>
      </c>
      <c r="J719" t="str">
        <f>Table2[[#This Row],[file_name]]&amp;".mp3"</f>
        <v>502g.mid.mp3</v>
      </c>
      <c r="M719">
        <v>735</v>
      </c>
      <c r="N71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--song="Unknown (10.10.10.10.)" --artist="C. Goudimel" --comment="" --album="Green Book" --track="502" 502g.mid.mp3</v>
      </c>
      <c r="P719" s="4" t="e">
        <f ca="1">VLOOKUP(Table2[[#This Row],[mp3_file]],Table3[#All],3,FALSE)</f>
        <v>#NAME?</v>
      </c>
    </row>
    <row r="720" spans="1:16" x14ac:dyDescent="0.3">
      <c r="A720">
        <v>365</v>
      </c>
      <c r="B720" t="s">
        <v>1614</v>
      </c>
      <c r="C720" t="s">
        <v>470</v>
      </c>
      <c r="D720" s="7">
        <f>IFERROR(VLOOKUP(Table2[[#This Row],[tune_meter]],Table1[#All],3,FALSE),"NONE")</f>
        <v>50</v>
      </c>
      <c r="F720" t="s">
        <v>324</v>
      </c>
      <c r="G720" t="str">
        <f>IF(Table2[[#This Row],[tune_book]]="LFTBs","Red Book","Green Book")</f>
        <v>Green Book</v>
      </c>
      <c r="H720" t="s">
        <v>1387</v>
      </c>
      <c r="I720" t="s">
        <v>1615</v>
      </c>
      <c r="J720" t="str">
        <f>Table2[[#This Row],[file_name]]&amp;".mp3"</f>
        <v>365g.mid.mp3</v>
      </c>
      <c r="M720">
        <v>510</v>
      </c>
      <c r="N72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--song="Unser Herrscher (8.7.8.7.4.7.)" --artist="J. Neander" --comment="" --album="Green Book" --track="365" 365g.mid.mp3</v>
      </c>
      <c r="P720" s="4" t="e">
        <f ca="1">VLOOKUP(Table2[[#This Row],[mp3_file]],Table3[#All],3,FALSE)</f>
        <v>#NAME?</v>
      </c>
    </row>
    <row r="721" spans="1:16" x14ac:dyDescent="0.3">
      <c r="A721">
        <v>50</v>
      </c>
      <c r="B721" t="s">
        <v>1142</v>
      </c>
      <c r="C721" t="s">
        <v>623</v>
      </c>
      <c r="D721" s="7">
        <f>IFERROR(VLOOKUP(Table2[[#This Row],[tune_meter]],Table1[#All],3,FALSE),"NONE")</f>
        <v>22</v>
      </c>
      <c r="F721" t="s">
        <v>459</v>
      </c>
      <c r="G721" t="str">
        <f>IF(Table2[[#This Row],[tune_book]]="LFTBs","Red Book","Green Book")</f>
        <v>Red Book</v>
      </c>
      <c r="H721" t="s">
        <v>1143</v>
      </c>
      <c r="I721" t="s">
        <v>1144</v>
      </c>
      <c r="J721" t="str">
        <f>Table2[[#This Row],[file_name]]&amp;".mp3"</f>
        <v>50r.mid.mp3</v>
      </c>
      <c r="M721">
        <v>313</v>
      </c>
      <c r="N72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--song="Upward (S.M.)" --artist="Mrs. J.A. Lambert" --comment="" --album="Red Book" --track="50" 50r.mid.mp3</v>
      </c>
      <c r="P721" s="4" t="e">
        <f ca="1">VLOOKUP(Table2[[#This Row],[mp3_file]],Table3[#All],3,FALSE)</f>
        <v>#NAME?</v>
      </c>
    </row>
    <row r="722" spans="1:16" x14ac:dyDescent="0.3">
      <c r="A722">
        <v>258</v>
      </c>
      <c r="B722" t="s">
        <v>1145</v>
      </c>
      <c r="C722" t="s">
        <v>582</v>
      </c>
      <c r="D722" s="7">
        <f>IFERROR(VLOOKUP(Table2[[#This Row],[tune_meter]],Table1[#All],3,FALSE),"NONE")</f>
        <v>21</v>
      </c>
      <c r="F722" t="s">
        <v>459</v>
      </c>
      <c r="G722" t="str">
        <f>IF(Table2[[#This Row],[tune_book]]="LFTBs","Red Book","Green Book")</f>
        <v>Red Book</v>
      </c>
      <c r="H722" t="s">
        <v>1146</v>
      </c>
      <c r="I722" t="s">
        <v>1147</v>
      </c>
      <c r="J722" t="str">
        <f>Table2[[#This Row],[file_name]]&amp;".mp3"</f>
        <v>258r.mid.mp3</v>
      </c>
      <c r="M722">
        <v>314</v>
      </c>
      <c r="N72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--song="Valencia (10.10.10.10.)" --artist="Mrs. R.A. Arnot" --comment="" --album="Red Book" --track="258" 258r.mid.mp3</v>
      </c>
      <c r="P722" s="4" t="e">
        <f ca="1">VLOOKUP(Table2[[#This Row],[mp3_file]],Table3[#All],3,FALSE)</f>
        <v>#NAME?</v>
      </c>
    </row>
    <row r="723" spans="1:16" x14ac:dyDescent="0.3">
      <c r="A723">
        <v>216</v>
      </c>
      <c r="B723" t="s">
        <v>1148</v>
      </c>
      <c r="C723" t="s">
        <v>554</v>
      </c>
      <c r="D723" s="7">
        <f>IFERROR(VLOOKUP(Table2[[#This Row],[tune_meter]],Table1[#All],3,FALSE),"NONE")</f>
        <v>26</v>
      </c>
      <c r="F723" t="s">
        <v>459</v>
      </c>
      <c r="G723" t="str">
        <f>IF(Table2[[#This Row],[tune_book]]="LFTBs","Red Book","Green Book")</f>
        <v>Red Book</v>
      </c>
      <c r="H723" t="s">
        <v>1149</v>
      </c>
      <c r="I723" t="s">
        <v>1150</v>
      </c>
      <c r="J723" t="str">
        <f>Table2[[#This Row],[file_name]]&amp;".mp3"</f>
        <v>216r.mid.mp3</v>
      </c>
      <c r="M723">
        <v>315</v>
      </c>
      <c r="N72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--song="Valete (8.8.8.8.8.8.)" --artist="Sir Arthur S. Sullivan" --comment="" --album="Red Book" --track="216" 216r.mid.mp3</v>
      </c>
      <c r="P723" s="4" t="e">
        <f ca="1">VLOOKUP(Table2[[#This Row],[mp3_file]],Table3[#All],3,FALSE)</f>
        <v>#NAME?</v>
      </c>
    </row>
    <row r="724" spans="1:16" x14ac:dyDescent="0.3">
      <c r="A724">
        <v>247</v>
      </c>
      <c r="B724" t="s">
        <v>1151</v>
      </c>
      <c r="C724" t="s">
        <v>438</v>
      </c>
      <c r="D724" s="7">
        <f>IFERROR(VLOOKUP(Table2[[#This Row],[tune_meter]],Table1[#All],3,FALSE),"NONE")</f>
        <v>18</v>
      </c>
      <c r="F724" t="s">
        <v>459</v>
      </c>
      <c r="G724" t="str">
        <f>IF(Table2[[#This Row],[tune_book]]="LFTBs","Red Book","Green Book")</f>
        <v>Red Book</v>
      </c>
      <c r="H724" t="s">
        <v>344</v>
      </c>
      <c r="I724" t="s">
        <v>1152</v>
      </c>
      <c r="J724" t="str">
        <f>Table2[[#This Row],[file_name]]&amp;".mp3"</f>
        <v>247r.mid.mp3</v>
      </c>
      <c r="L724" t="s">
        <v>1153</v>
      </c>
      <c r="M724">
        <v>316</v>
      </c>
      <c r="N72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--song="Vater Der Herrlichkeit (10.10.4.10.10.4.)" --artist="Unknown" --comment="German Tunes (1952) No. 197" --album="Red Book" --track="247" 247r.mid.mp3</v>
      </c>
      <c r="P724" s="4" t="e">
        <f ca="1">VLOOKUP(Table2[[#This Row],[mp3_file]],Table3[#All],3,FALSE)</f>
        <v>#NAME?</v>
      </c>
    </row>
    <row r="725" spans="1:16" x14ac:dyDescent="0.3">
      <c r="A725">
        <v>157</v>
      </c>
      <c r="B725" t="s">
        <v>1262</v>
      </c>
      <c r="C725" t="s">
        <v>623</v>
      </c>
      <c r="D725" s="7">
        <f>IFERROR(VLOOKUP(Table2[[#This Row],[tune_meter]],Table1[#All],3,FALSE),"NONE")</f>
        <v>22</v>
      </c>
      <c r="F725" t="s">
        <v>324</v>
      </c>
      <c r="G725" t="str">
        <f>IF(Table2[[#This Row],[tune_book]]="LFTBs","Red Book","Green Book")</f>
        <v>Green Book</v>
      </c>
      <c r="H725" t="s">
        <v>1263</v>
      </c>
      <c r="I725" t="s">
        <v>1264</v>
      </c>
      <c r="J725" t="str">
        <f>Table2[[#This Row],[file_name]]&amp;".mp3"</f>
        <v>157g.mid.mp3</v>
      </c>
      <c r="M725">
        <v>358</v>
      </c>
      <c r="N72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--song="Venice (S.M.)" --artist="W. Amps" --comment="" --album="Green Book" --track="157" 157g.mid.mp3</v>
      </c>
      <c r="P725" s="4" t="e">
        <f ca="1">VLOOKUP(Table2[[#This Row],[mp3_file]],Table3[#All],3,FALSE)</f>
        <v>#NAME?</v>
      </c>
    </row>
    <row r="726" spans="1:16" x14ac:dyDescent="0.3">
      <c r="A726">
        <v>90</v>
      </c>
      <c r="B726" t="s">
        <v>1154</v>
      </c>
      <c r="C726" t="s">
        <v>707</v>
      </c>
      <c r="D726" s="7">
        <f>IFERROR(VLOOKUP(Table2[[#This Row],[tune_meter]],Table1[#All],3,FALSE),"NONE")</f>
        <v>42</v>
      </c>
      <c r="F726" t="s">
        <v>459</v>
      </c>
      <c r="G726" t="str">
        <f>IF(Table2[[#This Row],[tune_book]]="LFTBs","Red Book","Green Book")</f>
        <v>Red Book</v>
      </c>
      <c r="H726" t="s">
        <v>1155</v>
      </c>
      <c r="I726" t="s">
        <v>1156</v>
      </c>
      <c r="J726" t="str">
        <f>Table2[[#This Row],[file_name]]&amp;".mp3"</f>
        <v>90r.mid.mp3</v>
      </c>
      <c r="M726">
        <v>317</v>
      </c>
      <c r="N72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--song="Verbum Pacis (Lomas) (6.6.8.4.)" --artist="George Lomas" --comment="" --album="Red Book" --track="90" 90r.mid.mp3</v>
      </c>
      <c r="P726" s="4" t="e">
        <f ca="1">VLOOKUP(Table2[[#This Row],[mp3_file]],Table3[#All],3,FALSE)</f>
        <v>#NAME?</v>
      </c>
    </row>
    <row r="727" spans="1:16" x14ac:dyDescent="0.3">
      <c r="A727">
        <v>91</v>
      </c>
      <c r="B727" t="s">
        <v>1157</v>
      </c>
      <c r="C727" t="s">
        <v>707</v>
      </c>
      <c r="D727" s="7">
        <f>IFERROR(VLOOKUP(Table2[[#This Row],[tune_meter]],Table1[#All],3,FALSE),"NONE")</f>
        <v>42</v>
      </c>
      <c r="F727" t="s">
        <v>459</v>
      </c>
      <c r="G727" t="str">
        <f>IF(Table2[[#This Row],[tune_book]]="LFTBs","Red Book","Green Book")</f>
        <v>Red Book</v>
      </c>
      <c r="H727" t="s">
        <v>1158</v>
      </c>
      <c r="I727" t="s">
        <v>1159</v>
      </c>
      <c r="J727" t="str">
        <f>Table2[[#This Row],[file_name]]&amp;".mp3"</f>
        <v>91r.mid.mp3</v>
      </c>
      <c r="M727">
        <v>318</v>
      </c>
      <c r="N72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--song="Verbum Pacis (Monk) (6.6.8.4.)" --artist="Dr. W.H. Monk" --comment="" --album="Red Book" --track="91" 91r.mid.mp3</v>
      </c>
      <c r="P727" s="4" t="e">
        <f ca="1">VLOOKUP(Table2[[#This Row],[mp3_file]],Table3[#All],3,FALSE)</f>
        <v>#NAME?</v>
      </c>
    </row>
    <row r="728" spans="1:16" x14ac:dyDescent="0.3">
      <c r="A728">
        <v>294</v>
      </c>
      <c r="B728" t="s">
        <v>1949</v>
      </c>
      <c r="C728" t="s">
        <v>523</v>
      </c>
      <c r="D728" s="7">
        <f>IFERROR(VLOOKUP(Table2[[#This Row],[tune_meter]],Table1[#All],3,FALSE),"NONE")</f>
        <v>53</v>
      </c>
      <c r="F728" t="s">
        <v>324</v>
      </c>
      <c r="G728" t="str">
        <f>IF(Table2[[#This Row],[tune_book]]="LFTBs","Red Book","Green Book")</f>
        <v>Green Book</v>
      </c>
      <c r="H728" t="s">
        <v>633</v>
      </c>
      <c r="I728" t="s">
        <v>1950</v>
      </c>
      <c r="J728" t="str">
        <f>Table2[[#This Row],[file_name]]&amp;".mp3"</f>
        <v>294g.mid.mp3</v>
      </c>
      <c r="K728">
        <v>1900</v>
      </c>
      <c r="M728">
        <v>651</v>
      </c>
      <c r="N72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--song="Victor (8.5.8.3.)" --artist="Miss La Thangue" --comment="" --album="Green Book" --track="294" 294g.mid.mp3</v>
      </c>
      <c r="P728" s="4" t="e">
        <f ca="1">VLOOKUP(Table2[[#This Row],[mp3_file]],Table3[#All],3,FALSE)</f>
        <v>#NAME?</v>
      </c>
    </row>
    <row r="729" spans="1:16" x14ac:dyDescent="0.3">
      <c r="A729">
        <v>158</v>
      </c>
      <c r="B729" t="s">
        <v>2923</v>
      </c>
      <c r="C729" t="s">
        <v>623</v>
      </c>
      <c r="D729" s="7">
        <f>IFERROR(VLOOKUP(Table2[[#This Row],[tune_meter]],Table1[#All],3,FALSE),"NONE")</f>
        <v>22</v>
      </c>
      <c r="F729" t="s">
        <v>324</v>
      </c>
      <c r="G729" t="str">
        <f>IF(Table2[[#This Row],[tune_book]]="LFTBs","Red Book","Green Book")</f>
        <v>Green Book</v>
      </c>
      <c r="H729" t="s">
        <v>351</v>
      </c>
      <c r="I729" t="s">
        <v>1466</v>
      </c>
      <c r="J729" t="str">
        <f>Table2[[#This Row],[file_name]]&amp;".mp3"</f>
        <v>158g.mid.mp3</v>
      </c>
      <c r="M729">
        <v>446</v>
      </c>
      <c r="N72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--song="Victory (Leflaive) (S.M.)" --artist="C. Leflaive" --comment="" --album="Green Book" --track="158" 158g.mid.mp3</v>
      </c>
      <c r="P729" s="4" t="e">
        <f ca="1">VLOOKUP(Table2[[#This Row],[mp3_file]],Table3[#All],3,FALSE)</f>
        <v>#NAME?</v>
      </c>
    </row>
    <row r="730" spans="1:16" x14ac:dyDescent="0.3">
      <c r="A730">
        <v>551</v>
      </c>
      <c r="B730" t="s">
        <v>2924</v>
      </c>
      <c r="C730" t="s">
        <v>534</v>
      </c>
      <c r="D730" s="7">
        <f>IFERROR(VLOOKUP(Table2[[#This Row],[tune_meter]],Table1[#All],3,FALSE),"NONE")</f>
        <v>78</v>
      </c>
      <c r="F730" t="s">
        <v>324</v>
      </c>
      <c r="G730" t="str">
        <f>IF(Table2[[#This Row],[tune_book]]="LFTBs","Red Book","Green Book")</f>
        <v>Green Book</v>
      </c>
      <c r="H730" t="s">
        <v>1387</v>
      </c>
      <c r="I730" t="s">
        <v>1388</v>
      </c>
      <c r="J730" t="str">
        <f>Table2[[#This Row],[file_name]]&amp;".mp3"</f>
        <v>551g.mid.mp3</v>
      </c>
      <c r="M730">
        <v>412</v>
      </c>
      <c r="N73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--song="Victory (Neander) (14.14.4.7.8.)" --artist="J. Neander" --comment="" --album="Green Book" --track="551" 551g.mid.mp3</v>
      </c>
      <c r="P730" s="4" t="e">
        <f ca="1">VLOOKUP(Table2[[#This Row],[mp3_file]],Table3[#All],3,FALSE)</f>
        <v>#NAME?</v>
      </c>
    </row>
    <row r="731" spans="1:16" x14ac:dyDescent="0.3">
      <c r="A731">
        <v>273</v>
      </c>
      <c r="B731" t="s">
        <v>1160</v>
      </c>
      <c r="C731" t="s">
        <v>543</v>
      </c>
      <c r="D731" s="7">
        <f>IFERROR(VLOOKUP(Table2[[#This Row],[tune_meter]],Table1[#All],3,FALSE),"NONE")</f>
        <v>17</v>
      </c>
      <c r="F731" t="s">
        <v>459</v>
      </c>
      <c r="G731" t="str">
        <f>IF(Table2[[#This Row],[tune_book]]="LFTBs","Red Book","Green Book")</f>
        <v>Red Book</v>
      </c>
      <c r="H731" t="s">
        <v>1161</v>
      </c>
      <c r="I731" t="s">
        <v>1162</v>
      </c>
      <c r="J731" t="str">
        <f>Table2[[#This Row],[file_name]]&amp;".mp3"</f>
        <v>273r.mid.mp3</v>
      </c>
      <c r="M731">
        <v>319</v>
      </c>
      <c r="N73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--song="Vida Immortal (11.10.11.10. Dactylic)" --artist="Spanish Tune" --comment="" --album="Red Book" --track="273" 273r.mid.mp3</v>
      </c>
      <c r="P731" s="4" t="e">
        <f ca="1">VLOOKUP(Table2[[#This Row],[mp3_file]],Table3[#All],3,FALSE)</f>
        <v>#NAME?</v>
      </c>
    </row>
    <row r="732" spans="1:16" x14ac:dyDescent="0.3">
      <c r="A732">
        <v>86</v>
      </c>
      <c r="B732" t="s">
        <v>1829</v>
      </c>
      <c r="C732" t="s">
        <v>578</v>
      </c>
      <c r="D732" s="7">
        <f>IFERROR(VLOOKUP(Table2[[#This Row],[tune_meter]],Table1[#All],3,FALSE),"NONE")</f>
        <v>61</v>
      </c>
      <c r="F732" t="s">
        <v>324</v>
      </c>
      <c r="G732" t="str">
        <f>IF(Table2[[#This Row],[tune_book]]="LFTBs","Red Book","Green Book")</f>
        <v>Green Book</v>
      </c>
      <c r="H732" t="s">
        <v>2716</v>
      </c>
      <c r="I732" t="s">
        <v>1830</v>
      </c>
      <c r="J732" t="str">
        <f>Table2[[#This Row],[file_name]]&amp;".mp3"</f>
        <v>86g.mid.mp3</v>
      </c>
      <c r="M732">
        <v>601</v>
      </c>
      <c r="N73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--song="Vox Dilecti (C.M.D.)" --artist="Dr. J. B. Dykes" --comment="" --album="Green Book" --track="86" 86g.mid.mp3</v>
      </c>
      <c r="P732" s="4" t="e">
        <f ca="1">VLOOKUP(Table2[[#This Row],[mp3_file]],Table3[#All],3,FALSE)</f>
        <v>#NAME?</v>
      </c>
    </row>
    <row r="733" spans="1:16" x14ac:dyDescent="0.3">
      <c r="A733">
        <v>544</v>
      </c>
      <c r="B733" t="s">
        <v>2925</v>
      </c>
      <c r="C733" t="s">
        <v>912</v>
      </c>
      <c r="D733" s="7">
        <f>IFERROR(VLOOKUP(Table2[[#This Row],[tune_meter]],Table1[#All],3,FALSE),"NONE")</f>
        <v>33</v>
      </c>
      <c r="F733" t="s">
        <v>324</v>
      </c>
      <c r="G733" t="str">
        <f>IF(Table2[[#This Row],[tune_book]]="LFTBs","Red Book","Green Book")</f>
        <v>Green Book</v>
      </c>
      <c r="H733" t="s">
        <v>1455</v>
      </c>
      <c r="I733" t="s">
        <v>2170</v>
      </c>
      <c r="J733" t="str">
        <f>Table2[[#This Row],[file_name]]&amp;".mp3"</f>
        <v>544g.mid.mp3</v>
      </c>
      <c r="K733">
        <v>1938</v>
      </c>
      <c r="M733">
        <v>753</v>
      </c>
      <c r="N73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--song="Waiting and Watching (12.11.12.11.)" --artist="P. Blanche" --comment="" --album="Green Book" --track="544" 544g.mid.mp3</v>
      </c>
      <c r="P733" s="4" t="e">
        <f ca="1">VLOOKUP(Table2[[#This Row],[mp3_file]],Table3[#All],3,FALSE)</f>
        <v>#NAME?</v>
      </c>
    </row>
    <row r="734" spans="1:16" x14ac:dyDescent="0.3">
      <c r="A734">
        <v>395</v>
      </c>
      <c r="B734" t="s">
        <v>2011</v>
      </c>
      <c r="C734" t="s">
        <v>476</v>
      </c>
      <c r="D734" s="7">
        <f>IFERROR(VLOOKUP(Table2[[#This Row],[tune_meter]],Table1[#All],3,FALSE),"NONE")</f>
        <v>25</v>
      </c>
      <c r="F734" t="s">
        <v>324</v>
      </c>
      <c r="G734" t="str">
        <f>IF(Table2[[#This Row],[tune_book]]="LFTBs","Red Book","Green Book")</f>
        <v>Green Book</v>
      </c>
      <c r="H734" t="s">
        <v>1272</v>
      </c>
      <c r="I734" t="s">
        <v>2013</v>
      </c>
      <c r="J734" t="str">
        <f>Table2[[#This Row],[file_name]]&amp;".mp3"</f>
        <v>395g.mid.mp3</v>
      </c>
      <c r="M734">
        <v>679</v>
      </c>
      <c r="N73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--song="Waiting for the Morning (8.7.8.7.8.7.8.7.)" --artist="G. F. Root" --comment="" --album="Green Book" --track="395" 395g.mid.mp3</v>
      </c>
      <c r="P734" s="4" t="e">
        <f ca="1">VLOOKUP(Table2[[#This Row],[mp3_file]],Table3[#All],3,FALSE)</f>
        <v>#NAME?</v>
      </c>
    </row>
    <row r="735" spans="1:16" x14ac:dyDescent="0.3">
      <c r="A735">
        <v>184</v>
      </c>
      <c r="B735" t="s">
        <v>456</v>
      </c>
      <c r="C735" t="s">
        <v>328</v>
      </c>
      <c r="D735" s="7">
        <f>IFERROR(VLOOKUP(Table2[[#This Row],[tune_meter]],Table1[#All],3,FALSE),"NONE")</f>
        <v>27</v>
      </c>
      <c r="F735" t="s">
        <v>324</v>
      </c>
      <c r="G735" t="str">
        <f>IF(Table2[[#This Row],[tune_book]]="LFTBs","Red Book","Green Book")</f>
        <v>Green Book</v>
      </c>
      <c r="H735" t="s">
        <v>2723</v>
      </c>
      <c r="I735" t="s">
        <v>457</v>
      </c>
      <c r="J735" t="str">
        <f>Table2[[#This Row],[file_name]]&amp;".mp3"</f>
        <v>184g.mid.mp3</v>
      </c>
      <c r="K735">
        <v>1931</v>
      </c>
      <c r="M735">
        <v>44</v>
      </c>
      <c r="N73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--song="Waiting Time (6.5.11.6.5.11.)" --artist="C. T. Lambert" --comment="" --album="Green Book" --track="184" 184g.mid.mp3</v>
      </c>
      <c r="P735" s="4" t="e">
        <f ca="1">VLOOKUP(Table2[[#This Row],[mp3_file]],Table3[#All],3,FALSE)</f>
        <v>#NAME?</v>
      </c>
    </row>
    <row r="736" spans="1:16" x14ac:dyDescent="0.3">
      <c r="A736">
        <v>310</v>
      </c>
      <c r="B736" t="s">
        <v>1309</v>
      </c>
      <c r="C736" t="s">
        <v>483</v>
      </c>
      <c r="D736" s="7">
        <f>IFERROR(VLOOKUP(Table2[[#This Row],[tune_meter]],Table1[#All],3,FALSE),"NONE")</f>
        <v>55</v>
      </c>
      <c r="F736" t="s">
        <v>324</v>
      </c>
      <c r="G736" t="str">
        <f>IF(Table2[[#This Row],[tune_book]]="LFTBs","Red Book","Green Book")</f>
        <v>Green Book</v>
      </c>
      <c r="H736" t="s">
        <v>1310</v>
      </c>
      <c r="I736" t="s">
        <v>1311</v>
      </c>
      <c r="J736" t="str">
        <f>Table2[[#This Row],[file_name]]&amp;".mp3"</f>
        <v>310g.mid.mp3</v>
      </c>
      <c r="M736">
        <v>378</v>
      </c>
      <c r="N73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--song="Waltham (8.6.8.6.8.8.)" --artist="T. Willey" --comment="" --album="Green Book" --track="310" 310g.mid.mp3</v>
      </c>
      <c r="P736" s="4" t="e">
        <f ca="1">VLOOKUP(Table2[[#This Row],[mp3_file]],Table3[#All],3,FALSE)</f>
        <v>#NAME?</v>
      </c>
    </row>
    <row r="737" spans="1:16" x14ac:dyDescent="0.3">
      <c r="A737">
        <v>121</v>
      </c>
      <c r="B737" t="s">
        <v>1842</v>
      </c>
      <c r="C737" t="s">
        <v>516</v>
      </c>
      <c r="D737" s="7">
        <f>IFERROR(VLOOKUP(Table2[[#This Row],[tune_meter]],Table1[#All],3,FALSE),"NONE")</f>
        <v>16</v>
      </c>
      <c r="F737" t="s">
        <v>324</v>
      </c>
      <c r="G737" t="str">
        <f>IF(Table2[[#This Row],[tune_book]]="LFTBs","Red Book","Green Book")</f>
        <v>Green Book</v>
      </c>
      <c r="H737" t="s">
        <v>1286</v>
      </c>
      <c r="I737" t="s">
        <v>1843</v>
      </c>
      <c r="J737" t="str">
        <f>Table2[[#This Row],[file_name]]&amp;".mp3"</f>
        <v>121g.mid.mp3</v>
      </c>
      <c r="M737">
        <v>606</v>
      </c>
      <c r="N73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--song="Walton (L.M.)" --artist="From Beethoven" --comment="" --album="Green Book" --track="121" 121g.mid.mp3</v>
      </c>
      <c r="P737" s="4" t="e">
        <f ca="1">VLOOKUP(Table2[[#This Row],[mp3_file]],Table3[#All],3,FALSE)</f>
        <v>#NAME?</v>
      </c>
    </row>
    <row r="738" spans="1:16" x14ac:dyDescent="0.3">
      <c r="A738">
        <v>122</v>
      </c>
      <c r="B738" t="s">
        <v>1844</v>
      </c>
      <c r="C738" t="s">
        <v>516</v>
      </c>
      <c r="D738" s="7">
        <f>IFERROR(VLOOKUP(Table2[[#This Row],[tune_meter]],Table1[#All],3,FALSE),"NONE")</f>
        <v>16</v>
      </c>
      <c r="F738" t="s">
        <v>324</v>
      </c>
      <c r="G738" t="str">
        <f>IF(Table2[[#This Row],[tune_book]]="LFTBs","Red Book","Green Book")</f>
        <v>Green Book</v>
      </c>
      <c r="H738" t="s">
        <v>1845</v>
      </c>
      <c r="I738" t="s">
        <v>1846</v>
      </c>
      <c r="J738" t="str">
        <f>Table2[[#This Row],[file_name]]&amp;".mp3"</f>
        <v>122g.mid.mp3</v>
      </c>
      <c r="M738">
        <v>607</v>
      </c>
      <c r="N73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--song="Wareham (L.M.)" --artist="W. Knapp" --comment="" --album="Green Book" --track="122" 122g.mid.mp3</v>
      </c>
      <c r="P738" s="4" t="e">
        <f ca="1">VLOOKUP(Table2[[#This Row],[mp3_file]],Table3[#All],3,FALSE)</f>
        <v>#NAME?</v>
      </c>
    </row>
    <row r="739" spans="1:16" x14ac:dyDescent="0.3">
      <c r="A739">
        <v>347</v>
      </c>
      <c r="B739" t="s">
        <v>1975</v>
      </c>
      <c r="C739" t="s">
        <v>370</v>
      </c>
      <c r="D739" s="7">
        <f>IFERROR(VLOOKUP(Table2[[#This Row],[tune_meter]],Table1[#All],3,FALSE),"NONE")</f>
        <v>24</v>
      </c>
      <c r="F739" t="s">
        <v>324</v>
      </c>
      <c r="G739" t="str">
        <f>IF(Table2[[#This Row],[tune_book]]="LFTBs","Red Book","Green Book")</f>
        <v>Green Book</v>
      </c>
      <c r="H739" t="s">
        <v>2926</v>
      </c>
      <c r="I739" t="s">
        <v>1977</v>
      </c>
      <c r="J739" t="str">
        <f>Table2[[#This Row],[file_name]]&amp;".mp3"</f>
        <v>347g.mid.mp3</v>
      </c>
      <c r="K739">
        <v>1937</v>
      </c>
      <c r="M739">
        <v>662</v>
      </c>
      <c r="N73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--song="Warren Vale (8.7.8.7.)" --artist="Miss H. M. Faulkner" --comment="" --album="Green Book" --track="347" 347g.mid.mp3</v>
      </c>
      <c r="P739" s="4" t="e">
        <f ca="1">VLOOKUP(Table2[[#This Row],[mp3_file]],Table3[#All],3,FALSE)</f>
        <v>#NAME?</v>
      </c>
    </row>
    <row r="740" spans="1:16" x14ac:dyDescent="0.3">
      <c r="A740">
        <v>123</v>
      </c>
      <c r="B740" t="s">
        <v>1847</v>
      </c>
      <c r="C740" t="s">
        <v>516</v>
      </c>
      <c r="D740" s="7">
        <f>IFERROR(VLOOKUP(Table2[[#This Row],[tune_meter]],Table1[#All],3,FALSE),"NONE")</f>
        <v>16</v>
      </c>
      <c r="F740" t="s">
        <v>324</v>
      </c>
      <c r="G740" t="str">
        <f>IF(Table2[[#This Row],[tune_book]]="LFTBs","Red Book","Green Book")</f>
        <v>Green Book</v>
      </c>
      <c r="H740" t="s">
        <v>1695</v>
      </c>
      <c r="I740" t="s">
        <v>1848</v>
      </c>
      <c r="J740" t="str">
        <f>Table2[[#This Row],[file_name]]&amp;".mp3"</f>
        <v>123g.mid.mp3</v>
      </c>
      <c r="M740">
        <v>608</v>
      </c>
      <c r="N74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--song="Warrington (L.M.)" --artist="R. Harrison" --comment="" --album="Green Book" --track="123" 123g.mid.mp3</v>
      </c>
      <c r="P740" s="4" t="e">
        <f ca="1">VLOOKUP(Table2[[#This Row],[mp3_file]],Table3[#All],3,FALSE)</f>
        <v>#NAME?</v>
      </c>
    </row>
    <row r="741" spans="1:16" x14ac:dyDescent="0.3">
      <c r="A741">
        <v>75</v>
      </c>
      <c r="B741" t="s">
        <v>2927</v>
      </c>
      <c r="C741" t="s">
        <v>486</v>
      </c>
      <c r="D741" s="7">
        <f>IFERROR(VLOOKUP(Table2[[#This Row],[tune_meter]],Table1[#All],3,FALSE),"NONE")</f>
        <v>19</v>
      </c>
      <c r="F741" t="s">
        <v>324</v>
      </c>
      <c r="G741" t="str">
        <f>IF(Table2[[#This Row],[tune_book]]="LFTBs","Red Book","Green Book")</f>
        <v>Green Book</v>
      </c>
      <c r="H741" t="s">
        <v>1670</v>
      </c>
      <c r="I741" t="s">
        <v>1671</v>
      </c>
      <c r="J741" t="str">
        <f>Table2[[#This Row],[file_name]]&amp;".mp3"</f>
        <v>75g.mid.mp3</v>
      </c>
      <c r="M741">
        <v>535</v>
      </c>
      <c r="N741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7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--song="Warwick (Stanley) (C.M.)" --artist="Samuel Stanley" --comment="" --album="Green Book" --track="75" 75g.mid.mp3</v>
      </c>
      <c r="P741" s="4" t="e">
        <f>VLOOKUP(Table2[[#This Row],[mp3_file]],Table3[#All],3,FALSE)</f>
        <v>#N/A</v>
      </c>
    </row>
    <row r="742" spans="1:16" x14ac:dyDescent="0.3">
      <c r="A742">
        <v>224</v>
      </c>
      <c r="B742" t="s">
        <v>2928</v>
      </c>
      <c r="C742" t="s">
        <v>886</v>
      </c>
      <c r="D742" s="7">
        <f>IFERROR(VLOOKUP(Table2[[#This Row],[tune_meter]],Table1[#All],3,FALSE),"NONE")</f>
        <v>41</v>
      </c>
      <c r="F742" t="s">
        <v>324</v>
      </c>
      <c r="G742" t="str">
        <f>IF(Table2[[#This Row],[tune_book]]="LFTBs","Red Book","Green Book")</f>
        <v>Green Book</v>
      </c>
      <c r="H742" t="s">
        <v>1503</v>
      </c>
      <c r="I742" t="s">
        <v>1504</v>
      </c>
      <c r="J742" t="str">
        <f>Table2[[#This Row],[file_name]]&amp;".mp3"</f>
        <v>224g.mid.mp3</v>
      </c>
      <c r="M742">
        <v>462</v>
      </c>
      <c r="N74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--song="Weber (7.6.7.6.) (7.6.7.6.)" --artist="From Weber" --comment="" --album="Green Book" --track="224" 224g.mid.mp3</v>
      </c>
      <c r="P742" s="4" t="e">
        <f ca="1">VLOOKUP(Table2[[#This Row],[mp3_file]],Table3[#All],3,FALSE)</f>
        <v>#NAME?</v>
      </c>
    </row>
    <row r="743" spans="1:16" x14ac:dyDescent="0.3">
      <c r="A743">
        <v>280</v>
      </c>
      <c r="B743" t="s">
        <v>1303</v>
      </c>
      <c r="C743" t="s">
        <v>480</v>
      </c>
      <c r="D743" s="7">
        <f>IFERROR(VLOOKUP(Table2[[#This Row],[tune_meter]],Table1[#All],3,FALSE),"NONE")</f>
        <v>92</v>
      </c>
      <c r="F743" t="s">
        <v>324</v>
      </c>
      <c r="G743" t="str">
        <f>IF(Table2[[#This Row],[tune_book]]="LFTBs","Red Book","Green Book")</f>
        <v>Green Book</v>
      </c>
      <c r="H743" t="s">
        <v>1304</v>
      </c>
      <c r="I743" t="s">
        <v>1305</v>
      </c>
      <c r="J743" t="str">
        <f>Table2[[#This Row],[file_name]]&amp;".mp3"</f>
        <v>280g.mid.mp3</v>
      </c>
      <c r="M743">
        <v>376</v>
      </c>
      <c r="N74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--song="Wells (7.7.7.7.8.8.)" --artist="D. Bortnianski" --comment="" --album="Green Book" --track="280" 280g.mid.mp3</v>
      </c>
      <c r="P743" s="4" t="e">
        <f ca="1">VLOOKUP(Table2[[#This Row],[mp3_file]],Table3[#All],3,FALSE)</f>
        <v>#NAME?</v>
      </c>
    </row>
    <row r="744" spans="1:16" x14ac:dyDescent="0.3">
      <c r="A744">
        <v>225</v>
      </c>
      <c r="B744" t="s">
        <v>1505</v>
      </c>
      <c r="C744" t="s">
        <v>886</v>
      </c>
      <c r="D744" s="7">
        <f>IFERROR(VLOOKUP(Table2[[#This Row],[tune_meter]],Table1[#All],3,FALSE),"NONE")</f>
        <v>41</v>
      </c>
      <c r="F744" t="s">
        <v>324</v>
      </c>
      <c r="G744" t="str">
        <f>IF(Table2[[#This Row],[tune_book]]="LFTBs","Red Book","Green Book")</f>
        <v>Green Book</v>
      </c>
      <c r="H744" t="s">
        <v>2929</v>
      </c>
      <c r="I744" t="s">
        <v>1507</v>
      </c>
      <c r="J744" t="str">
        <f>Table2[[#This Row],[file_name]]&amp;".mp3"</f>
        <v>225g.mid.mp3</v>
      </c>
      <c r="K744">
        <v>1900</v>
      </c>
      <c r="M744">
        <v>463</v>
      </c>
      <c r="N74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--song="West View (7.6.7.6.)" --artist="P. S. Pugh" --comment="" --album="Green Book" --track="225" 225g.mid.mp3</v>
      </c>
      <c r="P744" s="4" t="e">
        <f ca="1">VLOOKUP(Table2[[#This Row],[mp3_file]],Table3[#All],3,FALSE)</f>
        <v>#NAME?</v>
      </c>
    </row>
    <row r="745" spans="1:16" x14ac:dyDescent="0.3">
      <c r="A745">
        <v>110</v>
      </c>
      <c r="B745" t="s">
        <v>1163</v>
      </c>
      <c r="C745" t="s">
        <v>467</v>
      </c>
      <c r="D745" s="7">
        <f>IFERROR(VLOOKUP(Table2[[#This Row],[tune_meter]],Table1[#All],3,FALSE),"NONE")</f>
        <v>34</v>
      </c>
      <c r="F745" t="s">
        <v>459</v>
      </c>
      <c r="G745" t="str">
        <f>IF(Table2[[#This Row],[tune_book]]="LFTBs","Red Book","Green Book")</f>
        <v>Red Book</v>
      </c>
      <c r="H745" t="s">
        <v>670</v>
      </c>
      <c r="I745" t="s">
        <v>1164</v>
      </c>
      <c r="J745" t="str">
        <f>Table2[[#This Row],[file_name]]&amp;".mp3"</f>
        <v>110r.mid.mp3</v>
      </c>
      <c r="M745">
        <v>320</v>
      </c>
      <c r="N74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--song="Whetstone (7.6.7.6.7.6.7.6.)" --artist="John F. Harvey" --comment="" --album="Red Book" --track="110" 110r.mid.mp3</v>
      </c>
      <c r="P745" s="4" t="e">
        <f ca="1">VLOOKUP(Table2[[#This Row],[mp3_file]],Table3[#All],3,FALSE)</f>
        <v>#NAME?</v>
      </c>
    </row>
    <row r="746" spans="1:16" x14ac:dyDescent="0.3">
      <c r="A746">
        <v>124</v>
      </c>
      <c r="B746" t="s">
        <v>1849</v>
      </c>
      <c r="C746" t="s">
        <v>516</v>
      </c>
      <c r="D746" s="7">
        <f>IFERROR(VLOOKUP(Table2[[#This Row],[tune_meter]],Table1[#All],3,FALSE),"NONE")</f>
        <v>16</v>
      </c>
      <c r="F746" t="s">
        <v>324</v>
      </c>
      <c r="G746" t="str">
        <f>IF(Table2[[#This Row],[tune_book]]="LFTBs","Red Book","Green Book")</f>
        <v>Green Book</v>
      </c>
      <c r="H746" t="s">
        <v>1850</v>
      </c>
      <c r="I746" t="s">
        <v>1851</v>
      </c>
      <c r="J746" t="str">
        <f>Table2[[#This Row],[file_name]]&amp;".mp3"</f>
        <v>124g.mid.mp3</v>
      </c>
      <c r="M746">
        <v>609</v>
      </c>
      <c r="N74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--song="Whitburn (L.M.)" --artist="H. Baker" --comment="" --album="Green Book" --track="124" 124g.mid.mp3</v>
      </c>
      <c r="P746" s="4" t="e">
        <f ca="1">VLOOKUP(Table2[[#This Row],[mp3_file]],Table3[#All],3,FALSE)</f>
        <v>#NAME?</v>
      </c>
    </row>
    <row r="747" spans="1:16" x14ac:dyDescent="0.3">
      <c r="A747">
        <v>449</v>
      </c>
      <c r="B747" t="s">
        <v>2073</v>
      </c>
      <c r="C747" t="s">
        <v>878</v>
      </c>
      <c r="D747" s="7">
        <f>IFERROR(VLOOKUP(Table2[[#This Row],[tune_meter]],Table1[#All],3,FALSE),"NONE")</f>
        <v>59</v>
      </c>
      <c r="F747" t="s">
        <v>324</v>
      </c>
      <c r="G747" t="str">
        <f>IF(Table2[[#This Row],[tune_book]]="LFTBs","Red Book","Green Book")</f>
        <v>Green Book</v>
      </c>
      <c r="H747" t="s">
        <v>2742</v>
      </c>
      <c r="I747" t="s">
        <v>2075</v>
      </c>
      <c r="J747" t="str">
        <f>Table2[[#This Row],[file_name]]&amp;".mp3"</f>
        <v>449g.mid.mp3</v>
      </c>
      <c r="K747">
        <v>1950</v>
      </c>
      <c r="M747">
        <v>707</v>
      </c>
      <c r="N74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--song="Willenhall (9.8.9.8.9.8.9.8.)" --artist="R. A. Evershed" --comment="" --album="Green Book" --track="449" 449g.mid.mp3</v>
      </c>
      <c r="P747" s="4" t="e">
        <f ca="1">VLOOKUP(Table2[[#This Row],[mp3_file]],Table3[#All],3,FALSE)</f>
        <v>#NAME?</v>
      </c>
    </row>
    <row r="748" spans="1:16" x14ac:dyDescent="0.3">
      <c r="A748">
        <v>59</v>
      </c>
      <c r="B748" t="s">
        <v>1165</v>
      </c>
      <c r="C748" t="s">
        <v>354</v>
      </c>
      <c r="D748" s="7">
        <f>IFERROR(VLOOKUP(Table2[[#This Row],[tune_meter]],Table1[#All],3,FALSE),"NONE")</f>
        <v>28</v>
      </c>
      <c r="F748" t="s">
        <v>459</v>
      </c>
      <c r="G748" t="str">
        <f>IF(Table2[[#This Row],[tune_book]]="LFTBs","Red Book","Green Book")</f>
        <v>Red Book</v>
      </c>
      <c r="H748" t="s">
        <v>2758</v>
      </c>
      <c r="I748" t="s">
        <v>1166</v>
      </c>
      <c r="J748" t="str">
        <f>Table2[[#This Row],[file_name]]&amp;".mp3"</f>
        <v>59r.mid.mp3</v>
      </c>
      <c r="K748" s="4">
        <v>1963</v>
      </c>
      <c r="M748">
        <v>321</v>
      </c>
      <c r="N74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--song="Willoughby (4.8.4.8.8.)" --artist="Michael Lewis" --comment="" --album="Red Book" --track="59" 59r.mid.mp3</v>
      </c>
      <c r="P748" s="4" t="e">
        <f ca="1">VLOOKUP(Table2[[#This Row],[mp3_file]],Table3[#All],3,FALSE)</f>
        <v>#NAME?</v>
      </c>
    </row>
    <row r="749" spans="1:16" x14ac:dyDescent="0.3">
      <c r="A749">
        <v>76</v>
      </c>
      <c r="B749" t="s">
        <v>1674</v>
      </c>
      <c r="C749" t="s">
        <v>486</v>
      </c>
      <c r="D749" s="7">
        <f>IFERROR(VLOOKUP(Table2[[#This Row],[tune_meter]],Table1[#All],3,FALSE),"NONE")</f>
        <v>19</v>
      </c>
      <c r="F749" t="s">
        <v>324</v>
      </c>
      <c r="G749" t="str">
        <f>IF(Table2[[#This Row],[tune_book]]="LFTBs","Red Book","Green Book")</f>
        <v>Green Book</v>
      </c>
      <c r="H749" t="s">
        <v>1675</v>
      </c>
      <c r="I749" t="s">
        <v>1676</v>
      </c>
      <c r="J749" t="str">
        <f>Table2[[#This Row],[file_name]]&amp;".mp3"</f>
        <v>76g.mid.mp3</v>
      </c>
      <c r="M749">
        <v>537</v>
      </c>
      <c r="N74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--song="Wiltshire (C.M.)" --artist="Sir George T. Smart" --comment="" --album="Green Book" --track="76" 76g.mid.mp3</v>
      </c>
      <c r="P749" s="4" t="e">
        <f ca="1">VLOOKUP(Table2[[#This Row],[mp3_file]],Table3[#All],3,FALSE)</f>
        <v>#NAME?</v>
      </c>
    </row>
    <row r="750" spans="1:16" x14ac:dyDescent="0.3">
      <c r="A750">
        <v>133</v>
      </c>
      <c r="B750" t="s">
        <v>1167</v>
      </c>
      <c r="C750" t="s">
        <v>781</v>
      </c>
      <c r="D750" s="7">
        <f>IFERROR(VLOOKUP(Table2[[#This Row],[tune_meter]],Table1[#All],3,FALSE),"NONE")</f>
        <v>37</v>
      </c>
      <c r="F750" t="s">
        <v>459</v>
      </c>
      <c r="G750" t="str">
        <f>IF(Table2[[#This Row],[tune_book]]="LFTBs","Red Book","Green Book")</f>
        <v>Red Book</v>
      </c>
      <c r="H750" t="s">
        <v>2728</v>
      </c>
      <c r="I750" t="s">
        <v>1168</v>
      </c>
      <c r="J750" t="str">
        <f>Table2[[#This Row],[file_name]]&amp;".mp3"</f>
        <v>133r.mid.mp3</v>
      </c>
      <c r="M750">
        <v>322</v>
      </c>
      <c r="N75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--song="Winchester (8.5.8.5.8.5.8.5.)" --artist="Miss E. C. Shanks" --comment="" --album="Red Book" --track="133" 133r.mid.mp3</v>
      </c>
      <c r="P750" s="4" t="e">
        <f ca="1">VLOOKUP(Table2[[#This Row],[mp3_file]],Table3[#All],3,FALSE)</f>
        <v>#NAME?</v>
      </c>
    </row>
    <row r="751" spans="1:16" x14ac:dyDescent="0.3">
      <c r="A751">
        <v>125</v>
      </c>
      <c r="B751" t="s">
        <v>1852</v>
      </c>
      <c r="C751" t="s">
        <v>516</v>
      </c>
      <c r="D751" s="7">
        <f>IFERROR(VLOOKUP(Table2[[#This Row],[tune_meter]],Table1[#All],3,FALSE),"NONE")</f>
        <v>16</v>
      </c>
      <c r="F751" t="s">
        <v>324</v>
      </c>
      <c r="G751" t="str">
        <f>IF(Table2[[#This Row],[tune_book]]="LFTBs","Red Book","Green Book")</f>
        <v>Green Book</v>
      </c>
      <c r="H751" t="s">
        <v>1853</v>
      </c>
      <c r="I751" t="s">
        <v>1854</v>
      </c>
      <c r="J751" t="str">
        <f>Table2[[#This Row],[file_name]]&amp;".mp3"</f>
        <v>125g.mid.mp3</v>
      </c>
      <c r="M751">
        <v>610</v>
      </c>
      <c r="N75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--song="Winchester New (L.M.)" --artist="Crasselius" --comment="" --album="Green Book" --track="125" 125g.mid.mp3</v>
      </c>
      <c r="P751" s="4" t="e">
        <f ca="1">VLOOKUP(Table2[[#This Row],[mp3_file]],Table3[#All],3,FALSE)</f>
        <v>#NAME?</v>
      </c>
    </row>
    <row r="752" spans="1:16" x14ac:dyDescent="0.3">
      <c r="A752">
        <v>162</v>
      </c>
      <c r="B752" t="s">
        <v>1169</v>
      </c>
      <c r="C752" t="s">
        <v>370</v>
      </c>
      <c r="D752" s="7">
        <f>IFERROR(VLOOKUP(Table2[[#This Row],[tune_meter]],Table1[#All],3,FALSE),"NONE")</f>
        <v>24</v>
      </c>
      <c r="F752" t="s">
        <v>459</v>
      </c>
      <c r="G752" t="str">
        <f>IF(Table2[[#This Row],[tune_book]]="LFTBs","Red Book","Green Book")</f>
        <v>Red Book</v>
      </c>
      <c r="H752" t="s">
        <v>344</v>
      </c>
      <c r="I752" t="s">
        <v>1170</v>
      </c>
      <c r="J752" t="str">
        <f>Table2[[#This Row],[file_name]]&amp;".mp3"</f>
        <v>162r.mid.mp3</v>
      </c>
      <c r="M752">
        <v>323</v>
      </c>
      <c r="N75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--song="Winifred (8.7.8.7.)" --artist="Unknown" --comment="" --album="Red Book" --track="162" 162r.mid.mp3</v>
      </c>
      <c r="P752" s="4" t="e">
        <f ca="1">VLOOKUP(Table2[[#This Row],[mp3_file]],Table3[#All],3,FALSE)</f>
        <v>#NAME?</v>
      </c>
    </row>
    <row r="753" spans="1:16" x14ac:dyDescent="0.3">
      <c r="A753">
        <v>92</v>
      </c>
      <c r="B753" t="s">
        <v>1171</v>
      </c>
      <c r="C753" t="s">
        <v>707</v>
      </c>
      <c r="D753" s="7">
        <f>IFERROR(VLOOKUP(Table2[[#This Row],[tune_meter]],Table1[#All],3,FALSE),"NONE")</f>
        <v>42</v>
      </c>
      <c r="F753" t="s">
        <v>459</v>
      </c>
      <c r="G753" t="str">
        <f>IF(Table2[[#This Row],[tune_book]]="LFTBs","Red Book","Green Book")</f>
        <v>Red Book</v>
      </c>
      <c r="H753" t="s">
        <v>1172</v>
      </c>
      <c r="I753" t="s">
        <v>1173</v>
      </c>
      <c r="J753" t="str">
        <f>Table2[[#This Row],[file_name]]&amp;".mp3"</f>
        <v>92r.mid.mp3</v>
      </c>
      <c r="M753">
        <v>324</v>
      </c>
      <c r="N75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--song="Winter Solstice (6.6.8.4.)" --artist="Charles Vincent" --comment="" --album="Red Book" --track="92" 92r.mid.mp3</v>
      </c>
      <c r="P753" s="4" t="e">
        <f ca="1">VLOOKUP(Table2[[#This Row],[mp3_file]],Table3[#All],3,FALSE)</f>
        <v>#NAME?</v>
      </c>
    </row>
    <row r="754" spans="1:16" x14ac:dyDescent="0.3">
      <c r="A754">
        <v>53</v>
      </c>
      <c r="B754" t="s">
        <v>1174</v>
      </c>
      <c r="C754" t="s">
        <v>664</v>
      </c>
      <c r="D754" s="7">
        <f>IFERROR(VLOOKUP(Table2[[#This Row],[tune_meter]],Table1[#All],3,FALSE),"NONE")</f>
        <v>70</v>
      </c>
      <c r="F754" t="s">
        <v>459</v>
      </c>
      <c r="G754" t="str">
        <f>IF(Table2[[#This Row],[tune_book]]="LFTBs","Red Book","Green Book")</f>
        <v>Red Book</v>
      </c>
      <c r="H754" t="s">
        <v>2758</v>
      </c>
      <c r="I754" t="s">
        <v>1175</v>
      </c>
      <c r="J754" t="str">
        <f>Table2[[#This Row],[file_name]]&amp;".mp3"</f>
        <v>53r.mid.mp3</v>
      </c>
      <c r="K754" s="4">
        <v>1963</v>
      </c>
      <c r="M754">
        <v>325</v>
      </c>
      <c r="N754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--song="Woldingham (S.M.D.)" --artist="Michael Lewis" --comment="" --album="Red Book" --track="53" 53r.mid.mp3</v>
      </c>
      <c r="P754" s="4" t="e">
        <f ca="1">VLOOKUP(Table2[[#This Row],[mp3_file]],Table3[#All],3,FALSE)</f>
        <v>#NAME?</v>
      </c>
    </row>
    <row r="755" spans="1:16" x14ac:dyDescent="0.3">
      <c r="A755">
        <v>196</v>
      </c>
      <c r="B755" t="s">
        <v>1176</v>
      </c>
      <c r="C755" t="s">
        <v>595</v>
      </c>
      <c r="D755" s="7">
        <f>IFERROR(VLOOKUP(Table2[[#This Row],[tune_meter]],Table1[#All],3,FALSE),"NONE")</f>
        <v>68</v>
      </c>
      <c r="F755" t="s">
        <v>459</v>
      </c>
      <c r="G755" t="str">
        <f>IF(Table2[[#This Row],[tune_book]]="LFTBs","Red Book","Green Book")</f>
        <v>Red Book</v>
      </c>
      <c r="H755" t="s">
        <v>367</v>
      </c>
      <c r="I755" t="s">
        <v>1177</v>
      </c>
      <c r="J755" t="str">
        <f>Table2[[#This Row],[file_name]]&amp;".mp3"</f>
        <v>196r.mid.mp3</v>
      </c>
      <c r="M755">
        <v>326</v>
      </c>
      <c r="N755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--song="Wonderous Story (8.7.8.7.8.7.8.7.7.7.)" --artist="Gordon Millar" --comment="" --album="Red Book" --track="196" 196r.mid.mp3</v>
      </c>
      <c r="P755" s="4" t="e">
        <f ca="1">VLOOKUP(Table2[[#This Row],[mp3_file]],Table3[#All],3,FALSE)</f>
        <v>#NAME?</v>
      </c>
    </row>
    <row r="756" spans="1:16" x14ac:dyDescent="0.3">
      <c r="A756">
        <v>139</v>
      </c>
      <c r="B756" t="s">
        <v>1178</v>
      </c>
      <c r="C756" t="s">
        <v>1179</v>
      </c>
      <c r="D756" s="7">
        <f>IFERROR(VLOOKUP(Table2[[#This Row],[tune_meter]],Table1[#All],3,FALSE),"NONE")</f>
        <v>96</v>
      </c>
      <c r="F756" t="s">
        <v>459</v>
      </c>
      <c r="G756" t="str">
        <f>IF(Table2[[#This Row],[tune_book]]="LFTBs","Red Book","Green Book")</f>
        <v>Red Book</v>
      </c>
      <c r="H756" t="s">
        <v>367</v>
      </c>
      <c r="I756" t="s">
        <v>1180</v>
      </c>
      <c r="J756" t="str">
        <f>Table2[[#This Row],[file_name]]&amp;".mp3"</f>
        <v>139r.mid.mp3</v>
      </c>
      <c r="M756">
        <v>327</v>
      </c>
      <c r="N756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--song="Woodbank (8.6.8.6.8.6.)" --artist="Gordon Millar" --comment="" --album="Red Book" --track="139" 139r.mid.mp3</v>
      </c>
      <c r="P756" s="4" t="e">
        <f ca="1">VLOOKUP(Table2[[#This Row],[mp3_file]],Table3[#All],3,FALSE)</f>
        <v>#NAME?</v>
      </c>
    </row>
    <row r="757" spans="1:16" x14ac:dyDescent="0.3">
      <c r="A757">
        <v>77</v>
      </c>
      <c r="B757" t="s">
        <v>2930</v>
      </c>
      <c r="C757" t="s">
        <v>486</v>
      </c>
      <c r="D757" s="7">
        <f>IFERROR(VLOOKUP(Table2[[#This Row],[tune_meter]],Table1[#All],3,FALSE),"NONE")</f>
        <v>19</v>
      </c>
      <c r="F757" t="s">
        <v>324</v>
      </c>
      <c r="G757" t="str">
        <f>IF(Table2[[#This Row],[tune_book]]="LFTBs","Red Book","Green Book")</f>
        <v>Green Book</v>
      </c>
      <c r="H757" t="s">
        <v>2933</v>
      </c>
      <c r="I757" t="s">
        <v>1673</v>
      </c>
      <c r="J757" t="str">
        <f>Table2[[#This Row],[file_name]]&amp;".mp3"</f>
        <v>77g.mid.mp3</v>
      </c>
      <c r="M757">
        <v>536</v>
      </c>
      <c r="N757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--song="Worship (Cooper) (C.M.)" --artist="Mrs. M. S. Cooper" --comment="" --album="Green Book" --track="77" 77g.mid.mp3</v>
      </c>
      <c r="P757" s="4" t="e">
        <f ca="1">VLOOKUP(Table2[[#This Row],[mp3_file]],Table3[#All],3,FALSE)</f>
        <v>#NAME?</v>
      </c>
    </row>
    <row r="758" spans="1:16" x14ac:dyDescent="0.3">
      <c r="A758">
        <v>126</v>
      </c>
      <c r="B758" t="s">
        <v>2931</v>
      </c>
      <c r="C758" t="s">
        <v>516</v>
      </c>
      <c r="D758" s="7">
        <f>IFERROR(VLOOKUP(Table2[[#This Row],[tune_meter]],Table1[#All],3,FALSE),"NONE")</f>
        <v>16</v>
      </c>
      <c r="F758" t="s">
        <v>324</v>
      </c>
      <c r="G758" t="str">
        <f>IF(Table2[[#This Row],[tune_book]]="LFTBs","Red Book","Green Book")</f>
        <v>Green Book</v>
      </c>
      <c r="H758" t="s">
        <v>2932</v>
      </c>
      <c r="I758" t="s">
        <v>1428</v>
      </c>
      <c r="J758" t="str">
        <f>Table2[[#This Row],[file_name]]&amp;".mp3"</f>
        <v>126g.mid.mp3</v>
      </c>
      <c r="K758">
        <v>1952</v>
      </c>
      <c r="M758">
        <v>430</v>
      </c>
      <c r="N758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--song="Worship (Ground) (L.M.)" --artist="Mrs. H. V. Ground" --comment="" --album="Green Book" --track="126" 126g.mid.mp3</v>
      </c>
      <c r="P758" s="4" t="e">
        <f ca="1">VLOOKUP(Table2[[#This Row],[mp3_file]],Table3[#All],3,FALSE)</f>
        <v>#NAME?</v>
      </c>
    </row>
    <row r="759" spans="1:16" x14ac:dyDescent="0.3">
      <c r="A759">
        <v>138</v>
      </c>
      <c r="B759" t="s">
        <v>1181</v>
      </c>
      <c r="C759" t="s">
        <v>611</v>
      </c>
      <c r="D759" s="7">
        <f>IFERROR(VLOOKUP(Table2[[#This Row],[tune_meter]],Table1[#All],3,FALSE),"NONE")</f>
        <v>72</v>
      </c>
      <c r="F759" t="s">
        <v>459</v>
      </c>
      <c r="G759" t="str">
        <f>IF(Table2[[#This Row],[tune_book]]="LFTBs","Red Book","Green Book")</f>
        <v>Red Book</v>
      </c>
      <c r="H759" t="s">
        <v>1182</v>
      </c>
      <c r="I759" t="s">
        <v>1183</v>
      </c>
      <c r="J759" t="str">
        <f>Table2[[#This Row],[file_name]]&amp;".mp3"</f>
        <v>138r.mid.mp3</v>
      </c>
      <c r="M759">
        <v>328</v>
      </c>
      <c r="N759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--song="Wreford (8.6.8.4.)" --artist="Rev. E.S. Carter" --comment="" --album="Red Book" --track="138" 138r.mid.mp3</v>
      </c>
      <c r="P759" s="4" t="e">
        <f ca="1">VLOOKUP(Table2[[#This Row],[mp3_file]],Table3[#All],3,FALSE)</f>
        <v>#NAME?</v>
      </c>
    </row>
    <row r="760" spans="1:16" x14ac:dyDescent="0.3">
      <c r="A760">
        <v>129</v>
      </c>
      <c r="B760" t="s">
        <v>1184</v>
      </c>
      <c r="C760" t="s">
        <v>523</v>
      </c>
      <c r="D760" s="7">
        <f>IFERROR(VLOOKUP(Table2[[#This Row],[tune_meter]],Table1[#All],3,FALSE),"NONE")</f>
        <v>53</v>
      </c>
      <c r="F760" t="s">
        <v>459</v>
      </c>
      <c r="G760" t="str">
        <f>IF(Table2[[#This Row],[tune_book]]="LFTBs","Red Book","Green Book")</f>
        <v>Red Book</v>
      </c>
      <c r="H760" t="s">
        <v>367</v>
      </c>
      <c r="I760" t="s">
        <v>1185</v>
      </c>
      <c r="J760" t="str">
        <f>Table2[[#This Row],[file_name]]&amp;".mp3"</f>
        <v>129r.mid.mp3</v>
      </c>
      <c r="M760">
        <v>329</v>
      </c>
      <c r="N760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--song="Wyken (8.5.8.3.)" --artist="Gordon Millar" --comment="" --album="Red Book" --track="129" 129r.mid.mp3</v>
      </c>
      <c r="P760" s="4" t="e">
        <f ca="1">VLOOKUP(Table2[[#This Row],[mp3_file]],Table3[#All],3,FALSE)</f>
        <v>#NAME?</v>
      </c>
    </row>
    <row r="761" spans="1:16" x14ac:dyDescent="0.3">
      <c r="A761">
        <v>510</v>
      </c>
      <c r="B761" t="s">
        <v>2141</v>
      </c>
      <c r="C761" t="s">
        <v>1729</v>
      </c>
      <c r="D761" s="7" t="str">
        <f>IFERROR(VLOOKUP(Table2[[#This Row],[tune_meter]],Table1[#All],3,FALSE),"NONE")</f>
        <v>NONE</v>
      </c>
      <c r="F761" t="s">
        <v>324</v>
      </c>
      <c r="G761" t="str">
        <f>IF(Table2[[#This Row],[tune_book]]="LFTBs","Red Book","Green Book")</f>
        <v>Green Book</v>
      </c>
      <c r="H761" t="s">
        <v>344</v>
      </c>
      <c r="I761" t="s">
        <v>2142</v>
      </c>
      <c r="J761" t="str">
        <f>Table2[[#This Row],[file_name]]&amp;".mp3"</f>
        <v>510g.mid.mp3</v>
      </c>
      <c r="M761">
        <v>739</v>
      </c>
      <c r="N761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--song="Yorkshire (10.10.10.10.10.10.)" --artist="Unknown" --comment="" --album="Green Book" --track="510" 510g.mid.mp3</v>
      </c>
      <c r="P761" s="4" t="e">
        <f ca="1">VLOOKUP(Table2[[#This Row],[mp3_file]],Table3[#All],3,FALSE)</f>
        <v>#NAME?</v>
      </c>
    </row>
    <row r="762" spans="1:16" x14ac:dyDescent="0.3">
      <c r="A762">
        <v>274</v>
      </c>
      <c r="B762" t="s">
        <v>1186</v>
      </c>
      <c r="C762" t="s">
        <v>543</v>
      </c>
      <c r="D762" s="7">
        <f>IFERROR(VLOOKUP(Table2[[#This Row],[tune_meter]],Table1[#All],3,FALSE),"NONE")</f>
        <v>17</v>
      </c>
      <c r="F762" t="s">
        <v>459</v>
      </c>
      <c r="G762" t="str">
        <f>IF(Table2[[#This Row],[tune_book]]="LFTBs","Red Book","Green Book")</f>
        <v>Red Book</v>
      </c>
      <c r="H762" t="s">
        <v>857</v>
      </c>
      <c r="I762" t="s">
        <v>1187</v>
      </c>
      <c r="J762" t="str">
        <f>Table2[[#This Row],[file_name]]&amp;".mp3"</f>
        <v>274r.mid.mp3</v>
      </c>
      <c r="M762">
        <v>330</v>
      </c>
      <c r="N762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--song="Zacher (11.10.11.10. Dactylic)" --artist="Miss A.H. Lee" --comment="" --album="Red Book" --track="274" 274r.mid.mp3</v>
      </c>
      <c r="P762" s="4" t="e">
        <f ca="1">VLOOKUP(Table2[[#This Row],[mp3_file]],Table3[#All],3,FALSE)</f>
        <v>#NAME?</v>
      </c>
    </row>
    <row r="763" spans="1:16" x14ac:dyDescent="0.3">
      <c r="A763">
        <v>159</v>
      </c>
      <c r="B763" t="s">
        <v>1467</v>
      </c>
      <c r="C763" t="s">
        <v>623</v>
      </c>
      <c r="D763" s="7">
        <f>IFERROR(VLOOKUP(Table2[[#This Row],[tune_meter]],Table1[#All],3,FALSE),"NONE")</f>
        <v>22</v>
      </c>
      <c r="F763" t="s">
        <v>324</v>
      </c>
      <c r="G763" t="str">
        <f>IF(Table2[[#This Row],[tune_book]]="LFTBs","Red Book","Green Book")</f>
        <v>Green Book</v>
      </c>
      <c r="H763" t="s">
        <v>2889</v>
      </c>
      <c r="I763" t="s">
        <v>1469</v>
      </c>
      <c r="J763" t="str">
        <f>Table2[[#This Row],[file_name]]&amp;".mp3"</f>
        <v>159g.mid.mp3</v>
      </c>
      <c r="M763">
        <v>447</v>
      </c>
      <c r="N763" s="1" t="str">
        <f ca="1">IF(ISERROR(VLOOKUP(Table2[[#This Row],[mp3_file]],Table3[#All],2,FALSE)),"No matching tune",HYPERLINK(VLOOKUP(Table2[[#This Row],[mp3_file]],Table3[#All],3,FALSE),Table2[[#This Row],[tune_name]]))</f>
        <v>No matching tune</v>
      </c>
      <c r="O7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"&amp;Table2[[#This Row],[mp3_file]]</f>
        <v>id3tag --song="Zurich (S.M.)" --artist="J. G. Nageli" --comment="" --album="Green Book" --track="159" 159g.mid.mp3</v>
      </c>
      <c r="P763" s="4" t="e">
        <f ca="1">VLOOKUP(Table2[[#This Row],[mp3_file]],Table3[#All],3,FALSE)</f>
        <v>#NAME?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DF1F-9C0A-CA43-A66A-CB20DD310378}">
  <dimension ref="A1:H50"/>
  <sheetViews>
    <sheetView tabSelected="1" topLeftCell="A32" workbookViewId="0">
      <selection activeCell="A49" sqref="A49"/>
    </sheetView>
  </sheetViews>
  <sheetFormatPr defaultColWidth="11.19921875" defaultRowHeight="15.6" x14ac:dyDescent="0.3"/>
  <cols>
    <col min="1" max="1" width="10.5" bestFit="1" customWidth="1"/>
    <col min="2" max="2" width="19" bestFit="1" customWidth="1"/>
    <col min="3" max="3" width="19.296875" bestFit="1" customWidth="1"/>
    <col min="4" max="4" width="10.19921875" bestFit="1" customWidth="1"/>
    <col min="5" max="5" width="12" bestFit="1" customWidth="1"/>
    <col min="6" max="6" width="10.19921875" bestFit="1" customWidth="1"/>
    <col min="7" max="7" width="26.296875" bestFit="1" customWidth="1"/>
    <col min="8" max="8" width="12.5" bestFit="1" customWidth="1"/>
  </cols>
  <sheetData>
    <row r="1" spans="1:8" x14ac:dyDescent="0.3">
      <c r="A1" t="s">
        <v>2682</v>
      </c>
      <c r="B1" t="s">
        <v>2681</v>
      </c>
      <c r="C1" t="s">
        <v>2672</v>
      </c>
      <c r="D1" t="s">
        <v>2673</v>
      </c>
      <c r="E1" t="s">
        <v>2700</v>
      </c>
      <c r="F1" t="s">
        <v>2683</v>
      </c>
      <c r="G1" t="s">
        <v>2751</v>
      </c>
      <c r="H1" t="s">
        <v>2697</v>
      </c>
    </row>
    <row r="2" spans="1:8" x14ac:dyDescent="0.3">
      <c r="A2">
        <v>392</v>
      </c>
      <c r="B2" t="s">
        <v>2679</v>
      </c>
      <c r="C2" t="s">
        <v>415</v>
      </c>
      <c r="D2">
        <f>IFERROR(VLOOKUP(Table4[[#This Row],[Meter]],Table1[#All],3,FALSE),"NONE")</f>
        <v>39</v>
      </c>
      <c r="F2" t="s">
        <v>2680</v>
      </c>
      <c r="G2" t="s">
        <v>2701</v>
      </c>
      <c r="H2" t="s">
        <v>2752</v>
      </c>
    </row>
    <row r="3" spans="1:8" x14ac:dyDescent="0.3">
      <c r="A3">
        <v>214</v>
      </c>
      <c r="B3" t="s">
        <v>2684</v>
      </c>
      <c r="C3" t="s">
        <v>467</v>
      </c>
      <c r="D3">
        <f>IFERROR(VLOOKUP(Table4[[#This Row],[Meter]],Table1[#All],3,FALSE),"NONE")</f>
        <v>34</v>
      </c>
      <c r="F3" t="s">
        <v>2680</v>
      </c>
      <c r="G3" t="s">
        <v>2702</v>
      </c>
      <c r="H3" s="4">
        <v>1952</v>
      </c>
    </row>
    <row r="4" spans="1:8" x14ac:dyDescent="0.3">
      <c r="A4">
        <v>355</v>
      </c>
      <c r="B4" t="s">
        <v>2685</v>
      </c>
      <c r="C4" t="s">
        <v>476</v>
      </c>
      <c r="D4">
        <f>IFERROR(VLOOKUP(Table4[[#This Row],[Meter]],Table1[#All],3,FALSE),"NONE")</f>
        <v>25</v>
      </c>
      <c r="F4" t="s">
        <v>2680</v>
      </c>
      <c r="G4" t="s">
        <v>2703</v>
      </c>
      <c r="H4" t="s">
        <v>2752</v>
      </c>
    </row>
    <row r="5" spans="1:8" x14ac:dyDescent="0.3">
      <c r="A5">
        <v>445</v>
      </c>
      <c r="B5" t="s">
        <v>2686</v>
      </c>
      <c r="C5" t="s">
        <v>582</v>
      </c>
      <c r="D5">
        <f>IFERROR(VLOOKUP(Table4[[#This Row],[Meter]],Table1[#All],3,FALSE),"NONE")</f>
        <v>21</v>
      </c>
      <c r="F5" t="s">
        <v>2680</v>
      </c>
      <c r="G5" t="s">
        <v>2717</v>
      </c>
      <c r="H5" s="4">
        <v>1929</v>
      </c>
    </row>
    <row r="6" spans="1:8" x14ac:dyDescent="0.3">
      <c r="A6">
        <v>296</v>
      </c>
      <c r="B6" t="s">
        <v>2687</v>
      </c>
      <c r="C6" t="s">
        <v>630</v>
      </c>
      <c r="D6">
        <f>IFERROR(VLOOKUP(Table4[[#This Row],[Meter]],Table1[#All],3,FALSE),"NONE")</f>
        <v>36</v>
      </c>
      <c r="F6" t="s">
        <v>2680</v>
      </c>
      <c r="G6" t="s">
        <v>2753</v>
      </c>
      <c r="H6" s="4">
        <v>1951</v>
      </c>
    </row>
    <row r="7" spans="1:8" x14ac:dyDescent="0.3">
      <c r="A7">
        <v>195</v>
      </c>
      <c r="B7" t="s">
        <v>2715</v>
      </c>
      <c r="C7" t="s">
        <v>707</v>
      </c>
      <c r="D7">
        <f>IFERROR(VLOOKUP(Table4[[#This Row],[Meter]],Table1[#All],3,FALSE),"NONE")</f>
        <v>42</v>
      </c>
      <c r="F7" t="s">
        <v>2680</v>
      </c>
      <c r="G7" t="s">
        <v>2757</v>
      </c>
      <c r="H7" s="4">
        <v>1952</v>
      </c>
    </row>
    <row r="8" spans="1:8" x14ac:dyDescent="0.3">
      <c r="A8">
        <v>264</v>
      </c>
      <c r="B8" t="s">
        <v>2692</v>
      </c>
      <c r="C8" t="s">
        <v>480</v>
      </c>
      <c r="D8">
        <f>IFERROR(VLOOKUP(Table4[[#This Row],[Meter]],Table1[#All],3,FALSE),"NONE")</f>
        <v>92</v>
      </c>
      <c r="F8" t="s">
        <v>2680</v>
      </c>
      <c r="G8" t="s">
        <v>2754</v>
      </c>
      <c r="H8" s="4">
        <v>1953</v>
      </c>
    </row>
    <row r="9" spans="1:8" x14ac:dyDescent="0.3">
      <c r="A9">
        <v>7</v>
      </c>
      <c r="B9" t="s">
        <v>2693</v>
      </c>
      <c r="C9" t="s">
        <v>486</v>
      </c>
      <c r="D9">
        <f>IFERROR(VLOOKUP(Table4[[#This Row],[Meter]],Table1[#All],3,FALSE),"NONE")</f>
        <v>19</v>
      </c>
      <c r="F9" t="s">
        <v>2680</v>
      </c>
      <c r="G9" t="s">
        <v>2704</v>
      </c>
      <c r="H9" t="s">
        <v>2752</v>
      </c>
    </row>
    <row r="10" spans="1:8" x14ac:dyDescent="0.3">
      <c r="A10">
        <v>497</v>
      </c>
      <c r="B10" t="s">
        <v>2694</v>
      </c>
      <c r="C10" t="s">
        <v>543</v>
      </c>
      <c r="D10">
        <f>IFERROR(VLOOKUP(Table4[[#This Row],[Meter]],Table1[#All],3,FALSE),"NONE")</f>
        <v>17</v>
      </c>
      <c r="F10" t="s">
        <v>2680</v>
      </c>
      <c r="G10" t="s">
        <v>2755</v>
      </c>
      <c r="H10" s="4">
        <v>1932</v>
      </c>
    </row>
    <row r="11" spans="1:8" x14ac:dyDescent="0.3">
      <c r="A11">
        <v>379</v>
      </c>
      <c r="B11" t="s">
        <v>2695</v>
      </c>
      <c r="C11" t="s">
        <v>595</v>
      </c>
      <c r="D11">
        <f>IFERROR(VLOOKUP(Table4[[#This Row],[Meter]],Table1[#All],3,FALSE),"NONE")</f>
        <v>68</v>
      </c>
      <c r="F11" t="s">
        <v>2680</v>
      </c>
      <c r="G11" t="s">
        <v>2756</v>
      </c>
      <c r="H11" s="4">
        <v>1946</v>
      </c>
    </row>
    <row r="12" spans="1:8" x14ac:dyDescent="0.3">
      <c r="A12">
        <v>162</v>
      </c>
      <c r="B12" t="s">
        <v>2696</v>
      </c>
      <c r="C12" t="s">
        <v>446</v>
      </c>
      <c r="D12">
        <f>IFERROR(VLOOKUP(Table4[[#This Row],[Meter]],Table1[#All],3,FALSE),"NONE")</f>
        <v>44</v>
      </c>
      <c r="F12" t="s">
        <v>2680</v>
      </c>
      <c r="G12" t="s">
        <v>2742</v>
      </c>
      <c r="H12" s="4">
        <v>1938</v>
      </c>
    </row>
    <row r="13" spans="1:8" x14ac:dyDescent="0.3">
      <c r="A13">
        <v>453</v>
      </c>
      <c r="B13" t="s">
        <v>2698</v>
      </c>
      <c r="C13" t="s">
        <v>582</v>
      </c>
      <c r="D13">
        <f>IFERROR(VLOOKUP(Table4[[#This Row],[Meter]],Table1[#All],3,FALSE),"NONE")</f>
        <v>21</v>
      </c>
      <c r="F13" t="s">
        <v>2680</v>
      </c>
      <c r="G13" t="s">
        <v>2699</v>
      </c>
      <c r="H13" t="s">
        <v>2752</v>
      </c>
    </row>
    <row r="14" spans="1:8" x14ac:dyDescent="0.3">
      <c r="A14">
        <v>360</v>
      </c>
      <c r="B14" t="s">
        <v>1988</v>
      </c>
      <c r="C14" t="s">
        <v>476</v>
      </c>
      <c r="D14">
        <f>IFERROR(VLOOKUP(Table4[[#This Row],[Meter]],Table1[#All],3,FALSE),"NONE")</f>
        <v>25</v>
      </c>
      <c r="F14" t="s">
        <v>2680</v>
      </c>
      <c r="G14" t="s">
        <v>348</v>
      </c>
      <c r="H14" t="s">
        <v>2752</v>
      </c>
    </row>
    <row r="15" spans="1:8" x14ac:dyDescent="0.3">
      <c r="A15">
        <v>393</v>
      </c>
      <c r="B15" t="s">
        <v>2744</v>
      </c>
      <c r="C15" t="s">
        <v>415</v>
      </c>
      <c r="D15">
        <f>IFERROR(VLOOKUP(Table4[[#This Row],[Meter]],Table1[#All],3,FALSE),"NONE")</f>
        <v>39</v>
      </c>
      <c r="F15" t="s">
        <v>2680</v>
      </c>
      <c r="G15" t="s">
        <v>2745</v>
      </c>
      <c r="H15" s="4">
        <v>1904</v>
      </c>
    </row>
    <row r="16" spans="1:8" x14ac:dyDescent="0.3">
      <c r="A16">
        <v>163</v>
      </c>
      <c r="B16" t="s">
        <v>2775</v>
      </c>
      <c r="C16" t="s">
        <v>446</v>
      </c>
      <c r="D16">
        <f>IFERROR(VLOOKUP(Table4[[#This Row],[Meter]],Table1[#All],3,FALSE),"NONE")</f>
        <v>44</v>
      </c>
      <c r="F16" t="s">
        <v>2680</v>
      </c>
      <c r="G16" t="s">
        <v>2728</v>
      </c>
      <c r="H16" s="4">
        <v>1953</v>
      </c>
    </row>
    <row r="17" spans="1:8" x14ac:dyDescent="0.3">
      <c r="A17">
        <v>139</v>
      </c>
      <c r="B17" t="s">
        <v>2746</v>
      </c>
      <c r="C17" t="s">
        <v>664</v>
      </c>
      <c r="D17">
        <f>IFERROR(VLOOKUP(Table4[[#This Row],[Meter]],Table1[#All],3,FALSE),"NONE")</f>
        <v>70</v>
      </c>
      <c r="F17" t="s">
        <v>2680</v>
      </c>
      <c r="G17" t="s">
        <v>2747</v>
      </c>
      <c r="H17" t="s">
        <v>2752</v>
      </c>
    </row>
    <row r="18" spans="1:8" x14ac:dyDescent="0.3">
      <c r="A18">
        <v>341</v>
      </c>
      <c r="B18" t="s">
        <v>2748</v>
      </c>
      <c r="C18" t="s">
        <v>470</v>
      </c>
      <c r="D18">
        <f>IFERROR(VLOOKUP(Table4[[#This Row],[Meter]],Table1[#All],3,FALSE),"NONE")</f>
        <v>50</v>
      </c>
      <c r="F18" t="s">
        <v>2680</v>
      </c>
      <c r="G18" t="s">
        <v>384</v>
      </c>
      <c r="H18" s="4">
        <v>1939</v>
      </c>
    </row>
    <row r="19" spans="1:8" x14ac:dyDescent="0.3">
      <c r="A19">
        <v>306</v>
      </c>
      <c r="B19" t="s">
        <v>2749</v>
      </c>
      <c r="C19" t="s">
        <v>370</v>
      </c>
      <c r="D19">
        <f>IFERROR(VLOOKUP(Table4[[#This Row],[Meter]],Table1[#All],3,FALSE),"NONE")</f>
        <v>24</v>
      </c>
      <c r="F19" t="s">
        <v>2680</v>
      </c>
      <c r="G19" t="s">
        <v>2750</v>
      </c>
      <c r="H19" s="4">
        <v>1931</v>
      </c>
    </row>
    <row r="20" spans="1:8" x14ac:dyDescent="0.3">
      <c r="A20">
        <v>427</v>
      </c>
      <c r="B20" t="s">
        <v>2760</v>
      </c>
      <c r="C20" t="s">
        <v>424</v>
      </c>
      <c r="D20">
        <f>IFERROR(VLOOKUP(Table4[[#This Row],[Meter]],Table1[#All],3,FALSE),"NONE")</f>
        <v>45</v>
      </c>
      <c r="F20" t="s">
        <v>2680</v>
      </c>
      <c r="G20" t="s">
        <v>2761</v>
      </c>
      <c r="H20" s="4">
        <v>1900</v>
      </c>
    </row>
    <row r="21" spans="1:8" x14ac:dyDescent="0.3">
      <c r="A21">
        <v>8</v>
      </c>
      <c r="B21" t="s">
        <v>2762</v>
      </c>
      <c r="C21" t="s">
        <v>486</v>
      </c>
      <c r="D21">
        <f>IFERROR(VLOOKUP(Table4[[#This Row],[Meter]],Table1[#All],3,FALSE),"NONE")</f>
        <v>19</v>
      </c>
      <c r="F21" t="s">
        <v>2680</v>
      </c>
      <c r="G21" t="s">
        <v>2025</v>
      </c>
      <c r="H21" s="4"/>
    </row>
    <row r="22" spans="1:8" x14ac:dyDescent="0.3">
      <c r="A22">
        <v>413</v>
      </c>
      <c r="B22" t="s">
        <v>2763</v>
      </c>
      <c r="C22" t="s">
        <v>641</v>
      </c>
      <c r="D22">
        <f>IFERROR(VLOOKUP(Table4[[#This Row],[Meter]],Table1[#All],3,FALSE),"NONE")</f>
        <v>46</v>
      </c>
      <c r="F22" t="s">
        <v>2680</v>
      </c>
      <c r="G22" t="s">
        <v>351</v>
      </c>
      <c r="H22" s="4"/>
    </row>
    <row r="23" spans="1:8" x14ac:dyDescent="0.3">
      <c r="A23">
        <v>151</v>
      </c>
      <c r="B23" t="s">
        <v>2764</v>
      </c>
      <c r="C23" t="s">
        <v>339</v>
      </c>
      <c r="D23">
        <f>IFERROR(VLOOKUP(Table4[[#This Row],[Meter]],Table1[#All],3,FALSE),"NONE")</f>
        <v>62</v>
      </c>
      <c r="F23" t="s">
        <v>2680</v>
      </c>
      <c r="G23" t="s">
        <v>1149</v>
      </c>
      <c r="H23" s="4"/>
    </row>
    <row r="24" spans="1:8" x14ac:dyDescent="0.3">
      <c r="A24">
        <v>376</v>
      </c>
      <c r="B24" t="s">
        <v>2776</v>
      </c>
      <c r="C24" t="s">
        <v>1114</v>
      </c>
      <c r="D24">
        <f>IFERROR(VLOOKUP(Table4[[#This Row],[Meter]],Table1[#All],3,FALSE),"NONE")</f>
        <v>66</v>
      </c>
      <c r="F24" t="s">
        <v>2680</v>
      </c>
      <c r="G24" t="s">
        <v>1149</v>
      </c>
      <c r="H24" s="4"/>
    </row>
    <row r="25" spans="1:8" x14ac:dyDescent="0.3">
      <c r="A25">
        <v>111</v>
      </c>
      <c r="B25" t="s">
        <v>2765</v>
      </c>
      <c r="C25" t="s">
        <v>623</v>
      </c>
      <c r="D25">
        <f>IFERROR(VLOOKUP(Table4[[#This Row],[Meter]],Table1[#All],3,FALSE),"NONE")</f>
        <v>22</v>
      </c>
      <c r="F25" t="s">
        <v>2680</v>
      </c>
      <c r="G25" t="s">
        <v>2766</v>
      </c>
      <c r="H25" s="4"/>
    </row>
    <row r="26" spans="1:8" x14ac:dyDescent="0.3">
      <c r="A26">
        <v>149</v>
      </c>
      <c r="B26" t="s">
        <v>2767</v>
      </c>
      <c r="C26" t="s">
        <v>435</v>
      </c>
      <c r="D26">
        <f>IFERROR(VLOOKUP(Table4[[#This Row],[Meter]],Table1[#All],3,FALSE),"NONE")</f>
        <v>40</v>
      </c>
      <c r="F26" t="s">
        <v>2680</v>
      </c>
      <c r="G26" t="s">
        <v>2768</v>
      </c>
      <c r="H26" s="4">
        <v>1952</v>
      </c>
    </row>
    <row r="27" spans="1:8" x14ac:dyDescent="0.3">
      <c r="A27">
        <v>198</v>
      </c>
      <c r="B27" t="s">
        <v>2769</v>
      </c>
      <c r="C27" t="s">
        <v>387</v>
      </c>
      <c r="D27">
        <f>IFERROR(VLOOKUP(Table4[[#This Row],[Meter]],Table1[#All],3,FALSE),"NONE")</f>
        <v>23</v>
      </c>
      <c r="F27" t="s">
        <v>2680</v>
      </c>
      <c r="G27" t="s">
        <v>541</v>
      </c>
      <c r="H27" s="4"/>
    </row>
    <row r="28" spans="1:8" x14ac:dyDescent="0.3">
      <c r="A28">
        <v>404</v>
      </c>
      <c r="B28" t="s">
        <v>2770</v>
      </c>
      <c r="C28" t="s">
        <v>554</v>
      </c>
      <c r="D28">
        <f>IFERROR(VLOOKUP(Table4[[#This Row],[Meter]],Table1[#All],3,FALSE),"NONE")</f>
        <v>26</v>
      </c>
      <c r="F28" t="s">
        <v>2680</v>
      </c>
      <c r="G28" t="s">
        <v>541</v>
      </c>
      <c r="H28" s="4"/>
    </row>
    <row r="29" spans="1:8" x14ac:dyDescent="0.3">
      <c r="A29">
        <v>9</v>
      </c>
      <c r="B29" t="s">
        <v>2771</v>
      </c>
      <c r="C29" t="s">
        <v>486</v>
      </c>
      <c r="D29">
        <f>IFERROR(VLOOKUP(Table4[[#This Row],[Meter]],Table1[#All],3,FALSE),"NONE")</f>
        <v>19</v>
      </c>
      <c r="F29" t="s">
        <v>2680</v>
      </c>
      <c r="G29" t="s">
        <v>2772</v>
      </c>
      <c r="H29" s="4"/>
    </row>
    <row r="30" spans="1:8" x14ac:dyDescent="0.3">
      <c r="A30">
        <v>292</v>
      </c>
      <c r="B30" t="s">
        <v>2773</v>
      </c>
      <c r="C30" t="s">
        <v>483</v>
      </c>
      <c r="D30">
        <f>IFERROR(VLOOKUP(Table4[[#This Row],[Meter]],Table1[#All],3,FALSE),"NONE")</f>
        <v>55</v>
      </c>
      <c r="F30" t="s">
        <v>2680</v>
      </c>
      <c r="G30" t="s">
        <v>2774</v>
      </c>
      <c r="H30" s="4">
        <v>1932</v>
      </c>
    </row>
    <row r="31" spans="1:8" x14ac:dyDescent="0.3">
      <c r="A31">
        <v>454</v>
      </c>
      <c r="B31" t="s">
        <v>2790</v>
      </c>
      <c r="C31" t="s">
        <v>582</v>
      </c>
      <c r="D31">
        <f>IFERROR(VLOOKUP(Table4[[#This Row],[Meter]],Table1[#All],3,FALSE),"NONE")</f>
        <v>21</v>
      </c>
      <c r="F31" t="s">
        <v>2680</v>
      </c>
      <c r="G31" t="s">
        <v>2791</v>
      </c>
      <c r="H31" s="4"/>
    </row>
    <row r="32" spans="1:8" x14ac:dyDescent="0.3">
      <c r="A32">
        <v>220</v>
      </c>
      <c r="B32" t="s">
        <v>2792</v>
      </c>
      <c r="C32" t="s">
        <v>467</v>
      </c>
      <c r="D32">
        <f>IFERROR(VLOOKUP(Table4[[#This Row],[Meter]],Table1[#All],3,FALSE),"NONE")</f>
        <v>34</v>
      </c>
      <c r="F32" t="s">
        <v>2680</v>
      </c>
      <c r="G32" t="s">
        <v>2793</v>
      </c>
      <c r="H32" s="4"/>
    </row>
    <row r="33" spans="1:8" x14ac:dyDescent="0.3">
      <c r="A33">
        <v>260</v>
      </c>
      <c r="B33" t="s">
        <v>2794</v>
      </c>
      <c r="C33" t="s">
        <v>775</v>
      </c>
      <c r="D33">
        <f>IFERROR(VLOOKUP(Table4[[#This Row],[Meter]],Table1[#All],3,FALSE),"NONE")</f>
        <v>83</v>
      </c>
      <c r="F33" t="s">
        <v>2680</v>
      </c>
      <c r="G33" t="s">
        <v>2795</v>
      </c>
      <c r="H33" s="4"/>
    </row>
    <row r="34" spans="1:8" x14ac:dyDescent="0.3">
      <c r="A34">
        <v>280</v>
      </c>
      <c r="B34" t="s">
        <v>2796</v>
      </c>
      <c r="C34" t="s">
        <v>744</v>
      </c>
      <c r="D34">
        <f>IFERROR(VLOOKUP(Table4[[#This Row],[Meter]],Table1[#All],3,FALSE),"NONE")</f>
        <v>56</v>
      </c>
      <c r="F34" t="s">
        <v>2680</v>
      </c>
      <c r="G34" t="s">
        <v>2797</v>
      </c>
      <c r="H34" s="4">
        <v>1953</v>
      </c>
    </row>
    <row r="35" spans="1:8" x14ac:dyDescent="0.3">
      <c r="A35">
        <v>141</v>
      </c>
      <c r="B35" t="s">
        <v>2800</v>
      </c>
      <c r="C35" t="s">
        <v>664</v>
      </c>
      <c r="D35">
        <f>IFERROR(VLOOKUP(Table4[[#This Row],[Meter]],Table1[#All],3,FALSE),"NONE")</f>
        <v>70</v>
      </c>
      <c r="F35" t="s">
        <v>2680</v>
      </c>
      <c r="G35" t="s">
        <v>2801</v>
      </c>
      <c r="H35" s="4">
        <v>1952</v>
      </c>
    </row>
    <row r="36" spans="1:8" x14ac:dyDescent="0.3">
      <c r="A36">
        <v>157</v>
      </c>
      <c r="B36" t="s">
        <v>2802</v>
      </c>
      <c r="C36" t="s">
        <v>360</v>
      </c>
      <c r="D36">
        <f>IFERROR(VLOOKUP(Table4[[#This Row],[Meter]],Table1[#All],3,FALSE),"NONE")</f>
        <v>32</v>
      </c>
      <c r="F36" t="s">
        <v>2680</v>
      </c>
      <c r="G36" t="s">
        <v>2803</v>
      </c>
      <c r="H36" s="4"/>
    </row>
    <row r="37" spans="1:8" x14ac:dyDescent="0.3">
      <c r="A37">
        <v>343</v>
      </c>
      <c r="B37" t="s">
        <v>2807</v>
      </c>
      <c r="C37" t="s">
        <v>470</v>
      </c>
      <c r="D37">
        <f>IFERROR(VLOOKUP(Table4[[#This Row],[Meter]],Table1[#All],3,FALSE),"NONE")</f>
        <v>50</v>
      </c>
      <c r="F37" t="s">
        <v>2680</v>
      </c>
      <c r="G37" t="s">
        <v>443</v>
      </c>
      <c r="H37" s="4"/>
    </row>
    <row r="38" spans="1:8" x14ac:dyDescent="0.3">
      <c r="A38">
        <v>310</v>
      </c>
      <c r="B38" t="s">
        <v>2819</v>
      </c>
      <c r="C38" t="s">
        <v>370</v>
      </c>
      <c r="D38">
        <f>IFERROR(VLOOKUP(Table4[[#This Row],[Meter]],Table1[#All],3,FALSE),"NONE")</f>
        <v>24</v>
      </c>
      <c r="F38" t="s">
        <v>2680</v>
      </c>
      <c r="G38" t="s">
        <v>1455</v>
      </c>
      <c r="H38" s="4">
        <v>1938</v>
      </c>
    </row>
    <row r="39" spans="1:8" x14ac:dyDescent="0.3">
      <c r="A39">
        <v>113</v>
      </c>
      <c r="B39" t="s">
        <v>2820</v>
      </c>
      <c r="C39" t="s">
        <v>623</v>
      </c>
      <c r="D39">
        <f>IFERROR(VLOOKUP(Table4[[#This Row],[Meter]],Table1[#All],3,FALSE),"NONE")</f>
        <v>22</v>
      </c>
      <c r="F39" t="s">
        <v>2680</v>
      </c>
      <c r="G39" t="s">
        <v>2801</v>
      </c>
      <c r="H39" s="4">
        <v>1951</v>
      </c>
    </row>
    <row r="40" spans="1:8" x14ac:dyDescent="0.3">
      <c r="A40">
        <v>483</v>
      </c>
      <c r="B40" t="s">
        <v>2816</v>
      </c>
      <c r="C40" t="s">
        <v>1726</v>
      </c>
      <c r="D40" t="str">
        <f>IFERROR(VLOOKUP(Table4[[#This Row],[Meter]],Table1[#All],3,FALSE),"NONE")</f>
        <v>NONE</v>
      </c>
      <c r="F40" t="s">
        <v>2680</v>
      </c>
      <c r="G40" t="s">
        <v>2817</v>
      </c>
      <c r="H40" s="4">
        <v>1933</v>
      </c>
    </row>
    <row r="41" spans="1:8" x14ac:dyDescent="0.3">
      <c r="A41">
        <v>170</v>
      </c>
      <c r="B41" t="s">
        <v>2821</v>
      </c>
      <c r="C41" t="s">
        <v>2650</v>
      </c>
      <c r="D41">
        <f>IFERROR(VLOOKUP(Table4[[#This Row],[Meter]],Table1[#All],3,FALSE),"NONE")</f>
        <v>110</v>
      </c>
      <c r="F41" t="s">
        <v>2680</v>
      </c>
      <c r="G41" t="s">
        <v>2822</v>
      </c>
      <c r="H41" s="4"/>
    </row>
    <row r="42" spans="1:8" x14ac:dyDescent="0.3">
      <c r="A42">
        <v>76</v>
      </c>
      <c r="B42" t="s">
        <v>2823</v>
      </c>
      <c r="C42" t="s">
        <v>516</v>
      </c>
      <c r="D42">
        <f>IFERROR(VLOOKUP(Table4[[#This Row],[Meter]],Table1[#All],3,FALSE),"NONE")</f>
        <v>16</v>
      </c>
      <c r="F42" t="s">
        <v>2680</v>
      </c>
      <c r="G42" t="s">
        <v>2824</v>
      </c>
      <c r="H42" s="4"/>
    </row>
    <row r="43" spans="1:8" x14ac:dyDescent="0.3">
      <c r="A43">
        <v>276</v>
      </c>
      <c r="B43" t="s">
        <v>2827</v>
      </c>
      <c r="C43" t="s">
        <v>2828</v>
      </c>
      <c r="D43" t="str">
        <f>IFERROR(VLOOKUP(Table4[[#This Row],[Meter]],Table1[#All],3,FALSE),"NONE")</f>
        <v>NONE</v>
      </c>
      <c r="F43" t="s">
        <v>2680</v>
      </c>
      <c r="G43" t="s">
        <v>2829</v>
      </c>
      <c r="H43" s="4">
        <v>1904</v>
      </c>
    </row>
    <row r="44" spans="1:8" x14ac:dyDescent="0.3">
      <c r="A44">
        <v>377</v>
      </c>
      <c r="B44" t="s">
        <v>2830</v>
      </c>
      <c r="C44" t="s">
        <v>1114</v>
      </c>
      <c r="D44">
        <f>IFERROR(VLOOKUP(Table4[[#This Row],[Meter]],Table1[#All],3,FALSE),"NONE")</f>
        <v>66</v>
      </c>
      <c r="F44" t="s">
        <v>2680</v>
      </c>
      <c r="G44" t="s">
        <v>1149</v>
      </c>
      <c r="H44" s="4"/>
    </row>
    <row r="45" spans="1:8" x14ac:dyDescent="0.3">
      <c r="A45">
        <v>391</v>
      </c>
      <c r="B45" t="s">
        <v>2834</v>
      </c>
      <c r="C45" t="s">
        <v>323</v>
      </c>
      <c r="D45">
        <f>IFERROR(VLOOKUP(Table4[[#This Row],[Meter]],Table1[#All],3,FALSE),"NONE")</f>
        <v>79</v>
      </c>
      <c r="F45" t="s">
        <v>2680</v>
      </c>
      <c r="G45" t="s">
        <v>2753</v>
      </c>
      <c r="H45" s="4">
        <v>1952</v>
      </c>
    </row>
    <row r="46" spans="1:8" x14ac:dyDescent="0.3">
      <c r="A46">
        <v>261</v>
      </c>
      <c r="B46" t="s">
        <v>2835</v>
      </c>
      <c r="C46" t="s">
        <v>775</v>
      </c>
      <c r="D46">
        <f>IFERROR(VLOOKUP(Table4[[#This Row],[Meter]],Table1[#All],3,FALSE),"NONE")</f>
        <v>83</v>
      </c>
      <c r="F46" t="s">
        <v>2680</v>
      </c>
      <c r="G46" t="s">
        <v>2734</v>
      </c>
      <c r="H46" s="4"/>
    </row>
    <row r="47" spans="1:8" x14ac:dyDescent="0.3">
      <c r="A47">
        <v>378</v>
      </c>
      <c r="B47" t="s">
        <v>2838</v>
      </c>
      <c r="C47" t="s">
        <v>1114</v>
      </c>
      <c r="D47">
        <f>IFERROR(VLOOKUP(Table4[[#This Row],[Meter]],Table1[#All],3,FALSE),"NONE")</f>
        <v>66</v>
      </c>
      <c r="F47" t="s">
        <v>2680</v>
      </c>
      <c r="G47" t="s">
        <v>443</v>
      </c>
      <c r="H47" s="4"/>
    </row>
    <row r="48" spans="1:8" x14ac:dyDescent="0.3">
      <c r="A48">
        <v>227</v>
      </c>
      <c r="B48" t="s">
        <v>2841</v>
      </c>
      <c r="C48" t="s">
        <v>467</v>
      </c>
      <c r="D48">
        <f>IFERROR(VLOOKUP(Table4[[#This Row],[Meter]],Table1[#All],3,FALSE),"NONE")</f>
        <v>34</v>
      </c>
      <c r="F48" t="s">
        <v>2680</v>
      </c>
      <c r="G48" t="s">
        <v>1926</v>
      </c>
      <c r="H48" s="4"/>
    </row>
    <row r="49" spans="1:8" x14ac:dyDescent="0.3">
      <c r="A49">
        <v>510</v>
      </c>
      <c r="B49" t="s">
        <v>2843</v>
      </c>
      <c r="C49" t="s">
        <v>669</v>
      </c>
      <c r="D49">
        <f>IFERROR(VLOOKUP(Table4[[#This Row],[Meter]],Table1[#All],3,FALSE),"NONE")</f>
        <v>31</v>
      </c>
      <c r="F49" t="s">
        <v>2680</v>
      </c>
      <c r="G49" t="s">
        <v>2844</v>
      </c>
      <c r="H49" s="4"/>
    </row>
    <row r="50" spans="1:8" x14ac:dyDescent="0.3">
      <c r="A50">
        <v>313</v>
      </c>
      <c r="B50" t="s">
        <v>2845</v>
      </c>
      <c r="C50" t="s">
        <v>370</v>
      </c>
      <c r="D50">
        <f>IFERROR(VLOOKUP(Table4[[#This Row],[Meter]],Table1[#All],3,FALSE),"NONE")</f>
        <v>24</v>
      </c>
      <c r="F50" t="s">
        <v>2680</v>
      </c>
      <c r="G50" t="s">
        <v>1603</v>
      </c>
      <c r="H50" s="4">
        <v>1918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839A-C33F-564B-924B-7615E9E02B7C}">
  <dimension ref="A1:IW115"/>
  <sheetViews>
    <sheetView workbookViewId="0">
      <selection activeCell="C45" sqref="C45"/>
    </sheetView>
  </sheetViews>
  <sheetFormatPr defaultColWidth="10.796875" defaultRowHeight="15.6" x14ac:dyDescent="0.3"/>
  <cols>
    <col min="1" max="1" width="27" style="6" bestFit="1" customWidth="1"/>
    <col min="2" max="2" width="17.296875" style="6" bestFit="1" customWidth="1"/>
    <col min="3" max="3" width="10.796875" style="5" customWidth="1"/>
    <col min="4" max="257" width="10.796875" style="6" customWidth="1"/>
    <col min="258" max="258" width="10.796875" style="5" customWidth="1"/>
    <col min="259" max="16384" width="10.796875" style="5"/>
  </cols>
  <sheetData>
    <row r="1" spans="1:6" x14ac:dyDescent="0.3">
      <c r="A1" s="5" t="s">
        <v>2677</v>
      </c>
      <c r="B1" s="5" t="s">
        <v>2672</v>
      </c>
      <c r="C1" s="5" t="s">
        <v>2673</v>
      </c>
      <c r="D1" s="5" t="s">
        <v>2678</v>
      </c>
      <c r="E1" s="5" t="s">
        <v>2674</v>
      </c>
      <c r="F1" s="5" t="s">
        <v>2675</v>
      </c>
    </row>
    <row r="2" spans="1:6" hidden="1" x14ac:dyDescent="0.3">
      <c r="A2" s="5" t="str">
        <f>IF(Table1[[#This Row],[Rhythm]]="",Table1[Meter],Table1[[#This Row],[Meter]]&amp;" "&amp;Table1[[#This Row],[Rhythm]])&amp;IF(Table1[[#This Row],[Alt]]="",""," Chorus "&amp;Table1[[#This Row],[Alt]])</f>
        <v>10.10.10.10.</v>
      </c>
      <c r="B2" s="5" t="s">
        <v>582</v>
      </c>
      <c r="C2" s="5">
        <v>21</v>
      </c>
      <c r="D2" s="5"/>
      <c r="E2" s="5"/>
      <c r="F2" s="5">
        <v>1000</v>
      </c>
    </row>
    <row r="3" spans="1:6" hidden="1" x14ac:dyDescent="0.3">
      <c r="A3" s="5" t="str">
        <f>IF(Table1[[#This Row],[Rhythm]]="",Table1[Meter],Table1[[#This Row],[Meter]]&amp;" "&amp;Table1[[#This Row],[Rhythm]])&amp;IF(Table1[[#This Row],[Alt]]="",""," Chorus "&amp;Table1[[#This Row],[Alt]])</f>
        <v>10.10.10.10. Dactylic</v>
      </c>
      <c r="B3" s="5" t="s">
        <v>582</v>
      </c>
      <c r="C3" s="5">
        <v>63</v>
      </c>
      <c r="D3" s="5" t="s">
        <v>2638</v>
      </c>
      <c r="E3" s="5"/>
      <c r="F3" s="5">
        <v>1000</v>
      </c>
    </row>
    <row r="4" spans="1:6" hidden="1" x14ac:dyDescent="0.3">
      <c r="A4" s="5" t="str">
        <f>IF(Table1[[#This Row],[Rhythm]]="",Table1[Meter],Table1[[#This Row],[Meter]]&amp;" "&amp;Table1[[#This Row],[Rhythm]])&amp;IF(Table1[[#This Row],[Alt]]="",""," Chorus "&amp;Table1[[#This Row],[Alt]])</f>
        <v>10.10.10.2.</v>
      </c>
      <c r="B4" s="5" t="s">
        <v>373</v>
      </c>
      <c r="C4" s="5">
        <v>87</v>
      </c>
      <c r="D4" s="5"/>
      <c r="E4" s="5"/>
      <c r="F4" s="5">
        <v>1000</v>
      </c>
    </row>
    <row r="5" spans="1:6" hidden="1" x14ac:dyDescent="0.3">
      <c r="A5" s="5" t="str">
        <f>IF(Table1[[#This Row],[Rhythm]]="",Table1[Meter],Table1[[#This Row],[Meter]]&amp;" "&amp;Table1[[#This Row],[Rhythm]])&amp;IF(Table1[[#This Row],[Alt]]="",""," Chorus "&amp;Table1[[#This Row],[Alt]])</f>
        <v>10.10.10.6.</v>
      </c>
      <c r="B5" s="5" t="s">
        <v>347</v>
      </c>
      <c r="C5" s="5">
        <v>89</v>
      </c>
      <c r="D5" s="5"/>
      <c r="E5" s="5"/>
      <c r="F5" s="5">
        <v>1000</v>
      </c>
    </row>
    <row r="6" spans="1:6" hidden="1" x14ac:dyDescent="0.3">
      <c r="A6" s="5" t="str">
        <f>IF(Table1[[#This Row],[Rhythm]]="",Table1[Meter],Table1[[#This Row],[Meter]]&amp;" "&amp;Table1[[#This Row],[Rhythm]])&amp;IF(Table1[[#This Row],[Alt]]="",""," Chorus "&amp;Table1[[#This Row],[Alt]])</f>
        <v>10.10.4.10.10.4.</v>
      </c>
      <c r="B6" s="5" t="s">
        <v>438</v>
      </c>
      <c r="C6" s="5">
        <v>18</v>
      </c>
      <c r="D6" s="5"/>
      <c r="E6" s="5"/>
      <c r="F6" s="5">
        <v>1000</v>
      </c>
    </row>
    <row r="7" spans="1:6" hidden="1" x14ac:dyDescent="0.3">
      <c r="A7" s="5" t="str">
        <f>IF(Table1[[#This Row],[Rhythm]]="",Table1[Meter],Table1[[#This Row],[Meter]]&amp;" "&amp;Table1[[#This Row],[Rhythm]])&amp;IF(Table1[[#This Row],[Alt]]="",""," Chorus "&amp;Table1[[#This Row],[Alt]])</f>
        <v>10.4.10.4.10.10.</v>
      </c>
      <c r="B7" s="5" t="s">
        <v>424</v>
      </c>
      <c r="C7" s="5">
        <v>45</v>
      </c>
      <c r="D7" s="5"/>
      <c r="E7" s="5"/>
      <c r="F7" s="5">
        <v>1000</v>
      </c>
    </row>
    <row r="8" spans="1:6" hidden="1" x14ac:dyDescent="0.3">
      <c r="A8" s="5" t="str">
        <f>IF(Table1[[#This Row],[Rhythm]]="",Table1[Meter],Table1[[#This Row],[Meter]]&amp;" "&amp;Table1[[#This Row],[Rhythm]])&amp;IF(Table1[[#This Row],[Alt]]="",""," Chorus "&amp;Table1[[#This Row],[Alt]])</f>
        <v>10.7.10.7. Chorus 11.7.11.7.</v>
      </c>
      <c r="B8" s="5" t="s">
        <v>2639</v>
      </c>
      <c r="C8" s="5">
        <v>91</v>
      </c>
      <c r="D8" s="5"/>
      <c r="E8" s="5" t="s">
        <v>2640</v>
      </c>
      <c r="F8" s="5">
        <v>1000</v>
      </c>
    </row>
    <row r="9" spans="1:6" hidden="1" x14ac:dyDescent="0.3">
      <c r="A9" s="5" t="str">
        <f>IF(Table1[[#This Row],[Rhythm]]="",Table1[Meter],Table1[[#This Row],[Meter]]&amp;" "&amp;Table1[[#This Row],[Rhythm]])&amp;IF(Table1[[#This Row],[Alt]]="",""," Chorus "&amp;Table1[[#This Row],[Alt]])</f>
        <v>10.7.10.7.10.10.7.7.</v>
      </c>
      <c r="B9" s="5" t="s">
        <v>2641</v>
      </c>
      <c r="C9" s="5">
        <v>127</v>
      </c>
      <c r="D9" s="5"/>
      <c r="E9" s="5"/>
      <c r="F9" s="5">
        <v>1000</v>
      </c>
    </row>
    <row r="10" spans="1:6" hidden="1" x14ac:dyDescent="0.3">
      <c r="A10" s="5" t="str">
        <f>IF(Table1[[#This Row],[Rhythm]]="",Table1[Meter],Table1[[#This Row],[Meter]]&amp;" "&amp;Table1[[#This Row],[Rhythm]])&amp;IF(Table1[[#This Row],[Alt]]="",""," Chorus "&amp;Table1[[#This Row],[Alt]])</f>
        <v>10.9.10.9.</v>
      </c>
      <c r="B10" s="5" t="s">
        <v>2642</v>
      </c>
      <c r="C10" s="5">
        <v>114</v>
      </c>
      <c r="D10" s="5"/>
      <c r="E10" s="5"/>
      <c r="F10" s="5">
        <v>1000</v>
      </c>
    </row>
    <row r="11" spans="1:6" hidden="1" x14ac:dyDescent="0.3">
      <c r="A11" s="5" t="str">
        <f>IF(Table1[[#This Row],[Rhythm]]="",Table1[Meter],Table1[[#This Row],[Meter]]&amp;" "&amp;Table1[[#This Row],[Rhythm]])&amp;IF(Table1[[#This Row],[Alt]]="",""," Chorus "&amp;Table1[[#This Row],[Alt]])</f>
        <v>11.10.11.10. Dactylic</v>
      </c>
      <c r="B11" s="5" t="s">
        <v>495</v>
      </c>
      <c r="C11" s="5">
        <v>17</v>
      </c>
      <c r="D11" s="5" t="s">
        <v>2638</v>
      </c>
      <c r="E11" s="5"/>
      <c r="F11" s="5">
        <v>1100</v>
      </c>
    </row>
    <row r="12" spans="1:6" hidden="1" x14ac:dyDescent="0.3">
      <c r="A12" s="5" t="str">
        <f>IF(Table1[[#This Row],[Rhythm]]="",Table1[Meter],Table1[[#This Row],[Meter]]&amp;" "&amp;Table1[[#This Row],[Rhythm]])&amp;IF(Table1[[#This Row],[Alt]]="",""," Chorus "&amp;Table1[[#This Row],[Alt]])</f>
        <v>11.10.11.10.</v>
      </c>
      <c r="B12" s="5" t="s">
        <v>495</v>
      </c>
      <c r="C12" s="5">
        <v>52</v>
      </c>
      <c r="D12" s="5"/>
      <c r="E12" s="5"/>
      <c r="F12" s="5">
        <v>1100</v>
      </c>
    </row>
    <row r="13" spans="1:6" hidden="1" x14ac:dyDescent="0.3">
      <c r="A13" s="5" t="str">
        <f>IF(Table1[[#This Row],[Rhythm]]="",Table1[Meter],Table1[[#This Row],[Meter]]&amp;" "&amp;Table1[[#This Row],[Rhythm]])&amp;IF(Table1[[#This Row],[Alt]]="",""," Chorus "&amp;Table1[[#This Row],[Alt]])</f>
        <v>11.10.11.10.9.11.</v>
      </c>
      <c r="B13" s="5" t="s">
        <v>685</v>
      </c>
      <c r="C13" s="5">
        <v>67</v>
      </c>
      <c r="D13" s="5"/>
      <c r="E13" s="5"/>
      <c r="F13" s="5">
        <v>1100</v>
      </c>
    </row>
    <row r="14" spans="1:6" hidden="1" x14ac:dyDescent="0.3">
      <c r="A14" s="5" t="str">
        <f>IF(Table1[[#This Row],[Rhythm]]="",Table1[Meter],Table1[[#This Row],[Meter]]&amp;" "&amp;Table1[[#This Row],[Rhythm]])&amp;IF(Table1[[#This Row],[Alt]]="",""," Chorus "&amp;Table1[[#This Row],[Alt]])</f>
        <v>11.11.10.8.</v>
      </c>
      <c r="B14" s="5" t="s">
        <v>2643</v>
      </c>
      <c r="C14" s="5">
        <v>131</v>
      </c>
      <c r="D14" s="5"/>
      <c r="E14" s="5"/>
      <c r="F14" s="5">
        <v>1100</v>
      </c>
    </row>
    <row r="15" spans="1:6" hidden="1" x14ac:dyDescent="0.3">
      <c r="A15" s="5" t="str">
        <f>IF(Table1[[#This Row],[Rhythm]]="",Table1[Meter],Table1[[#This Row],[Meter]]&amp;" "&amp;Table1[[#This Row],[Rhythm]])&amp;IF(Table1[[#This Row],[Alt]]="",""," Chorus "&amp;Table1[[#This Row],[Alt]])</f>
        <v>11.11.11.11.</v>
      </c>
      <c r="B15" s="5" t="s">
        <v>669</v>
      </c>
      <c r="C15" s="5">
        <v>31</v>
      </c>
      <c r="D15" s="5"/>
      <c r="E15" s="5"/>
      <c r="F15" s="5">
        <v>1100</v>
      </c>
    </row>
    <row r="16" spans="1:6" hidden="1" x14ac:dyDescent="0.3">
      <c r="A16" s="5" t="str">
        <f>IF(Table1[[#This Row],[Rhythm]]="",Table1[Meter],Table1[[#This Row],[Meter]]&amp;" "&amp;Table1[[#This Row],[Rhythm]])&amp;IF(Table1[[#This Row],[Alt]]="",""," Chorus "&amp;Table1[[#This Row],[Alt]])</f>
        <v>11.11.11.11. Trochaic</v>
      </c>
      <c r="B16" s="5" t="s">
        <v>669</v>
      </c>
      <c r="C16" s="5">
        <v>64</v>
      </c>
      <c r="D16" s="5" t="s">
        <v>2644</v>
      </c>
      <c r="E16" s="5"/>
      <c r="F16" s="5">
        <v>1100</v>
      </c>
    </row>
    <row r="17" spans="1:6" hidden="1" x14ac:dyDescent="0.3">
      <c r="A17" s="5" t="str">
        <f>IF(Table1[[#This Row],[Rhythm]]="",Table1[Meter],Table1[[#This Row],[Meter]]&amp;" "&amp;Table1[[#This Row],[Rhythm]])&amp;IF(Table1[[#This Row],[Alt]]="",""," Chorus "&amp;Table1[[#This Row],[Alt]])</f>
        <v>11.11.11.11. Dactylic</v>
      </c>
      <c r="B17" s="5" t="s">
        <v>669</v>
      </c>
      <c r="C17" s="5">
        <v>109</v>
      </c>
      <c r="D17" s="5" t="s">
        <v>2638</v>
      </c>
      <c r="E17" s="5"/>
      <c r="F17" s="5">
        <v>1100</v>
      </c>
    </row>
    <row r="18" spans="1:6" hidden="1" x14ac:dyDescent="0.3">
      <c r="A18" s="5" t="str">
        <f>IF(Table1[[#This Row],[Rhythm]]="",Table1[Meter],Table1[[#This Row],[Meter]]&amp;" "&amp;Table1[[#This Row],[Rhythm]])&amp;IF(Table1[[#This Row],[Alt]]="",""," Chorus "&amp;Table1[[#This Row],[Alt]])</f>
        <v>11.8.11.9.</v>
      </c>
      <c r="B18" s="5" t="s">
        <v>380</v>
      </c>
      <c r="C18" s="5">
        <v>71</v>
      </c>
      <c r="D18" s="5"/>
      <c r="E18" s="5"/>
      <c r="F18" s="5">
        <v>1100</v>
      </c>
    </row>
    <row r="19" spans="1:6" hidden="1" x14ac:dyDescent="0.3">
      <c r="A19" s="5" t="str">
        <f>IF(Table1[[#This Row],[Rhythm]]="",Table1[Meter],Table1[[#This Row],[Meter]]&amp;" "&amp;Table1[[#This Row],[Rhythm]])&amp;IF(Table1[[#This Row],[Alt]]="",""," Chorus "&amp;Table1[[#This Row],[Alt]])</f>
        <v>12.11.12.11.</v>
      </c>
      <c r="B19" s="5" t="s">
        <v>912</v>
      </c>
      <c r="C19" s="5">
        <v>33</v>
      </c>
      <c r="D19" s="5"/>
      <c r="E19" s="5"/>
      <c r="F19" s="5">
        <v>1200</v>
      </c>
    </row>
    <row r="20" spans="1:6" hidden="1" x14ac:dyDescent="0.3">
      <c r="A20" s="5" t="str">
        <f>IF(Table1[[#This Row],[Rhythm]]="",Table1[Meter],Table1[[#This Row],[Meter]]&amp;" "&amp;Table1[[#This Row],[Rhythm]])&amp;IF(Table1[[#This Row],[Alt]]="",""," Chorus "&amp;Table1[[#This Row],[Alt]])</f>
        <v>12.13.12.10.</v>
      </c>
      <c r="B20" s="5" t="s">
        <v>473</v>
      </c>
      <c r="C20" s="5">
        <v>48</v>
      </c>
      <c r="D20" s="5"/>
      <c r="E20" s="5"/>
      <c r="F20" s="5">
        <v>1200</v>
      </c>
    </row>
    <row r="21" spans="1:6" hidden="1" x14ac:dyDescent="0.3">
      <c r="A21" s="5" t="str">
        <f>IF(Table1[[#This Row],[Rhythm]]="",Table1[Meter],Table1[[#This Row],[Meter]]&amp;" "&amp;Table1[[#This Row],[Rhythm]])&amp;IF(Table1[[#This Row],[Alt]]="",""," Chorus "&amp;Table1[[#This Row],[Alt]])</f>
        <v>12.13.13.10.</v>
      </c>
      <c r="B21" s="5" t="s">
        <v>2645</v>
      </c>
      <c r="C21" s="5">
        <v>132</v>
      </c>
      <c r="D21" s="5"/>
      <c r="E21" s="5"/>
      <c r="F21" s="5">
        <v>1200</v>
      </c>
    </row>
    <row r="22" spans="1:6" hidden="1" x14ac:dyDescent="0.3">
      <c r="A22" s="5" t="str">
        <f>IF(Table1[[#This Row],[Rhythm]]="",Table1[Meter],Table1[[#This Row],[Meter]]&amp;" "&amp;Table1[[#This Row],[Rhythm]])&amp;IF(Table1[[#This Row],[Alt]]="",""," Chorus "&amp;Table1[[#This Row],[Alt]])</f>
        <v>13.12.13.12.</v>
      </c>
      <c r="B22" s="5" t="s">
        <v>2646</v>
      </c>
      <c r="C22" s="5">
        <v>128</v>
      </c>
      <c r="D22" s="5"/>
      <c r="E22" s="5"/>
      <c r="F22" s="5">
        <v>1300</v>
      </c>
    </row>
    <row r="23" spans="1:6" hidden="1" x14ac:dyDescent="0.3">
      <c r="A23" s="5" t="str">
        <f>IF(Table1[[#This Row],[Rhythm]]="",Table1[Meter],Table1[[#This Row],[Meter]]&amp;" "&amp;Table1[[#This Row],[Rhythm]])&amp;IF(Table1[[#This Row],[Alt]]="",""," Chorus "&amp;Table1[[#This Row],[Alt]])</f>
        <v>14.14.14.14.</v>
      </c>
      <c r="B23" s="5" t="s">
        <v>588</v>
      </c>
      <c r="C23" s="5">
        <v>85</v>
      </c>
      <c r="D23" s="5"/>
      <c r="E23" s="5"/>
      <c r="F23" s="5">
        <v>1400</v>
      </c>
    </row>
    <row r="24" spans="1:6" hidden="1" x14ac:dyDescent="0.3">
      <c r="A24" s="5" t="str">
        <f>IF(Table1[[#This Row],[Rhythm]]="",Table1[Meter],Table1[[#This Row],[Meter]]&amp;" "&amp;Table1[[#This Row],[Rhythm]])&amp;IF(Table1[[#This Row],[Alt]]="",""," Chorus "&amp;Table1[[#This Row],[Alt]])</f>
        <v>14.14.4.7.8.</v>
      </c>
      <c r="B24" s="5" t="s">
        <v>534</v>
      </c>
      <c r="C24" s="5">
        <v>78</v>
      </c>
      <c r="D24" s="5"/>
      <c r="E24" s="5"/>
      <c r="F24" s="5">
        <v>1400</v>
      </c>
    </row>
    <row r="25" spans="1:6" hidden="1" x14ac:dyDescent="0.3">
      <c r="A25" s="5" t="str">
        <f>IF(Table1[[#This Row],[Rhythm]]="",Table1[Meter],Table1[[#This Row],[Meter]]&amp;" "&amp;Table1[[#This Row],[Rhythm]])&amp;IF(Table1[[#This Row],[Alt]]="",""," Chorus "&amp;Table1[[#This Row],[Alt]])</f>
        <v>4.6.8.8.4.</v>
      </c>
      <c r="B25" s="5" t="s">
        <v>394</v>
      </c>
      <c r="C25" s="5">
        <v>74</v>
      </c>
      <c r="D25" s="5"/>
      <c r="E25" s="5"/>
      <c r="F25" s="5">
        <v>400</v>
      </c>
    </row>
    <row r="26" spans="1:6" hidden="1" x14ac:dyDescent="0.3">
      <c r="A26" s="5" t="str">
        <f>IF(Table1[[#This Row],[Rhythm]]="",Table1[Meter],Table1[[#This Row],[Meter]]&amp;" "&amp;Table1[[#This Row],[Rhythm]])&amp;IF(Table1[[#This Row],[Alt]]="",""," Chorus "&amp;Table1[[#This Row],[Alt]])</f>
        <v>4.7.11.8.</v>
      </c>
      <c r="B26" s="5" t="s">
        <v>2647</v>
      </c>
      <c r="C26" s="5">
        <v>113</v>
      </c>
      <c r="D26" s="5"/>
      <c r="E26" s="5"/>
      <c r="F26" s="5">
        <v>400</v>
      </c>
    </row>
    <row r="27" spans="1:6" hidden="1" x14ac:dyDescent="0.3">
      <c r="A27" s="5" t="str">
        <f>IF(Table1[[#This Row],[Rhythm]]="",Table1[Meter],Table1[[#This Row],[Meter]]&amp;" "&amp;Table1[[#This Row],[Rhythm]])&amp;IF(Table1[[#This Row],[Alt]]="",""," Chorus "&amp;Table1[[#This Row],[Alt]])</f>
        <v>4.8.4.8.8.</v>
      </c>
      <c r="B27" s="5" t="s">
        <v>354</v>
      </c>
      <c r="C27" s="5">
        <v>28</v>
      </c>
      <c r="D27" s="5"/>
      <c r="E27" s="5"/>
      <c r="F27" s="5">
        <v>400</v>
      </c>
    </row>
    <row r="28" spans="1:6" hidden="1" x14ac:dyDescent="0.3">
      <c r="A28" s="5" t="str">
        <f>IF(Table1[[#This Row],[Rhythm]]="",Table1[Meter],Table1[[#This Row],[Meter]]&amp;" "&amp;Table1[[#This Row],[Rhythm]])&amp;IF(Table1[[#This Row],[Alt]]="",""," Chorus "&amp;Table1[[#This Row],[Alt]])</f>
        <v>5.4.5.4.5.4.5.4.</v>
      </c>
      <c r="B28" s="5" t="s">
        <v>391</v>
      </c>
      <c r="C28" s="5">
        <v>86</v>
      </c>
      <c r="D28" s="5"/>
      <c r="E28" s="5"/>
      <c r="F28" s="5">
        <v>500</v>
      </c>
    </row>
    <row r="29" spans="1:6" hidden="1" x14ac:dyDescent="0.3">
      <c r="A29" s="5" t="str">
        <f>IF(Table1[[#This Row],[Rhythm]]="",Table1[Meter],Table1[[#This Row],[Meter]]&amp;" "&amp;Table1[[#This Row],[Rhythm]])&amp;IF(Table1[[#This Row],[Alt]]="",""," Chorus "&amp;Table1[[#This Row],[Alt]])</f>
        <v>5.5.4.5.5.4.</v>
      </c>
      <c r="B29" s="5" t="s">
        <v>435</v>
      </c>
      <c r="C29" s="5">
        <v>40</v>
      </c>
      <c r="D29" s="5"/>
      <c r="E29" s="5"/>
      <c r="F29" s="5">
        <v>500</v>
      </c>
    </row>
    <row r="30" spans="1:6" hidden="1" x14ac:dyDescent="0.3">
      <c r="A30" s="5" t="str">
        <f>IF(Table1[[#This Row],[Rhythm]]="",Table1[Meter],Table1[[#This Row],[Meter]]&amp;" "&amp;Table1[[#This Row],[Rhythm]])&amp;IF(Table1[[#This Row],[Alt]]="",""," Chorus "&amp;Table1[[#This Row],[Alt]])</f>
        <v>6.4.6.4.</v>
      </c>
      <c r="B30" s="5" t="s">
        <v>339</v>
      </c>
      <c r="C30" s="5">
        <v>62</v>
      </c>
      <c r="D30" s="5"/>
      <c r="E30" s="5"/>
      <c r="F30" s="5">
        <v>600</v>
      </c>
    </row>
    <row r="31" spans="1:6" hidden="1" x14ac:dyDescent="0.3">
      <c r="A31" s="5" t="str">
        <f>IF(Table1[[#This Row],[Rhythm]]="",Table1[Meter],Table1[[#This Row],[Meter]]&amp;" "&amp;Table1[[#This Row],[Rhythm]])&amp;IF(Table1[[#This Row],[Alt]]="",""," Chorus "&amp;Table1[[#This Row],[Alt]])</f>
        <v>6.4.6.4.6.4.6.</v>
      </c>
      <c r="B31" s="5" t="s">
        <v>2648</v>
      </c>
      <c r="C31" s="5">
        <v>120</v>
      </c>
      <c r="D31" s="5"/>
      <c r="E31" s="5"/>
      <c r="F31" s="5">
        <v>600</v>
      </c>
    </row>
    <row r="32" spans="1:6" hidden="1" x14ac:dyDescent="0.3">
      <c r="A32" s="5" t="str">
        <f>IF(Table1[[#This Row],[Rhythm]]="",Table1[Meter],Table1[[#This Row],[Meter]]&amp;" "&amp;Table1[[#This Row],[Rhythm]])&amp;IF(Table1[[#This Row],[Alt]]="",""," Chorus "&amp;Table1[[#This Row],[Alt]])</f>
        <v>6.4.6.4.6.4.6.4.</v>
      </c>
      <c r="B32" s="5" t="s">
        <v>360</v>
      </c>
      <c r="C32" s="5">
        <v>32</v>
      </c>
      <c r="D32" s="5"/>
      <c r="E32" s="5"/>
      <c r="F32" s="5">
        <v>600</v>
      </c>
    </row>
    <row r="33" spans="1:6" hidden="1" x14ac:dyDescent="0.3">
      <c r="A33" s="5" t="str">
        <f>IF(Table1[[#This Row],[Rhythm]]="",Table1[Meter],Table1[[#This Row],[Meter]]&amp;" "&amp;Table1[[#This Row],[Rhythm]])&amp;IF(Table1[[#This Row],[Alt]]="",""," Chorus "&amp;Table1[[#This Row],[Alt]])</f>
        <v>6.4.6.4.6.6.6.4.</v>
      </c>
      <c r="B33" s="5" t="s">
        <v>446</v>
      </c>
      <c r="C33" s="5">
        <v>44</v>
      </c>
      <c r="D33" s="5"/>
      <c r="E33" s="5"/>
      <c r="F33" s="5">
        <v>600</v>
      </c>
    </row>
    <row r="34" spans="1:6" hidden="1" x14ac:dyDescent="0.3">
      <c r="A34" s="5" t="str">
        <f>IF(Table1[[#This Row],[Rhythm]]="",Table1[Meter],Table1[[#This Row],[Meter]]&amp;" "&amp;Table1[[#This Row],[Rhythm]])&amp;IF(Table1[[#This Row],[Alt]]="",""," Chorus "&amp;Table1[[#This Row],[Alt]])</f>
        <v>6.5.11.6.5.11.</v>
      </c>
      <c r="B34" s="5" t="s">
        <v>328</v>
      </c>
      <c r="C34" s="5">
        <v>27</v>
      </c>
      <c r="D34" s="5"/>
      <c r="E34" s="5"/>
      <c r="F34" s="5">
        <v>600</v>
      </c>
    </row>
    <row r="35" spans="1:6" hidden="1" x14ac:dyDescent="0.3">
      <c r="A35" s="5" t="str">
        <f>IF(Table1[[#This Row],[Rhythm]]="",Table1[Meter],Table1[[#This Row],[Meter]]&amp;" "&amp;Table1[[#This Row],[Rhythm]])&amp;IF(Table1[[#This Row],[Alt]]="",""," Chorus "&amp;Table1[[#This Row],[Alt]])</f>
        <v>6.5.6.5.</v>
      </c>
      <c r="B35" s="5" t="s">
        <v>2649</v>
      </c>
      <c r="C35" s="5">
        <v>122</v>
      </c>
      <c r="D35" s="5"/>
      <c r="E35" s="5"/>
      <c r="F35" s="5">
        <v>600</v>
      </c>
    </row>
    <row r="36" spans="1:6" hidden="1" x14ac:dyDescent="0.3">
      <c r="A36" s="5" t="str">
        <f>IF(Table1[[#This Row],[Rhythm]]="",Table1[Meter],Table1[[#This Row],[Meter]]&amp;" "&amp;Table1[[#This Row],[Rhythm]])&amp;IF(Table1[[#This Row],[Alt]]="",""," Chorus "&amp;Table1[[#This Row],[Alt]])</f>
        <v>6.5.6.5.6.5.6.5.</v>
      </c>
      <c r="B36" s="5" t="s">
        <v>2650</v>
      </c>
      <c r="C36" s="5">
        <v>110</v>
      </c>
      <c r="D36" s="5"/>
      <c r="E36" s="5"/>
      <c r="F36" s="5">
        <v>600</v>
      </c>
    </row>
    <row r="37" spans="1:6" hidden="1" x14ac:dyDescent="0.3">
      <c r="A37" s="5" t="str">
        <f>IF(Table1[[#This Row],[Rhythm]]="",Table1[Meter],Table1[[#This Row],[Meter]]&amp;" "&amp;Table1[[#This Row],[Rhythm]])&amp;IF(Table1[[#This Row],[Alt]]="",""," Chorus "&amp;Table1[[#This Row],[Alt]])</f>
        <v>6.6.4.6.6.4.</v>
      </c>
      <c r="B37" s="5" t="s">
        <v>2651</v>
      </c>
      <c r="C37" s="5">
        <v>135</v>
      </c>
      <c r="D37" s="5"/>
      <c r="E37" s="5"/>
      <c r="F37" s="5">
        <v>600</v>
      </c>
    </row>
    <row r="38" spans="1:6" hidden="1" x14ac:dyDescent="0.3">
      <c r="A38" s="5" t="str">
        <f>IF(Table1[[#This Row],[Rhythm]]="",Table1[Meter],Table1[[#This Row],[Meter]]&amp;" "&amp;Table1[[#This Row],[Rhythm]])&amp;IF(Table1[[#This Row],[Alt]]="",""," Chorus "&amp;Table1[[#This Row],[Alt]])</f>
        <v>6.6.4.6.6.6.4.</v>
      </c>
      <c r="B38" s="5" t="s">
        <v>406</v>
      </c>
      <c r="C38" s="5">
        <v>93</v>
      </c>
      <c r="D38" s="5"/>
      <c r="E38" s="5"/>
      <c r="F38" s="5">
        <v>600</v>
      </c>
    </row>
    <row r="39" spans="1:6" hidden="1" x14ac:dyDescent="0.3">
      <c r="A39" s="5" t="str">
        <f>IF(Table1[[#This Row],[Rhythm]]="",Table1[Meter],Table1[[#This Row],[Meter]]&amp;" "&amp;Table1[[#This Row],[Rhythm]])&amp;IF(Table1[[#This Row],[Alt]]="",""," Chorus "&amp;Table1[[#This Row],[Alt]])</f>
        <v>6.6.6.5.6.6.6.5.</v>
      </c>
      <c r="B39" s="5" t="s">
        <v>913</v>
      </c>
      <c r="C39" s="5">
        <v>43</v>
      </c>
      <c r="D39" s="5"/>
      <c r="E39" s="5"/>
      <c r="F39" s="5">
        <v>600</v>
      </c>
    </row>
    <row r="40" spans="1:6" hidden="1" x14ac:dyDescent="0.3">
      <c r="A40" s="5" t="str">
        <f>IF(Table1[[#This Row],[Rhythm]]="",Table1[Meter],Table1[[#This Row],[Meter]]&amp;" "&amp;Table1[[#This Row],[Rhythm]])&amp;IF(Table1[[#This Row],[Alt]]="",""," Chorus "&amp;Table1[[#This Row],[Alt]])</f>
        <v>6.6.6.6.6.6.6.6.</v>
      </c>
      <c r="B40" s="5" t="s">
        <v>463</v>
      </c>
      <c r="C40" s="5">
        <v>90</v>
      </c>
      <c r="D40" s="5"/>
      <c r="E40" s="5"/>
      <c r="F40" s="5">
        <v>600</v>
      </c>
    </row>
    <row r="41" spans="1:6" x14ac:dyDescent="0.3">
      <c r="A41" s="5" t="str">
        <f>IF(Table1[[#This Row],[Rhythm]]="",Table1[Meter],Table1[[#This Row],[Meter]]&amp;" "&amp;Table1[[#This Row],[Rhythm]])&amp;IF(Table1[[#This Row],[Alt]]="",""," Chorus "&amp;Table1[[#This Row],[Alt]])</f>
        <v>6.6.6.6.8.8.</v>
      </c>
      <c r="B41" s="5" t="s">
        <v>540</v>
      </c>
      <c r="C41" s="5">
        <v>51</v>
      </c>
      <c r="D41" s="5"/>
      <c r="E41" s="5"/>
      <c r="F41" s="5">
        <v>600</v>
      </c>
    </row>
    <row r="42" spans="1:6" x14ac:dyDescent="0.3">
      <c r="A42" s="5" t="str">
        <f>IF(Table1[[#This Row],[Rhythm]]="",Table1[Meter],Table1[[#This Row],[Meter]]&amp;" "&amp;Table1[[#This Row],[Rhythm]])&amp;IF(Table1[[#This Row],[Alt]]="",""," Chorus "&amp;Table1[[#This Row],[Alt]])</f>
        <v>6.6.8.4.</v>
      </c>
      <c r="B42" s="5" t="s">
        <v>707</v>
      </c>
      <c r="C42" s="5">
        <v>42</v>
      </c>
      <c r="D42" s="5"/>
      <c r="E42" s="5"/>
      <c r="F42" s="5">
        <v>600</v>
      </c>
    </row>
    <row r="43" spans="1:6" x14ac:dyDescent="0.3">
      <c r="A43" s="5" t="str">
        <f>IF(Table1[[#This Row],[Rhythm]]="",Table1[Meter],Table1[[#This Row],[Meter]]&amp;" "&amp;Table1[[#This Row],[Rhythm]])&amp;IF(Table1[[#This Row],[Alt]]="",""," Chorus "&amp;Table1[[#This Row],[Alt]])</f>
        <v>6.6.8.4.6.6.8.4.</v>
      </c>
      <c r="B43" s="5" t="s">
        <v>387</v>
      </c>
      <c r="C43" s="5">
        <v>23</v>
      </c>
      <c r="D43" s="5"/>
      <c r="E43" s="5"/>
      <c r="F43" s="5">
        <v>600</v>
      </c>
    </row>
    <row r="44" spans="1:6" x14ac:dyDescent="0.3">
      <c r="A44" s="5" t="str">
        <f>IF(Table1[[#This Row],[Rhythm]]="",Table1[Meter],Table1[[#This Row],[Meter]]&amp;" "&amp;Table1[[#This Row],[Rhythm]])&amp;IF(Table1[[#This Row],[Alt]]="",""," Chorus "&amp;Table1[[#This Row],[Alt]])</f>
        <v>6.6.8.6.</v>
      </c>
      <c r="B44" s="5" t="s">
        <v>2652</v>
      </c>
      <c r="C44" s="5">
        <v>106</v>
      </c>
      <c r="D44" s="5"/>
      <c r="E44" s="5"/>
      <c r="F44" s="5">
        <v>600</v>
      </c>
    </row>
    <row r="45" spans="1:6" x14ac:dyDescent="0.3">
      <c r="A45" s="5" t="str">
        <f>IF(Table1[[#This Row],[Rhythm]]="",Table1[Meter],Table1[[#This Row],[Meter]]&amp;" "&amp;Table1[[#This Row],[Rhythm]])&amp;IF(Table1[[#This Row],[Alt]]="",""," Chorus "&amp;Table1[[#This Row],[Alt]])</f>
        <v>6.6.8.6.6.6.8.6.</v>
      </c>
      <c r="B45" s="5" t="s">
        <v>2653</v>
      </c>
      <c r="C45" s="5">
        <v>129</v>
      </c>
      <c r="D45" s="5"/>
      <c r="E45" s="5"/>
      <c r="F45" s="5">
        <v>600</v>
      </c>
    </row>
    <row r="46" spans="1:6" x14ac:dyDescent="0.3">
      <c r="A46" s="5" t="str">
        <f>IF(Table1[[#This Row],[Rhythm]]="",Table1[Meter],Table1[[#This Row],[Meter]]&amp;" "&amp;Table1[[#This Row],[Rhythm]])&amp;IF(Table1[[#This Row],[Alt]]="",""," Chorus "&amp;Table1[[#This Row],[Alt]])</f>
        <v>6.6.8.6.6.8.</v>
      </c>
      <c r="B46" s="5" t="s">
        <v>332</v>
      </c>
      <c r="C46" s="5">
        <v>73</v>
      </c>
      <c r="D46" s="5"/>
      <c r="E46" s="5"/>
      <c r="F46" s="5">
        <v>600</v>
      </c>
    </row>
    <row r="47" spans="1:6" hidden="1" x14ac:dyDescent="0.3">
      <c r="A47" s="5" t="str">
        <f>IF(Table1[[#This Row],[Rhythm]]="",Table1[Meter],Table1[[#This Row],[Meter]]&amp;" "&amp;Table1[[#This Row],[Rhythm]])&amp;IF(Table1[[#This Row],[Alt]]="",""," Chorus "&amp;Table1[[#This Row],[Alt]])</f>
        <v>7.6.7.6.</v>
      </c>
      <c r="B47" s="5" t="s">
        <v>886</v>
      </c>
      <c r="C47" s="5">
        <v>41</v>
      </c>
      <c r="D47" s="5"/>
      <c r="E47" s="5"/>
      <c r="F47" s="5">
        <v>700</v>
      </c>
    </row>
    <row r="48" spans="1:6" hidden="1" x14ac:dyDescent="0.3">
      <c r="A48" s="5" t="str">
        <f>IF(Table1[[#This Row],[Rhythm]]="",Table1[Meter],Table1[[#This Row],[Meter]]&amp;" "&amp;Table1[[#This Row],[Rhythm]])&amp;IF(Table1[[#This Row],[Alt]]="",""," Chorus "&amp;Table1[[#This Row],[Alt]])</f>
        <v>7.6.7.6.7.6.7.6.</v>
      </c>
      <c r="B48" s="5" t="s">
        <v>467</v>
      </c>
      <c r="C48" s="5">
        <v>34</v>
      </c>
      <c r="D48" s="5"/>
      <c r="E48" s="5"/>
      <c r="F48" s="5">
        <v>700</v>
      </c>
    </row>
    <row r="49" spans="1:6" hidden="1" x14ac:dyDescent="0.3">
      <c r="A49" s="5" t="str">
        <f>IF(Table1[[#This Row],[Rhythm]]="",Table1[Meter],Table1[[#This Row],[Meter]]&amp;" "&amp;Table1[[#This Row],[Rhythm]])&amp;IF(Table1[[#This Row],[Alt]]="",""," Chorus "&amp;Table1[[#This Row],[Alt]])</f>
        <v>7.6.7.6.8.8.</v>
      </c>
      <c r="B49" s="5" t="s">
        <v>903</v>
      </c>
      <c r="C49" s="5">
        <v>81</v>
      </c>
      <c r="D49" s="5"/>
      <c r="E49" s="5"/>
      <c r="F49" s="5">
        <v>700</v>
      </c>
    </row>
    <row r="50" spans="1:6" hidden="1" x14ac:dyDescent="0.3">
      <c r="A50" s="5" t="str">
        <f>IF(Table1[[#This Row],[Rhythm]]="",Table1[Meter],Table1[[#This Row],[Meter]]&amp;" "&amp;Table1[[#This Row],[Rhythm]])&amp;IF(Table1[[#This Row],[Alt]]="",""," Chorus "&amp;Table1[[#This Row],[Alt]])</f>
        <v>7.7.7.7.</v>
      </c>
      <c r="B50" s="5" t="s">
        <v>786</v>
      </c>
      <c r="C50" s="5">
        <v>29</v>
      </c>
      <c r="D50" s="5"/>
      <c r="E50" s="5"/>
      <c r="F50" s="5">
        <v>700</v>
      </c>
    </row>
    <row r="51" spans="1:6" hidden="1" x14ac:dyDescent="0.3">
      <c r="A51" s="5" t="str">
        <f>IF(Table1[[#This Row],[Rhythm]]="",Table1[Meter],Table1[[#This Row],[Meter]]&amp;" "&amp;Table1[[#This Row],[Rhythm]])&amp;IF(Table1[[#This Row],[Alt]]="",""," Chorus "&amp;Table1[[#This Row],[Alt]])</f>
        <v>7.7.7.7.7.7.</v>
      </c>
      <c r="B51" s="5" t="s">
        <v>775</v>
      </c>
      <c r="C51" s="5">
        <v>83</v>
      </c>
      <c r="D51" s="5"/>
      <c r="E51" s="5"/>
      <c r="F51" s="5">
        <v>700</v>
      </c>
    </row>
    <row r="52" spans="1:6" hidden="1" x14ac:dyDescent="0.3">
      <c r="A52" s="5" t="str">
        <f>IF(Table1[[#This Row],[Rhythm]]="",Table1[Meter],Table1[[#This Row],[Meter]]&amp;" "&amp;Table1[[#This Row],[Rhythm]])&amp;IF(Table1[[#This Row],[Alt]]="",""," Chorus "&amp;Table1[[#This Row],[Alt]])</f>
        <v>7.7.7.7.8.8.</v>
      </c>
      <c r="B52" s="5" t="s">
        <v>480</v>
      </c>
      <c r="C52" s="5">
        <v>92</v>
      </c>
      <c r="D52" s="5"/>
      <c r="E52" s="5"/>
      <c r="F52" s="5">
        <v>700</v>
      </c>
    </row>
    <row r="53" spans="1:6" hidden="1" x14ac:dyDescent="0.3">
      <c r="A53" s="5" t="str">
        <f>IF(Table1[[#This Row],[Rhythm]]="",Table1[Meter],Table1[[#This Row],[Meter]]&amp;" "&amp;Table1[[#This Row],[Rhythm]])&amp;IF(Table1[[#This Row],[Alt]]="",""," Chorus "&amp;Table1[[#This Row],[Alt]])</f>
        <v>7.7.7.8.</v>
      </c>
      <c r="B53" s="5" t="s">
        <v>400</v>
      </c>
      <c r="C53" s="5">
        <v>88</v>
      </c>
      <c r="D53" s="5"/>
      <c r="E53" s="5"/>
      <c r="F53" s="5">
        <v>700</v>
      </c>
    </row>
    <row r="54" spans="1:6" hidden="1" x14ac:dyDescent="0.3">
      <c r="A54" s="5" t="str">
        <f>IF(Table1[[#This Row],[Rhythm]]="",Table1[Meter],Table1[[#This Row],[Meter]]&amp;" "&amp;Table1[[#This Row],[Rhythm]])&amp;IF(Table1[[#This Row],[Alt]]="",""," Chorus "&amp;Table1[[#This Row],[Alt]])</f>
        <v>7.7.8.7.7.7.8.7.</v>
      </c>
      <c r="B54" s="5" t="s">
        <v>1064</v>
      </c>
      <c r="C54" s="5">
        <v>82</v>
      </c>
      <c r="D54" s="5"/>
      <c r="E54" s="5"/>
      <c r="F54" s="5">
        <v>700</v>
      </c>
    </row>
    <row r="55" spans="1:6" hidden="1" x14ac:dyDescent="0.3">
      <c r="A55" s="5" t="str">
        <f>IF(Table1[[#This Row],[Rhythm]]="",Table1[Meter],Table1[[#This Row],[Meter]]&amp;" "&amp;Table1[[#This Row],[Rhythm]])&amp;IF(Table1[[#This Row],[Alt]]="",""," Chorus "&amp;Table1[[#This Row],[Alt]])</f>
        <v>7.8.7.8.7.7.</v>
      </c>
      <c r="B55" s="5" t="s">
        <v>2654</v>
      </c>
      <c r="C55" s="5">
        <v>116</v>
      </c>
      <c r="D55" s="5"/>
      <c r="E55" s="5"/>
      <c r="F55" s="5">
        <v>700</v>
      </c>
    </row>
    <row r="56" spans="1:6" hidden="1" x14ac:dyDescent="0.3">
      <c r="A56" s="5" t="str">
        <f>IF(Table1[[#This Row],[Rhythm]]="",Table1[Meter],Table1[[#This Row],[Meter]]&amp;" "&amp;Table1[[#This Row],[Rhythm]])&amp;IF(Table1[[#This Row],[Alt]]="",""," Chorus "&amp;Table1[[#This Row],[Alt]])</f>
        <v>8.3.8.8.</v>
      </c>
      <c r="B56" s="5" t="s">
        <v>2655</v>
      </c>
      <c r="C56" s="5">
        <v>130</v>
      </c>
      <c r="D56" s="5"/>
      <c r="E56" s="5"/>
      <c r="F56" s="5">
        <v>800</v>
      </c>
    </row>
    <row r="57" spans="1:6" hidden="1" x14ac:dyDescent="0.3">
      <c r="A57" s="5" t="str">
        <f>IF(Table1[[#This Row],[Rhythm]]="",Table1[Meter],Table1[[#This Row],[Meter]]&amp;" "&amp;Table1[[#This Row],[Rhythm]])&amp;IF(Table1[[#This Row],[Alt]]="",""," Chorus "&amp;Table1[[#This Row],[Alt]])</f>
        <v>8.4.8.4.8.8.8.4.</v>
      </c>
      <c r="B57" s="5" t="s">
        <v>789</v>
      </c>
      <c r="C57" s="5">
        <v>47</v>
      </c>
      <c r="D57" s="5"/>
      <c r="E57" s="5"/>
      <c r="F57" s="5">
        <v>800</v>
      </c>
    </row>
    <row r="58" spans="1:6" hidden="1" x14ac:dyDescent="0.3">
      <c r="A58" s="5" t="str">
        <f>IF(Table1[[#This Row],[Rhythm]]="",Table1[Meter],Table1[[#This Row],[Meter]]&amp;" "&amp;Table1[[#This Row],[Rhythm]])&amp;IF(Table1[[#This Row],[Alt]]="",""," Chorus "&amp;Table1[[#This Row],[Alt]])</f>
        <v>8.5.8.3.</v>
      </c>
      <c r="B58" s="5" t="s">
        <v>523</v>
      </c>
      <c r="C58" s="5">
        <v>53</v>
      </c>
      <c r="D58" s="5"/>
      <c r="E58" s="5"/>
      <c r="F58" s="5">
        <v>800</v>
      </c>
    </row>
    <row r="59" spans="1:6" hidden="1" x14ac:dyDescent="0.3">
      <c r="A59" s="5" t="str">
        <f>IF(Table1[[#This Row],[Rhythm]]="",Table1[Meter],Table1[[#This Row],[Meter]]&amp;" "&amp;Table1[[#This Row],[Rhythm]])&amp;IF(Table1[[#This Row],[Alt]]="",""," Chorus "&amp;Table1[[#This Row],[Alt]])</f>
        <v>8.5.8.3.</v>
      </c>
      <c r="B59" s="5" t="s">
        <v>523</v>
      </c>
      <c r="C59" s="5">
        <v>102</v>
      </c>
      <c r="D59" s="5"/>
      <c r="E59" s="5"/>
      <c r="F59" s="5">
        <v>800</v>
      </c>
    </row>
    <row r="60" spans="1:6" hidden="1" x14ac:dyDescent="0.3">
      <c r="A60" s="5" t="str">
        <f>IF(Table1[[#This Row],[Rhythm]]="",Table1[Meter],Table1[[#This Row],[Meter]]&amp;" "&amp;Table1[[#This Row],[Rhythm]])&amp;IF(Table1[[#This Row],[Alt]]="",""," Chorus "&amp;Table1[[#This Row],[Alt]])</f>
        <v>8.5.8.5.</v>
      </c>
      <c r="B60" s="5" t="s">
        <v>744</v>
      </c>
      <c r="C60" s="5">
        <v>56</v>
      </c>
      <c r="D60" s="5"/>
      <c r="E60" s="5"/>
      <c r="F60" s="5">
        <v>800</v>
      </c>
    </row>
    <row r="61" spans="1:6" hidden="1" x14ac:dyDescent="0.3">
      <c r="A61" s="5" t="str">
        <f>IF(Table1[[#This Row],[Rhythm]]="",Table1[Meter],Table1[[#This Row],[Meter]]&amp;" "&amp;Table1[[#This Row],[Rhythm]])&amp;IF(Table1[[#This Row],[Alt]]="",""," Chorus "&amp;Table1[[#This Row],[Alt]])</f>
        <v>8.5.8.5.8.5.8.5.</v>
      </c>
      <c r="B61" s="5" t="s">
        <v>781</v>
      </c>
      <c r="C61" s="5">
        <v>37</v>
      </c>
      <c r="D61" s="5"/>
      <c r="E61" s="5"/>
      <c r="F61" s="5">
        <v>800</v>
      </c>
    </row>
    <row r="62" spans="1:6" hidden="1" x14ac:dyDescent="0.3">
      <c r="A62" s="5" t="str">
        <f>IF(Table1[[#This Row],[Rhythm]]="",Table1[Meter],Table1[[#This Row],[Meter]]&amp;" "&amp;Table1[[#This Row],[Rhythm]])&amp;IF(Table1[[#This Row],[Alt]]="",""," Chorus "&amp;Table1[[#This Row],[Alt]])</f>
        <v>8.6.8.4.</v>
      </c>
      <c r="B62" s="5" t="s">
        <v>611</v>
      </c>
      <c r="C62" s="5">
        <v>72</v>
      </c>
      <c r="D62" s="5"/>
      <c r="E62" s="5"/>
      <c r="F62" s="5">
        <v>800</v>
      </c>
    </row>
    <row r="63" spans="1:6" hidden="1" x14ac:dyDescent="0.3">
      <c r="A63" s="5" t="str">
        <f>IF(Table1[[#This Row],[Rhythm]]="",Table1[Meter],Table1[[#This Row],[Meter]]&amp;" "&amp;Table1[[#This Row],[Rhythm]])&amp;IF(Table1[[#This Row],[Alt]]="",""," Chorus "&amp;Table1[[#This Row],[Alt]])</f>
        <v>8.6.8.6.</v>
      </c>
      <c r="B63" s="5" t="s">
        <v>2656</v>
      </c>
      <c r="C63" s="5">
        <v>105</v>
      </c>
      <c r="D63" s="5"/>
      <c r="E63" s="5"/>
      <c r="F63" s="5">
        <v>800</v>
      </c>
    </row>
    <row r="64" spans="1:6" hidden="1" x14ac:dyDescent="0.3">
      <c r="A64" s="5" t="str">
        <f>IF(Table1[[#This Row],[Rhythm]]="",Table1[Meter],Table1[[#This Row],[Meter]]&amp;" "&amp;Table1[[#This Row],[Rhythm]])&amp;IF(Table1[[#This Row],[Alt]]="",""," Chorus "&amp;Table1[[#This Row],[Alt]])</f>
        <v>8.6.8.6.8.6.</v>
      </c>
      <c r="B64" s="5" t="s">
        <v>1179</v>
      </c>
      <c r="C64" s="5">
        <v>96</v>
      </c>
      <c r="D64" s="5"/>
      <c r="E64" s="5"/>
      <c r="F64" s="5">
        <v>800</v>
      </c>
    </row>
    <row r="65" spans="1:6" hidden="1" x14ac:dyDescent="0.3">
      <c r="A65" s="5" t="str">
        <f>IF(Table1[[#This Row],[Rhythm]]="",Table1[Meter],Table1[[#This Row],[Meter]]&amp;" "&amp;Table1[[#This Row],[Rhythm]])&amp;IF(Table1[[#This Row],[Alt]]="",""," Chorus "&amp;Table1[[#This Row],[Alt]])</f>
        <v>8.6.8.6.8.6.8.6.</v>
      </c>
      <c r="B65" s="5" t="s">
        <v>2657</v>
      </c>
      <c r="C65" s="5">
        <v>126</v>
      </c>
      <c r="D65" s="5"/>
      <c r="E65" s="5"/>
      <c r="F65" s="5">
        <v>800</v>
      </c>
    </row>
    <row r="66" spans="1:6" hidden="1" x14ac:dyDescent="0.3">
      <c r="A66" s="5" t="str">
        <f>IF(Table1[[#This Row],[Rhythm]]="",Table1[Meter],Table1[[#This Row],[Meter]]&amp;" "&amp;Table1[[#This Row],[Rhythm]])&amp;IF(Table1[[#This Row],[Alt]]="",""," Chorus "&amp;Table1[[#This Row],[Alt]])</f>
        <v>8.6.8.6.8.8.</v>
      </c>
      <c r="B66" s="5" t="s">
        <v>483</v>
      </c>
      <c r="C66" s="5">
        <v>55</v>
      </c>
      <c r="D66" s="5"/>
      <c r="E66" s="5"/>
      <c r="F66" s="5">
        <v>800</v>
      </c>
    </row>
    <row r="67" spans="1:6" hidden="1" x14ac:dyDescent="0.3">
      <c r="A67" s="5" t="str">
        <f>IF(Table1[[#This Row],[Rhythm]]="",Table1[Meter],Table1[[#This Row],[Meter]]&amp;" "&amp;Table1[[#This Row],[Rhythm]])&amp;IF(Table1[[#This Row],[Alt]]="",""," Chorus "&amp;Table1[[#This Row],[Alt]])</f>
        <v>8.6.8.8.</v>
      </c>
      <c r="B67" s="5" t="s">
        <v>2658</v>
      </c>
      <c r="C67" s="5">
        <v>133</v>
      </c>
      <c r="D67" s="5"/>
      <c r="E67" s="5"/>
      <c r="F67" s="5">
        <v>800</v>
      </c>
    </row>
    <row r="68" spans="1:6" hidden="1" x14ac:dyDescent="0.3">
      <c r="A68" s="5" t="str">
        <f>IF(Table1[[#This Row],[Rhythm]]="",Table1[Meter],Table1[[#This Row],[Meter]]&amp;" "&amp;Table1[[#This Row],[Rhythm]])&amp;IF(Table1[[#This Row],[Alt]]="",""," Chorus "&amp;Table1[[#This Row],[Alt]])</f>
        <v>8.6.8.8.6.</v>
      </c>
      <c r="B68" s="5" t="s">
        <v>2659</v>
      </c>
      <c r="C68" s="5">
        <v>134</v>
      </c>
      <c r="D68" s="5"/>
      <c r="E68" s="5"/>
      <c r="F68" s="5">
        <v>800</v>
      </c>
    </row>
    <row r="69" spans="1:6" hidden="1" x14ac:dyDescent="0.3">
      <c r="A69" s="5" t="str">
        <f>IF(Table1[[#This Row],[Rhythm]]="",Table1[Meter],Table1[[#This Row],[Meter]]&amp;" "&amp;Table1[[#This Row],[Rhythm]])&amp;IF(Table1[[#This Row],[Alt]]="",""," Chorus "&amp;Table1[[#This Row],[Alt]])</f>
        <v>8.6.8.8.6.8.8.</v>
      </c>
      <c r="B69" s="5" t="s">
        <v>630</v>
      </c>
      <c r="C69" s="5">
        <v>36</v>
      </c>
      <c r="D69" s="5"/>
      <c r="E69" s="5"/>
      <c r="F69" s="5">
        <v>800</v>
      </c>
    </row>
    <row r="70" spans="1:6" hidden="1" x14ac:dyDescent="0.3">
      <c r="A70" s="5" t="str">
        <f>IF(Table1[[#This Row],[Rhythm]]="",Table1[Meter],Table1[[#This Row],[Meter]]&amp;" "&amp;Table1[[#This Row],[Rhythm]])&amp;IF(Table1[[#This Row],[Alt]]="",""," Chorus "&amp;Table1[[#This Row],[Alt]])</f>
        <v>8.6.8.8.6.8.8.</v>
      </c>
      <c r="B70" s="5" t="s">
        <v>630</v>
      </c>
      <c r="C70" s="5">
        <v>121</v>
      </c>
      <c r="D70" s="5"/>
      <c r="E70" s="5"/>
      <c r="F70" s="5">
        <v>600</v>
      </c>
    </row>
    <row r="71" spans="1:6" hidden="1" x14ac:dyDescent="0.3">
      <c r="A71" s="5" t="str">
        <f>IF(Table1[[#This Row],[Rhythm]]="",Table1[Meter],Table1[[#This Row],[Meter]]&amp;" "&amp;Table1[[#This Row],[Rhythm]])&amp;IF(Table1[[#This Row],[Alt]]="",""," Chorus "&amp;Table1[[#This Row],[Alt]])</f>
        <v>8.7.8.5.</v>
      </c>
      <c r="B71" s="5" t="s">
        <v>1120</v>
      </c>
      <c r="C71" s="5">
        <v>95</v>
      </c>
      <c r="D71" s="5"/>
      <c r="E71" s="5"/>
      <c r="F71" s="5">
        <v>800</v>
      </c>
    </row>
    <row r="72" spans="1:6" hidden="1" x14ac:dyDescent="0.3">
      <c r="A72" s="5" t="str">
        <f>IF(Table1[[#This Row],[Rhythm]]="",Table1[Meter],Table1[[#This Row],[Meter]]&amp;" "&amp;Table1[[#This Row],[Rhythm]])&amp;IF(Table1[[#This Row],[Alt]]="",""," Chorus "&amp;Table1[[#This Row],[Alt]])</f>
        <v>8.7.8.7.</v>
      </c>
      <c r="B72" s="5" t="s">
        <v>370</v>
      </c>
      <c r="C72" s="5">
        <v>24</v>
      </c>
      <c r="D72" s="5"/>
      <c r="E72" s="5"/>
      <c r="F72" s="5">
        <v>800</v>
      </c>
    </row>
    <row r="73" spans="1:6" hidden="1" x14ac:dyDescent="0.3">
      <c r="A73" s="5" t="str">
        <f>IF(Table1[[#This Row],[Rhythm]]="",Table1[Meter],Table1[[#This Row],[Meter]]&amp;" "&amp;Table1[[#This Row],[Rhythm]])&amp;IF(Table1[[#This Row],[Alt]]="",""," Chorus "&amp;Table1[[#This Row],[Alt]])</f>
        <v>8.7.8.7. Dactylic Chorus 5.7.8.7.</v>
      </c>
      <c r="B73" s="5" t="s">
        <v>370</v>
      </c>
      <c r="C73" s="5">
        <v>54</v>
      </c>
      <c r="D73" s="5" t="s">
        <v>2638</v>
      </c>
      <c r="E73" s="5" t="s">
        <v>2660</v>
      </c>
      <c r="F73" s="5">
        <v>800</v>
      </c>
    </row>
    <row r="74" spans="1:6" hidden="1" x14ac:dyDescent="0.3">
      <c r="A74" s="5" t="str">
        <f>IF(Table1[[#This Row],[Rhythm]]="",Table1[Meter],Table1[[#This Row],[Meter]]&amp;" "&amp;Table1[[#This Row],[Rhythm]])&amp;IF(Table1[[#This Row],[Alt]]="",""," Chorus "&amp;Table1[[#This Row],[Alt]])</f>
        <v>8.7.8.7. Dactylic</v>
      </c>
      <c r="B74" s="5" t="s">
        <v>370</v>
      </c>
      <c r="C74" s="5">
        <v>80</v>
      </c>
      <c r="D74" s="5" t="s">
        <v>2638</v>
      </c>
      <c r="E74" s="5"/>
      <c r="F74" s="5">
        <v>800</v>
      </c>
    </row>
    <row r="75" spans="1:6" hidden="1" x14ac:dyDescent="0.3">
      <c r="A75" s="5" t="str">
        <f>IF(Table1[[#This Row],[Rhythm]]="",Table1[Meter],Table1[[#This Row],[Meter]]&amp;" "&amp;Table1[[#This Row],[Rhythm]])&amp;IF(Table1[[#This Row],[Alt]]="",""," Chorus "&amp;Table1[[#This Row],[Alt]])</f>
        <v>8.7.8.7. Iambic</v>
      </c>
      <c r="B75" s="5" t="s">
        <v>370</v>
      </c>
      <c r="C75" s="5">
        <v>94</v>
      </c>
      <c r="D75" s="5" t="s">
        <v>2661</v>
      </c>
      <c r="E75" s="5"/>
      <c r="F75" s="5">
        <v>800</v>
      </c>
    </row>
    <row r="76" spans="1:6" hidden="1" x14ac:dyDescent="0.3">
      <c r="A76" s="5" t="str">
        <f>IF(Table1[[#This Row],[Rhythm]]="",Table1[Meter],Table1[[#This Row],[Meter]]&amp;" "&amp;Table1[[#This Row],[Rhythm]])&amp;IF(Table1[[#This Row],[Alt]]="",""," Chorus "&amp;Table1[[#This Row],[Alt]])</f>
        <v>8.7.8.7.4.</v>
      </c>
      <c r="B76" s="5" t="s">
        <v>2662</v>
      </c>
      <c r="C76" s="5">
        <v>118</v>
      </c>
      <c r="D76" s="5"/>
      <c r="E76" s="5"/>
      <c r="F76" s="5">
        <v>800</v>
      </c>
    </row>
    <row r="77" spans="1:6" hidden="1" x14ac:dyDescent="0.3">
      <c r="A77" s="5" t="str">
        <f>IF(Table1[[#This Row],[Rhythm]]="",Table1[Meter],Table1[[#This Row],[Meter]]&amp;" "&amp;Table1[[#This Row],[Rhythm]])&amp;IF(Table1[[#This Row],[Alt]]="",""," Chorus "&amp;Table1[[#This Row],[Alt]])</f>
        <v>8.7.8.7.4.4.7. Iambic</v>
      </c>
      <c r="B77" s="5" t="s">
        <v>499</v>
      </c>
      <c r="C77" s="5">
        <v>76</v>
      </c>
      <c r="D77" s="5" t="s">
        <v>2661</v>
      </c>
      <c r="E77" s="5"/>
      <c r="F77" s="5">
        <v>800</v>
      </c>
    </row>
    <row r="78" spans="1:6" hidden="1" x14ac:dyDescent="0.3">
      <c r="A78" s="5" t="str">
        <f>IF(Table1[[#This Row],[Rhythm]]="",Table1[Meter],Table1[[#This Row],[Meter]]&amp;" "&amp;Table1[[#This Row],[Rhythm]])&amp;IF(Table1[[#This Row],[Alt]]="",""," Chorus "&amp;Table1[[#This Row],[Alt]])</f>
        <v>8.7.8.7.4.4.7.7.</v>
      </c>
      <c r="B78" s="5" t="s">
        <v>2663</v>
      </c>
      <c r="C78" s="5">
        <v>107</v>
      </c>
      <c r="D78" s="5"/>
      <c r="E78" s="5"/>
      <c r="F78" s="5">
        <v>800</v>
      </c>
    </row>
    <row r="79" spans="1:6" hidden="1" x14ac:dyDescent="0.3">
      <c r="A79" s="5" t="str">
        <f>IF(Table1[[#This Row],[Rhythm]]="",Table1[Meter],Table1[[#This Row],[Meter]]&amp;" "&amp;Table1[[#This Row],[Rhythm]])&amp;IF(Table1[[#This Row],[Alt]]="",""," Chorus "&amp;Table1[[#This Row],[Alt]])</f>
        <v>8.7.8.7.4.7.</v>
      </c>
      <c r="B79" s="5" t="s">
        <v>470</v>
      </c>
      <c r="C79" s="5">
        <v>50</v>
      </c>
      <c r="D79" s="5"/>
      <c r="E79" s="5"/>
      <c r="F79" s="5">
        <v>800</v>
      </c>
    </row>
    <row r="80" spans="1:6" hidden="1" x14ac:dyDescent="0.3">
      <c r="A80" s="5" t="str">
        <f>IF(Table1[[#This Row],[Rhythm]]="",Table1[Meter],Table1[[#This Row],[Meter]]&amp;" "&amp;Table1[[#This Row],[Rhythm]])&amp;IF(Table1[[#This Row],[Alt]]="",""," Chorus "&amp;Table1[[#This Row],[Alt]])</f>
        <v>8.7.8.7.7.7.</v>
      </c>
      <c r="B80" s="5" t="s">
        <v>498</v>
      </c>
      <c r="C80" s="5">
        <v>77</v>
      </c>
      <c r="D80" s="5"/>
      <c r="E80" s="5"/>
      <c r="F80" s="5">
        <v>800</v>
      </c>
    </row>
    <row r="81" spans="1:6" hidden="1" x14ac:dyDescent="0.3">
      <c r="A81" s="5" t="str">
        <f>IF(Table1[[#This Row],[Rhythm]]="",Table1[Meter],Table1[[#This Row],[Meter]]&amp;" "&amp;Table1[[#This Row],[Rhythm]])&amp;IF(Table1[[#This Row],[Alt]]="",""," Chorus "&amp;Table1[[#This Row],[Alt]])</f>
        <v>8.7.8.7.7.7.8.7.</v>
      </c>
      <c r="B81" s="5" t="s">
        <v>2664</v>
      </c>
      <c r="C81" s="5">
        <v>136</v>
      </c>
      <c r="D81" s="5"/>
      <c r="E81" s="5"/>
      <c r="F81" s="5">
        <v>800</v>
      </c>
    </row>
    <row r="82" spans="1:6" hidden="1" x14ac:dyDescent="0.3">
      <c r="A82" s="5" t="str">
        <f>IF(Table1[[#This Row],[Rhythm]]="",Table1[Meter],Table1[[#This Row],[Meter]]&amp;" "&amp;Table1[[#This Row],[Rhythm]])&amp;IF(Table1[[#This Row],[Alt]]="",""," Chorus "&amp;Table1[[#This Row],[Alt]])</f>
        <v>8.7.8.7.8.7.7.</v>
      </c>
      <c r="B82" s="5" t="s">
        <v>376</v>
      </c>
      <c r="C82" s="5">
        <v>49</v>
      </c>
      <c r="D82" s="5"/>
      <c r="E82" s="5"/>
      <c r="F82" s="5">
        <v>800</v>
      </c>
    </row>
    <row r="83" spans="1:6" hidden="1" x14ac:dyDescent="0.3">
      <c r="A83" s="5" t="str">
        <f>IF(Table1[[#This Row],[Rhythm]]="",Table1[Meter],Table1[[#This Row],[Meter]]&amp;" "&amp;Table1[[#This Row],[Rhythm]])&amp;IF(Table1[[#This Row],[Alt]]="",""," Chorus "&amp;Table1[[#This Row],[Alt]])</f>
        <v>8.7.8.7.8.7.8.7.</v>
      </c>
      <c r="B83" s="5" t="s">
        <v>476</v>
      </c>
      <c r="C83" s="5">
        <v>25</v>
      </c>
      <c r="D83" s="5"/>
      <c r="E83" s="5"/>
      <c r="F83" s="5">
        <v>800</v>
      </c>
    </row>
    <row r="84" spans="1:6" hidden="1" x14ac:dyDescent="0.3">
      <c r="A84" s="5" t="str">
        <f>IF(Table1[[#This Row],[Rhythm]]="",Table1[Meter],Table1[[#This Row],[Meter]]&amp;" "&amp;Table1[[#This Row],[Rhythm]])&amp;IF(Table1[[#This Row],[Alt]]="",""," Chorus "&amp;Table1[[#This Row],[Alt]])</f>
        <v>8.7.8.7.8.7.8.7. Iambic</v>
      </c>
      <c r="B84" s="5" t="s">
        <v>476</v>
      </c>
      <c r="C84" s="5">
        <v>66</v>
      </c>
      <c r="D84" s="5" t="s">
        <v>2661</v>
      </c>
      <c r="E84" s="5"/>
      <c r="F84" s="5">
        <v>800</v>
      </c>
    </row>
    <row r="85" spans="1:6" hidden="1" x14ac:dyDescent="0.3">
      <c r="A85" s="5" t="str">
        <f>IF(Table1[[#This Row],[Rhythm]]="",Table1[Meter],Table1[[#This Row],[Meter]]&amp;" "&amp;Table1[[#This Row],[Rhythm]])&amp;IF(Table1[[#This Row],[Alt]]="",""," Chorus "&amp;Table1[[#This Row],[Alt]])</f>
        <v>8.7.8.7.8.7.8.7.7.7.</v>
      </c>
      <c r="B85" s="5" t="s">
        <v>595</v>
      </c>
      <c r="C85" s="5">
        <v>68</v>
      </c>
      <c r="D85" s="5"/>
      <c r="E85" s="5"/>
      <c r="F85" s="5">
        <v>800</v>
      </c>
    </row>
    <row r="86" spans="1:6" hidden="1" x14ac:dyDescent="0.3">
      <c r="A86" s="5" t="str">
        <f>IF(Table1[[#This Row],[Rhythm]]="",Table1[Meter],Table1[[#This Row],[Meter]]&amp;" "&amp;Table1[[#This Row],[Rhythm]])&amp;IF(Table1[[#This Row],[Alt]]="",""," Chorus "&amp;Table1[[#This Row],[Alt]])</f>
        <v>8.7.8.7.8.8.</v>
      </c>
      <c r="B86" s="5" t="s">
        <v>2665</v>
      </c>
      <c r="C86" s="5">
        <v>124</v>
      </c>
      <c r="D86" s="5"/>
      <c r="E86" s="5"/>
      <c r="F86" s="5">
        <v>800</v>
      </c>
    </row>
    <row r="87" spans="1:6" hidden="1" x14ac:dyDescent="0.3">
      <c r="A87" s="5" t="str">
        <f>IF(Table1[[#This Row],[Rhythm]]="",Table1[Meter],Table1[[#This Row],[Meter]]&amp;" "&amp;Table1[[#This Row],[Rhythm]])&amp;IF(Table1[[#This Row],[Alt]]="",""," Chorus "&amp;Table1[[#This Row],[Alt]])</f>
        <v>8.7.8.7.8.8.7.</v>
      </c>
      <c r="B87" s="5" t="s">
        <v>2666</v>
      </c>
      <c r="C87" s="5">
        <v>111</v>
      </c>
      <c r="D87" s="5"/>
      <c r="E87" s="5"/>
      <c r="F87" s="5">
        <v>800</v>
      </c>
    </row>
    <row r="88" spans="1:6" hidden="1" x14ac:dyDescent="0.3">
      <c r="A88" s="5" t="str">
        <f>IF(Table1[[#This Row],[Rhythm]]="",Table1[Meter],Table1[[#This Row],[Meter]]&amp;" "&amp;Table1[[#This Row],[Rhythm]])&amp;IF(Table1[[#This Row],[Alt]]="",""," Chorus "&amp;Table1[[#This Row],[Alt]])</f>
        <v>8.8.11.8.</v>
      </c>
      <c r="B88" s="5" t="s">
        <v>641</v>
      </c>
      <c r="C88" s="5">
        <v>46</v>
      </c>
      <c r="D88" s="5"/>
      <c r="E88" s="5"/>
      <c r="F88" s="5">
        <v>800</v>
      </c>
    </row>
    <row r="89" spans="1:6" hidden="1" x14ac:dyDescent="0.3">
      <c r="A89" s="5" t="str">
        <f>IF(Table1[[#This Row],[Rhythm]]="",Table1[Meter],Table1[[#This Row],[Meter]]&amp;" "&amp;Table1[[#This Row],[Rhythm]])&amp;IF(Table1[[#This Row],[Alt]]="",""," Chorus "&amp;Table1[[#This Row],[Alt]])</f>
        <v>8.8.4.8.8.4.</v>
      </c>
      <c r="B89" s="5" t="s">
        <v>417</v>
      </c>
      <c r="C89" s="5">
        <v>65</v>
      </c>
      <c r="D89" s="5"/>
      <c r="E89" s="5"/>
      <c r="F89" s="5">
        <v>800</v>
      </c>
    </row>
    <row r="90" spans="1:6" hidden="1" x14ac:dyDescent="0.3">
      <c r="A90" s="5" t="str">
        <f>IF(Table1[[#This Row],[Rhythm]]="",Table1[Meter],Table1[[#This Row],[Meter]]&amp;" "&amp;Table1[[#This Row],[Rhythm]])&amp;IF(Table1[[#This Row],[Alt]]="",""," Chorus "&amp;Table1[[#This Row],[Alt]])</f>
        <v>8.8.4.8.8.8.</v>
      </c>
      <c r="B90" s="5" t="s">
        <v>2667</v>
      </c>
      <c r="C90" s="5">
        <v>108</v>
      </c>
      <c r="D90" s="5"/>
      <c r="E90" s="5"/>
      <c r="F90" s="5">
        <v>800</v>
      </c>
    </row>
    <row r="91" spans="1:6" hidden="1" x14ac:dyDescent="0.3">
      <c r="A91" s="5" t="str">
        <f>IF(Table1[[#This Row],[Rhythm]]="",Table1[Meter],Table1[[#This Row],[Meter]]&amp;" "&amp;Table1[[#This Row],[Rhythm]])&amp;IF(Table1[[#This Row],[Alt]]="",""," Chorus "&amp;Table1[[#This Row],[Alt]])</f>
        <v>8.8.6.8.8.6.</v>
      </c>
      <c r="B91" s="5" t="s">
        <v>527</v>
      </c>
      <c r="C91" s="5">
        <v>20</v>
      </c>
      <c r="D91" s="5"/>
      <c r="E91" s="5"/>
      <c r="F91" s="5">
        <v>800</v>
      </c>
    </row>
    <row r="92" spans="1:6" hidden="1" x14ac:dyDescent="0.3">
      <c r="A92" s="5" t="str">
        <f>IF(Table1[[#This Row],[Rhythm]]="",Table1[Meter],Table1[[#This Row],[Meter]]&amp;" "&amp;Table1[[#This Row],[Rhythm]])&amp;IF(Table1[[#This Row],[Alt]]="",""," Chorus "&amp;Table1[[#This Row],[Alt]])</f>
        <v>8.8.7.7.</v>
      </c>
      <c r="B92" s="5" t="s">
        <v>323</v>
      </c>
      <c r="C92" s="5">
        <v>79</v>
      </c>
      <c r="D92" s="5"/>
      <c r="E92" s="5"/>
      <c r="F92" s="5">
        <v>800</v>
      </c>
    </row>
    <row r="93" spans="1:6" hidden="1" x14ac:dyDescent="0.3">
      <c r="A93" s="5" t="str">
        <f>IF(Table1[[#This Row],[Rhythm]]="",Table1[Meter],Table1[[#This Row],[Meter]]&amp;" "&amp;Table1[[#This Row],[Rhythm]])&amp;IF(Table1[[#This Row],[Alt]]="",""," Chorus "&amp;Table1[[#This Row],[Alt]])</f>
        <v>8.8.8.6.</v>
      </c>
      <c r="B93" s="5" t="s">
        <v>415</v>
      </c>
      <c r="C93" s="5">
        <v>39</v>
      </c>
      <c r="D93" s="5"/>
      <c r="E93" s="5"/>
      <c r="F93" s="5">
        <v>800</v>
      </c>
    </row>
    <row r="94" spans="1:6" hidden="1" x14ac:dyDescent="0.3">
      <c r="A94" s="5" t="str">
        <f>IF(Table1[[#This Row],[Rhythm]]="",Table1[Meter],Table1[[#This Row],[Meter]]&amp;" "&amp;Table1[[#This Row],[Rhythm]])&amp;IF(Table1[[#This Row],[Alt]]="",""," Chorus "&amp;Table1[[#This Row],[Alt]])</f>
        <v>8.8.8.8.</v>
      </c>
      <c r="B94" s="5" t="s">
        <v>343</v>
      </c>
      <c r="C94" s="5">
        <v>30</v>
      </c>
      <c r="D94" s="5"/>
      <c r="E94" s="5"/>
      <c r="F94" s="5">
        <v>800</v>
      </c>
    </row>
    <row r="95" spans="1:6" hidden="1" x14ac:dyDescent="0.3">
      <c r="A95" s="5" t="str">
        <f>IF(Table1[[#This Row],[Rhythm]]="",Table1[Meter],Table1[[#This Row],[Meter]]&amp;" "&amp;Table1[[#This Row],[Rhythm]])&amp;IF(Table1[[#This Row],[Alt]]="",""," Chorus "&amp;Table1[[#This Row],[Alt]])</f>
        <v>8.8.8.8. Dactylic</v>
      </c>
      <c r="B95" s="5" t="s">
        <v>343</v>
      </c>
      <c r="C95" s="5">
        <v>119</v>
      </c>
      <c r="D95" s="5" t="s">
        <v>2638</v>
      </c>
      <c r="E95" s="5"/>
      <c r="F95" s="5">
        <v>800</v>
      </c>
    </row>
    <row r="96" spans="1:6" hidden="1" x14ac:dyDescent="0.3">
      <c r="A96" s="5" t="str">
        <f>IF(Table1[[#This Row],[Rhythm]]="",Table1[Meter],Table1[[#This Row],[Meter]]&amp;" "&amp;Table1[[#This Row],[Rhythm]])&amp;IF(Table1[[#This Row],[Alt]]="",""," Chorus "&amp;Table1[[#This Row],[Alt]])</f>
        <v>8.8.8.8.4.4.6.</v>
      </c>
      <c r="B96" s="5" t="s">
        <v>383</v>
      </c>
      <c r="C96" s="5">
        <v>75</v>
      </c>
      <c r="D96" s="5"/>
      <c r="E96" s="5"/>
      <c r="F96" s="5">
        <v>800</v>
      </c>
    </row>
    <row r="97" spans="1:6" hidden="1" x14ac:dyDescent="0.3">
      <c r="A97" s="5" t="str">
        <f>IF(Table1[[#This Row],[Rhythm]]="",Table1[Meter],Table1[[#This Row],[Meter]]&amp;" "&amp;Table1[[#This Row],[Rhythm]])&amp;IF(Table1[[#This Row],[Alt]]="",""," Chorus "&amp;Table1[[#This Row],[Alt]])</f>
        <v>8.8.8.8.6.</v>
      </c>
      <c r="B97" s="5" t="s">
        <v>520</v>
      </c>
      <c r="C97" s="5">
        <v>58</v>
      </c>
      <c r="D97" s="5"/>
      <c r="E97" s="5"/>
      <c r="F97" s="5">
        <v>800</v>
      </c>
    </row>
    <row r="98" spans="1:6" hidden="1" x14ac:dyDescent="0.3">
      <c r="A98" s="5" t="str">
        <f>IF(Table1[[#This Row],[Rhythm]]="",Table1[Meter],Table1[[#This Row],[Meter]]&amp;" "&amp;Table1[[#This Row],[Rhythm]])&amp;IF(Table1[[#This Row],[Alt]]="",""," Chorus "&amp;Table1[[#This Row],[Alt]])</f>
        <v>8.8.8.8.8.8.</v>
      </c>
      <c r="B98" s="5" t="s">
        <v>554</v>
      </c>
      <c r="C98" s="5">
        <v>26</v>
      </c>
      <c r="D98" s="5"/>
      <c r="E98" s="5"/>
      <c r="F98" s="5">
        <v>800</v>
      </c>
    </row>
    <row r="99" spans="1:6" hidden="1" x14ac:dyDescent="0.3">
      <c r="A99" s="5" t="str">
        <f>IF(Table1[[#This Row],[Rhythm]]="",Table1[Meter],Table1[[#This Row],[Meter]]&amp;" "&amp;Table1[[#This Row],[Rhythm]])&amp;IF(Table1[[#This Row],[Alt]]="",""," Chorus "&amp;Table1[[#This Row],[Alt]])</f>
        <v>8.8.8.8.8.8.8.8.</v>
      </c>
      <c r="B99" s="5" t="s">
        <v>2668</v>
      </c>
      <c r="C99" s="5">
        <v>115</v>
      </c>
      <c r="D99" s="5"/>
      <c r="E99" s="5"/>
      <c r="F99" s="5">
        <v>800</v>
      </c>
    </row>
    <row r="100" spans="1:6" hidden="1" x14ac:dyDescent="0.3">
      <c r="A100" s="5" t="str">
        <f>IF(Table1[[#This Row],[Rhythm]]="",Table1[Meter],Table1[[#This Row],[Meter]]&amp;" "&amp;Table1[[#This Row],[Rhythm]])&amp;IF(Table1[[#This Row],[Alt]]="",""," Chorus "&amp;Table1[[#This Row],[Alt]])</f>
        <v>9.7.9.7.</v>
      </c>
      <c r="B100" s="5" t="s">
        <v>2669</v>
      </c>
      <c r="C100" s="5">
        <v>123</v>
      </c>
      <c r="D100" s="5"/>
      <c r="E100" s="5"/>
      <c r="F100" s="5">
        <v>900</v>
      </c>
    </row>
    <row r="101" spans="1:6" hidden="1" x14ac:dyDescent="0.3">
      <c r="A101" s="5" t="str">
        <f>IF(Table1[[#This Row],[Rhythm]]="",Table1[Meter],Table1[[#This Row],[Meter]]&amp;" "&amp;Table1[[#This Row],[Rhythm]])&amp;IF(Table1[[#This Row],[Alt]]="",""," Chorus "&amp;Table1[[#This Row],[Alt]])</f>
        <v>9.8.9.8.</v>
      </c>
      <c r="B101" s="5" t="s">
        <v>492</v>
      </c>
      <c r="C101" s="5">
        <v>35</v>
      </c>
      <c r="D101" s="5"/>
      <c r="E101" s="5"/>
      <c r="F101" s="5">
        <v>900</v>
      </c>
    </row>
    <row r="102" spans="1:6" hidden="1" x14ac:dyDescent="0.3">
      <c r="A102" s="5" t="str">
        <f>IF(Table1[[#This Row],[Rhythm]]="",Table1[Meter],Table1[[#This Row],[Meter]]&amp;" "&amp;Table1[[#This Row],[Rhythm]])&amp;IF(Table1[[#This Row],[Alt]]="",""," Chorus "&amp;Table1[[#This Row],[Alt]])</f>
        <v>9.8.9.8. Dactylic</v>
      </c>
      <c r="B102" s="5" t="s">
        <v>492</v>
      </c>
      <c r="C102" s="5">
        <v>112</v>
      </c>
      <c r="D102" s="5" t="s">
        <v>2638</v>
      </c>
      <c r="E102" s="5"/>
      <c r="F102" s="5">
        <v>900</v>
      </c>
    </row>
    <row r="103" spans="1:6" hidden="1" x14ac:dyDescent="0.3">
      <c r="A103" s="5" t="str">
        <f>IF(Table1[[#This Row],[Rhythm]]="",Table1[Meter],Table1[[#This Row],[Meter]]&amp;" "&amp;Table1[[#This Row],[Rhythm]])&amp;IF(Table1[[#This Row],[Alt]]="",""," Chorus "&amp;Table1[[#This Row],[Alt]])</f>
        <v>9.8.9.8.8.8.</v>
      </c>
      <c r="B103" s="5" t="s">
        <v>2670</v>
      </c>
      <c r="C103" s="5">
        <v>104</v>
      </c>
      <c r="D103" s="5"/>
      <c r="E103" s="5"/>
      <c r="F103" s="5">
        <v>900</v>
      </c>
    </row>
    <row r="104" spans="1:6" hidden="1" x14ac:dyDescent="0.3">
      <c r="A104" s="5" t="str">
        <f>IF(Table1[[#This Row],[Rhythm]]="",Table1[Meter],Table1[[#This Row],[Meter]]&amp;" "&amp;Table1[[#This Row],[Rhythm]])&amp;IF(Table1[[#This Row],[Alt]]="",""," Chorus "&amp;Table1[[#This Row],[Alt]])</f>
        <v>9.8.9.8.9.8.9.8.</v>
      </c>
      <c r="B104" s="5" t="s">
        <v>878</v>
      </c>
      <c r="C104" s="5">
        <v>59</v>
      </c>
      <c r="D104" s="5"/>
      <c r="E104" s="5"/>
      <c r="F104" s="5">
        <v>900</v>
      </c>
    </row>
    <row r="105" spans="1:6" hidden="1" x14ac:dyDescent="0.3">
      <c r="A105" s="5" t="str">
        <f>IF(Table1[[#This Row],[Rhythm]]="",Table1[Meter],Table1[[#This Row],[Meter]]&amp;" "&amp;Table1[[#This Row],[Rhythm]])&amp;IF(Table1[[#This Row],[Alt]]="",""," Chorus "&amp;Table1[[#This Row],[Alt]])</f>
        <v>9.8.9.8.9.8.9.8. Dactylic</v>
      </c>
      <c r="B105" s="5" t="s">
        <v>878</v>
      </c>
      <c r="C105" s="5">
        <v>125</v>
      </c>
      <c r="D105" s="5" t="s">
        <v>2638</v>
      </c>
      <c r="E105" s="5"/>
      <c r="F105" s="5">
        <v>900</v>
      </c>
    </row>
    <row r="106" spans="1:6" hidden="1" x14ac:dyDescent="0.3">
      <c r="A106" s="5" t="str">
        <f>IF(Table1[[#This Row],[Rhythm]]="",Table1[Meter],Table1[[#This Row],[Meter]]&amp;" "&amp;Table1[[#This Row],[Rhythm]])&amp;IF(Table1[[#This Row],[Alt]]="",""," Chorus "&amp;Table1[[#This Row],[Alt]])</f>
        <v>9.8.9.8.9.8.9.8. Iambic</v>
      </c>
      <c r="B106" s="5" t="s">
        <v>878</v>
      </c>
      <c r="C106" s="5">
        <v>137</v>
      </c>
      <c r="D106" s="5" t="s">
        <v>2661</v>
      </c>
      <c r="E106" s="5"/>
      <c r="F106" s="5">
        <v>900</v>
      </c>
    </row>
    <row r="107" spans="1:6" hidden="1" x14ac:dyDescent="0.3">
      <c r="A107" s="5" t="str">
        <f>IF(Table1[[#This Row],[Rhythm]]="",Table1[Meter],Table1[[#This Row],[Meter]]&amp;" "&amp;Table1[[#This Row],[Rhythm]])&amp;IF(Table1[[#This Row],[Alt]]="",""," Chorus "&amp;Table1[[#This Row],[Alt]])</f>
        <v>9.8.9.8.9.9.</v>
      </c>
      <c r="B107" s="5" t="s">
        <v>2671</v>
      </c>
      <c r="C107" s="5">
        <v>117</v>
      </c>
      <c r="D107" s="5"/>
      <c r="E107" s="5"/>
      <c r="F107" s="5">
        <v>900</v>
      </c>
    </row>
    <row r="108" spans="1:6" hidden="1" x14ac:dyDescent="0.3">
      <c r="A108" s="5" t="str">
        <f>IF(Table1[[#This Row],[Rhythm]]="",Table1[Meter],Table1[[#This Row],[Meter]]&amp;" "&amp;Table1[[#This Row],[Rhythm]])&amp;IF(Table1[[#This Row],[Alt]]="",""," Chorus "&amp;Table1[[#This Row],[Alt]])</f>
        <v>9.9.6.6.6.4.</v>
      </c>
      <c r="B108" s="5" t="s">
        <v>688</v>
      </c>
      <c r="C108" s="5">
        <v>69</v>
      </c>
      <c r="D108" s="5"/>
      <c r="E108" s="5"/>
      <c r="F108" s="5">
        <v>900</v>
      </c>
    </row>
    <row r="109" spans="1:6" hidden="1" x14ac:dyDescent="0.3">
      <c r="A109" s="5" t="str">
        <f>IF(Table1[[#This Row],[Rhythm]]="",Table1[Meter],Table1[[#This Row],[Meter]]&amp;" "&amp;Table1[[#This Row],[Rhythm]])&amp;IF(Table1[[#This Row],[Alt]]="",""," Chorus "&amp;Table1[[#This Row],[Alt]])</f>
        <v>9.9.9.9.</v>
      </c>
      <c r="B109" s="5" t="s">
        <v>1104</v>
      </c>
      <c r="C109" s="5">
        <v>60</v>
      </c>
      <c r="D109" s="5"/>
      <c r="E109" s="5"/>
      <c r="F109" s="5">
        <v>900</v>
      </c>
    </row>
    <row r="110" spans="1:6" hidden="1" x14ac:dyDescent="0.3">
      <c r="A110" s="5" t="str">
        <f>IF(Table1[[#This Row],[Rhythm]]="",Table1[Meter],Table1[[#This Row],[Meter]]&amp;" "&amp;Table1[[#This Row],[Rhythm]])&amp;IF(Table1[[#This Row],[Alt]]="",""," Chorus "&amp;Table1[[#This Row],[Alt]])</f>
        <v>C.M.</v>
      </c>
      <c r="B110" s="5" t="s">
        <v>486</v>
      </c>
      <c r="C110" s="5">
        <v>19</v>
      </c>
      <c r="D110" s="5"/>
      <c r="E110" s="5"/>
      <c r="F110" s="5">
        <v>10</v>
      </c>
    </row>
    <row r="111" spans="1:6" hidden="1" x14ac:dyDescent="0.3">
      <c r="A111" s="5" t="str">
        <f>IF(Table1[[#This Row],[Rhythm]]="",Table1[Meter],Table1[[#This Row],[Meter]]&amp;" "&amp;Table1[[#This Row],[Rhythm]])&amp;IF(Table1[[#This Row],[Alt]]="",""," Chorus "&amp;Table1[[#This Row],[Alt]])</f>
        <v>C.M.D.</v>
      </c>
      <c r="B111" s="5" t="s">
        <v>578</v>
      </c>
      <c r="C111" s="5">
        <v>61</v>
      </c>
      <c r="D111" s="5"/>
      <c r="E111" s="5"/>
      <c r="F111" s="5">
        <v>20</v>
      </c>
    </row>
    <row r="112" spans="1:6" hidden="1" x14ac:dyDescent="0.3">
      <c r="A112" s="5" t="str">
        <f>IF(Table1[[#This Row],[Rhythm]]="",Table1[Meter],Table1[[#This Row],[Meter]]&amp;" "&amp;Table1[[#This Row],[Rhythm]])&amp;IF(Table1[[#This Row],[Alt]]="",""," Chorus "&amp;Table1[[#This Row],[Alt]])</f>
        <v>L.M.</v>
      </c>
      <c r="B112" s="5" t="s">
        <v>516</v>
      </c>
      <c r="C112" s="5">
        <v>16</v>
      </c>
      <c r="D112" s="5"/>
      <c r="E112" s="5"/>
      <c r="F112" s="5">
        <v>30</v>
      </c>
    </row>
    <row r="113" spans="1:6" hidden="1" x14ac:dyDescent="0.3">
      <c r="A113" s="5" t="str">
        <f>IF(Table1[[#This Row],[Rhythm]]="",Table1[Meter],Table1[[#This Row],[Meter]]&amp;" "&amp;Table1[[#This Row],[Rhythm]])&amp;IF(Table1[[#This Row],[Alt]]="",""," Chorus "&amp;Table1[[#This Row],[Alt]])</f>
        <v>L.M.D.</v>
      </c>
      <c r="B113" s="5" t="s">
        <v>845</v>
      </c>
      <c r="C113" s="5">
        <v>84</v>
      </c>
      <c r="D113" s="5"/>
      <c r="E113" s="5"/>
      <c r="F113" s="5">
        <v>40</v>
      </c>
    </row>
    <row r="114" spans="1:6" hidden="1" x14ac:dyDescent="0.3">
      <c r="A114" s="5" t="str">
        <f>IF(Table1[[#This Row],[Rhythm]]="",Table1[Meter],Table1[[#This Row],[Meter]]&amp;" "&amp;Table1[[#This Row],[Rhythm]])&amp;IF(Table1[[#This Row],[Alt]]="",""," Chorus "&amp;Table1[[#This Row],[Alt]])</f>
        <v>S.M.</v>
      </c>
      <c r="B114" s="5" t="s">
        <v>623</v>
      </c>
      <c r="C114" s="5">
        <v>22</v>
      </c>
      <c r="D114" s="5"/>
      <c r="E114" s="5"/>
      <c r="F114" s="5">
        <v>50</v>
      </c>
    </row>
    <row r="115" spans="1:6" hidden="1" x14ac:dyDescent="0.3">
      <c r="A115" s="5" t="str">
        <f>IF(Table1[[#This Row],[Rhythm]]="",Table1[Meter],Table1[[#This Row],[Meter]]&amp;" "&amp;Table1[[#This Row],[Rhythm]])&amp;IF(Table1[[#This Row],[Alt]]="",""," Chorus "&amp;Table1[[#This Row],[Alt]])</f>
        <v>S.M.D.</v>
      </c>
      <c r="B115" s="5" t="s">
        <v>664</v>
      </c>
      <c r="C115" s="5">
        <v>70</v>
      </c>
      <c r="D115" s="5"/>
      <c r="E115" s="5"/>
      <c r="F115" s="5">
        <v>60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F9A7-0B5E-954C-BDE8-B753225CD03C}">
  <sheetPr codeName="Sheet2"/>
  <dimension ref="A1:C787"/>
  <sheetViews>
    <sheetView workbookViewId="0">
      <selection activeCell="A2" sqref="A2"/>
    </sheetView>
  </sheetViews>
  <sheetFormatPr defaultColWidth="11.19921875" defaultRowHeight="15.6" x14ac:dyDescent="0.3"/>
  <cols>
    <col min="1" max="1" width="13" bestFit="1" customWidth="1"/>
    <col min="2" max="2" width="90.19921875" bestFit="1" customWidth="1"/>
    <col min="3" max="3" width="92.796875" bestFit="1" customWidth="1"/>
  </cols>
  <sheetData>
    <row r="1" spans="1:3" x14ac:dyDescent="0.3">
      <c r="A1" s="2" t="s">
        <v>2179</v>
      </c>
      <c r="B1" s="2" t="s">
        <v>2180</v>
      </c>
      <c r="C1" s="2" t="s">
        <v>2636</v>
      </c>
    </row>
    <row r="2" spans="1:3" x14ac:dyDescent="0.3">
      <c r="A2" s="1" t="s">
        <v>0</v>
      </c>
      <c r="B2" s="1" t="e">
        <f ca="1">geturl(Table3[[#This Row],[File]])</f>
        <v>#NAME?</v>
      </c>
      <c r="C2" s="1" t="e">
        <f ca="1">LEFT(Table3[[#This Row],[URL]],LEN(Table3[[#This Row],[URL]])-4)&amp;"raw=1"</f>
        <v>#NAME?</v>
      </c>
    </row>
    <row r="3" spans="1:3" x14ac:dyDescent="0.3">
      <c r="A3" s="1" t="s">
        <v>0</v>
      </c>
      <c r="B3" s="1" t="e">
        <f ca="1">geturl(Table3[[#This Row],[File]])</f>
        <v>#NAME?</v>
      </c>
      <c r="C3" s="1" t="e">
        <f ca="1">LEFT(Table3[[#This Row],[URL]],LEN(Table3[[#This Row],[URL]])-4)&amp;"raw=1"</f>
        <v>#NAME?</v>
      </c>
    </row>
    <row r="4" spans="1:3" x14ac:dyDescent="0.3">
      <c r="A4" s="1" t="s">
        <v>1</v>
      </c>
      <c r="B4" s="1" t="e">
        <f ca="1">geturl(Table3[[#This Row],[File]])</f>
        <v>#NAME?</v>
      </c>
      <c r="C4" s="1" t="e">
        <f ca="1">LEFT(Table3[[#This Row],[URL]],LEN(Table3[[#This Row],[URL]])-4)&amp;"raw=1"</f>
        <v>#NAME?</v>
      </c>
    </row>
    <row r="5" spans="1:3" x14ac:dyDescent="0.3">
      <c r="A5" s="1" t="s">
        <v>1</v>
      </c>
      <c r="B5" s="1" t="e">
        <f ca="1">geturl(Table3[[#This Row],[File]])</f>
        <v>#NAME?</v>
      </c>
      <c r="C5" s="1" t="e">
        <f ca="1">LEFT(Table3[[#This Row],[URL]],LEN(Table3[[#This Row],[URL]])-4)&amp;"raw=1"</f>
        <v>#NAME?</v>
      </c>
    </row>
    <row r="6" spans="1:3" x14ac:dyDescent="0.3">
      <c r="A6" s="1" t="s">
        <v>2</v>
      </c>
      <c r="B6" s="1" t="e">
        <f ca="1">geturl(Table3[[#This Row],[File]])</f>
        <v>#NAME?</v>
      </c>
      <c r="C6" s="1" t="e">
        <f ca="1">LEFT(Table3[[#This Row],[URL]],LEN(Table3[[#This Row],[URL]])-4)&amp;"raw=1"</f>
        <v>#NAME?</v>
      </c>
    </row>
    <row r="7" spans="1:3" x14ac:dyDescent="0.3">
      <c r="A7" s="1" t="s">
        <v>2</v>
      </c>
      <c r="B7" s="1" t="e">
        <f ca="1">geturl(Table3[[#This Row],[File]])</f>
        <v>#NAME?</v>
      </c>
      <c r="C7" s="1" t="e">
        <f ca="1">LEFT(Table3[[#This Row],[URL]],LEN(Table3[[#This Row],[URL]])-4)&amp;"raw=1"</f>
        <v>#NAME?</v>
      </c>
    </row>
    <row r="8" spans="1:3" x14ac:dyDescent="0.3">
      <c r="A8" s="1" t="s">
        <v>3</v>
      </c>
      <c r="B8" s="1" t="e">
        <f ca="1">geturl(Table3[[#This Row],[File]])</f>
        <v>#NAME?</v>
      </c>
      <c r="C8" s="1" t="e">
        <f ca="1">LEFT(Table3[[#This Row],[URL]],LEN(Table3[[#This Row],[URL]])-4)&amp;"raw=1"</f>
        <v>#NAME?</v>
      </c>
    </row>
    <row r="9" spans="1:3" x14ac:dyDescent="0.3">
      <c r="A9" s="1" t="s">
        <v>3</v>
      </c>
      <c r="B9" s="1" t="e">
        <f ca="1">geturl(Table3[[#This Row],[File]])</f>
        <v>#NAME?</v>
      </c>
      <c r="C9" s="1" t="e">
        <f ca="1">LEFT(Table3[[#This Row],[URL]],LEN(Table3[[#This Row],[URL]])-4)&amp;"raw=1"</f>
        <v>#NAME?</v>
      </c>
    </row>
    <row r="10" spans="1:3" x14ac:dyDescent="0.3">
      <c r="A10" s="1" t="s">
        <v>4</v>
      </c>
      <c r="B10" s="1" t="e">
        <f ca="1">geturl(Table3[[#This Row],[File]])</f>
        <v>#NAME?</v>
      </c>
      <c r="C10" s="1" t="e">
        <f ca="1">LEFT(Table3[[#This Row],[URL]],LEN(Table3[[#This Row],[URL]])-4)&amp;"raw=1"</f>
        <v>#NAME?</v>
      </c>
    </row>
    <row r="11" spans="1:3" x14ac:dyDescent="0.3">
      <c r="A11" s="1" t="s">
        <v>4</v>
      </c>
      <c r="B11" s="1" t="e">
        <f ca="1">geturl(Table3[[#This Row],[File]])</f>
        <v>#NAME?</v>
      </c>
      <c r="C11" s="1" t="e">
        <f ca="1">LEFT(Table3[[#This Row],[URL]],LEN(Table3[[#This Row],[URL]])-4)&amp;"raw=1"</f>
        <v>#NAME?</v>
      </c>
    </row>
    <row r="12" spans="1:3" x14ac:dyDescent="0.3">
      <c r="A12" s="1" t="s">
        <v>5</v>
      </c>
      <c r="B12" s="1" t="e">
        <f ca="1">geturl(Table3[[#This Row],[File]])</f>
        <v>#NAME?</v>
      </c>
      <c r="C12" s="1" t="e">
        <f ca="1">LEFT(Table3[[#This Row],[URL]],LEN(Table3[[#This Row],[URL]])-4)&amp;"raw=1"</f>
        <v>#NAME?</v>
      </c>
    </row>
    <row r="13" spans="1:3" x14ac:dyDescent="0.3">
      <c r="A13" s="1" t="s">
        <v>5</v>
      </c>
      <c r="B13" s="1" t="e">
        <f ca="1">geturl(Table3[[#This Row],[File]])</f>
        <v>#NAME?</v>
      </c>
      <c r="C13" s="1" t="e">
        <f ca="1">LEFT(Table3[[#This Row],[URL]],LEN(Table3[[#This Row],[URL]])-4)&amp;"raw=1"</f>
        <v>#NAME?</v>
      </c>
    </row>
    <row r="14" spans="1:3" x14ac:dyDescent="0.3">
      <c r="A14" s="1" t="s">
        <v>6</v>
      </c>
      <c r="B14" s="1" t="e">
        <f ca="1">geturl(Table3[[#This Row],[File]])</f>
        <v>#NAME?</v>
      </c>
      <c r="C14" s="1" t="e">
        <f ca="1">LEFT(Table3[[#This Row],[URL]],LEN(Table3[[#This Row],[URL]])-4)&amp;"raw=1"</f>
        <v>#NAME?</v>
      </c>
    </row>
    <row r="15" spans="1:3" x14ac:dyDescent="0.3">
      <c r="A15" s="1" t="s">
        <v>6</v>
      </c>
      <c r="B15" s="1" t="e">
        <f ca="1">geturl(Table3[[#This Row],[File]])</f>
        <v>#NAME?</v>
      </c>
      <c r="C15" s="1" t="e">
        <f ca="1">LEFT(Table3[[#This Row],[URL]],LEN(Table3[[#This Row],[URL]])-4)&amp;"raw=1"</f>
        <v>#NAME?</v>
      </c>
    </row>
    <row r="16" spans="1:3" x14ac:dyDescent="0.3">
      <c r="A16" s="1" t="s">
        <v>7</v>
      </c>
      <c r="B16" s="1" t="e">
        <f ca="1">geturl(Table3[[#This Row],[File]])</f>
        <v>#NAME?</v>
      </c>
      <c r="C16" s="1" t="e">
        <f ca="1">LEFT(Table3[[#This Row],[URL]],LEN(Table3[[#This Row],[URL]])-4)&amp;"raw=1"</f>
        <v>#NAME?</v>
      </c>
    </row>
    <row r="17" spans="1:3" x14ac:dyDescent="0.3">
      <c r="A17" s="1" t="s">
        <v>7</v>
      </c>
      <c r="B17" s="1" t="e">
        <f ca="1">geturl(Table3[[#This Row],[File]])</f>
        <v>#NAME?</v>
      </c>
      <c r="C17" s="1" t="e">
        <f ca="1">LEFT(Table3[[#This Row],[URL]],LEN(Table3[[#This Row],[URL]])-4)&amp;"raw=1"</f>
        <v>#NAME?</v>
      </c>
    </row>
    <row r="18" spans="1:3" x14ac:dyDescent="0.3">
      <c r="A18" s="1" t="s">
        <v>8</v>
      </c>
      <c r="B18" s="1" t="e">
        <f ca="1">geturl(Table3[[#This Row],[File]])</f>
        <v>#NAME?</v>
      </c>
      <c r="C18" s="1" t="e">
        <f ca="1">LEFT(Table3[[#This Row],[URL]],LEN(Table3[[#This Row],[URL]])-4)&amp;"raw=1"</f>
        <v>#NAME?</v>
      </c>
    </row>
    <row r="19" spans="1:3" x14ac:dyDescent="0.3">
      <c r="A19" s="1" t="s">
        <v>8</v>
      </c>
      <c r="B19" s="1" t="e">
        <f ca="1">geturl(Table3[[#This Row],[File]])</f>
        <v>#NAME?</v>
      </c>
      <c r="C19" s="1" t="e">
        <f ca="1">LEFT(Table3[[#This Row],[URL]],LEN(Table3[[#This Row],[URL]])-4)&amp;"raw=1"</f>
        <v>#NAME?</v>
      </c>
    </row>
    <row r="20" spans="1:3" x14ac:dyDescent="0.3">
      <c r="A20" s="1" t="s">
        <v>9</v>
      </c>
      <c r="B20" s="1" t="e">
        <f ca="1">geturl(Table3[[#This Row],[File]])</f>
        <v>#NAME?</v>
      </c>
      <c r="C20" s="1" t="e">
        <f ca="1">LEFT(Table3[[#This Row],[URL]],LEN(Table3[[#This Row],[URL]])-4)&amp;"raw=1"</f>
        <v>#NAME?</v>
      </c>
    </row>
    <row r="21" spans="1:3" x14ac:dyDescent="0.3">
      <c r="A21" s="1" t="s">
        <v>9</v>
      </c>
      <c r="B21" s="1" t="e">
        <f ca="1">geturl(Table3[[#This Row],[File]])</f>
        <v>#NAME?</v>
      </c>
      <c r="C21" s="1" t="e">
        <f ca="1">LEFT(Table3[[#This Row],[URL]],LEN(Table3[[#This Row],[URL]])-4)&amp;"raw=1"</f>
        <v>#NAME?</v>
      </c>
    </row>
    <row r="22" spans="1:3" x14ac:dyDescent="0.3">
      <c r="A22" s="1" t="s">
        <v>10</v>
      </c>
      <c r="B22" s="1" t="e">
        <f ca="1">geturl(Table3[[#This Row],[File]])</f>
        <v>#NAME?</v>
      </c>
      <c r="C22" s="1" t="e">
        <f ca="1">LEFT(Table3[[#This Row],[URL]],LEN(Table3[[#This Row],[URL]])-4)&amp;"raw=1"</f>
        <v>#NAME?</v>
      </c>
    </row>
    <row r="23" spans="1:3" x14ac:dyDescent="0.3">
      <c r="A23" s="1" t="s">
        <v>10</v>
      </c>
      <c r="B23" s="1" t="e">
        <f ca="1">geturl(Table3[[#This Row],[File]])</f>
        <v>#NAME?</v>
      </c>
      <c r="C23" s="1" t="e">
        <f ca="1">LEFT(Table3[[#This Row],[URL]],LEN(Table3[[#This Row],[URL]])-4)&amp;"raw=1"</f>
        <v>#NAME?</v>
      </c>
    </row>
    <row r="24" spans="1:3" x14ac:dyDescent="0.3">
      <c r="A24" s="1" t="s">
        <v>11</v>
      </c>
      <c r="B24" s="1" t="e">
        <f ca="1">geturl(Table3[[#This Row],[File]])</f>
        <v>#NAME?</v>
      </c>
      <c r="C24" s="1" t="e">
        <f ca="1">LEFT(Table3[[#This Row],[URL]],LEN(Table3[[#This Row],[URL]])-4)&amp;"raw=1"</f>
        <v>#NAME?</v>
      </c>
    </row>
    <row r="25" spans="1:3" x14ac:dyDescent="0.3">
      <c r="A25" s="1" t="s">
        <v>11</v>
      </c>
      <c r="B25" s="1" t="e">
        <f ca="1">geturl(Table3[[#This Row],[File]])</f>
        <v>#NAME?</v>
      </c>
      <c r="C25" s="1" t="e">
        <f ca="1">LEFT(Table3[[#This Row],[URL]],LEN(Table3[[#This Row],[URL]])-4)&amp;"raw=1"</f>
        <v>#NAME?</v>
      </c>
    </row>
    <row r="26" spans="1:3" x14ac:dyDescent="0.3">
      <c r="A26" s="1" t="s">
        <v>12</v>
      </c>
      <c r="B26" s="1" t="e">
        <f ca="1">geturl(Table3[[#This Row],[File]])</f>
        <v>#NAME?</v>
      </c>
      <c r="C26" s="1" t="e">
        <f ca="1">LEFT(Table3[[#This Row],[URL]],LEN(Table3[[#This Row],[URL]])-4)&amp;"raw=1"</f>
        <v>#NAME?</v>
      </c>
    </row>
    <row r="27" spans="1:3" x14ac:dyDescent="0.3">
      <c r="A27" s="1" t="s">
        <v>12</v>
      </c>
      <c r="B27" s="1" t="e">
        <f ca="1">geturl(Table3[[#This Row],[File]])</f>
        <v>#NAME?</v>
      </c>
      <c r="C27" s="1" t="e">
        <f ca="1">LEFT(Table3[[#This Row],[URL]],LEN(Table3[[#This Row],[URL]])-4)&amp;"raw=1"</f>
        <v>#NAME?</v>
      </c>
    </row>
    <row r="28" spans="1:3" x14ac:dyDescent="0.3">
      <c r="A28" s="1" t="s">
        <v>13</v>
      </c>
      <c r="B28" s="1" t="e">
        <f ca="1">geturl(Table3[[#This Row],[File]])</f>
        <v>#NAME?</v>
      </c>
      <c r="C28" s="1" t="e">
        <f ca="1">LEFT(Table3[[#This Row],[URL]],LEN(Table3[[#This Row],[URL]])-4)&amp;"raw=1"</f>
        <v>#NAME?</v>
      </c>
    </row>
    <row r="29" spans="1:3" x14ac:dyDescent="0.3">
      <c r="A29" s="1" t="s">
        <v>13</v>
      </c>
      <c r="B29" s="1" t="e">
        <f ca="1">geturl(Table3[[#This Row],[File]])</f>
        <v>#NAME?</v>
      </c>
      <c r="C29" s="1" t="e">
        <f ca="1">LEFT(Table3[[#This Row],[URL]],LEN(Table3[[#This Row],[URL]])-4)&amp;"raw=1"</f>
        <v>#NAME?</v>
      </c>
    </row>
    <row r="30" spans="1:3" x14ac:dyDescent="0.3">
      <c r="A30" s="1" t="s">
        <v>14</v>
      </c>
      <c r="B30" s="1" t="e">
        <f ca="1">geturl(Table3[[#This Row],[File]])</f>
        <v>#NAME?</v>
      </c>
      <c r="C30" s="1" t="e">
        <f ca="1">LEFT(Table3[[#This Row],[URL]],LEN(Table3[[#This Row],[URL]])-4)&amp;"raw=1"</f>
        <v>#NAME?</v>
      </c>
    </row>
    <row r="31" spans="1:3" x14ac:dyDescent="0.3">
      <c r="A31" s="1" t="s">
        <v>14</v>
      </c>
      <c r="B31" s="1" t="e">
        <f ca="1">geturl(Table3[[#This Row],[File]])</f>
        <v>#NAME?</v>
      </c>
      <c r="C31" s="1" t="e">
        <f ca="1">LEFT(Table3[[#This Row],[URL]],LEN(Table3[[#This Row],[URL]])-4)&amp;"raw=1"</f>
        <v>#NAME?</v>
      </c>
    </row>
    <row r="32" spans="1:3" x14ac:dyDescent="0.3">
      <c r="A32" s="1" t="s">
        <v>15</v>
      </c>
      <c r="B32" s="1" t="e">
        <f ca="1">geturl(Table3[[#This Row],[File]])</f>
        <v>#NAME?</v>
      </c>
      <c r="C32" s="1" t="e">
        <f ca="1">LEFT(Table3[[#This Row],[URL]],LEN(Table3[[#This Row],[URL]])-4)&amp;"raw=1"</f>
        <v>#NAME?</v>
      </c>
    </row>
    <row r="33" spans="1:3" x14ac:dyDescent="0.3">
      <c r="A33" s="1" t="s">
        <v>15</v>
      </c>
      <c r="B33" s="1" t="e">
        <f ca="1">geturl(Table3[[#This Row],[File]])</f>
        <v>#NAME?</v>
      </c>
      <c r="C33" s="1" t="e">
        <f ca="1">LEFT(Table3[[#This Row],[URL]],LEN(Table3[[#This Row],[URL]])-4)&amp;"raw=1"</f>
        <v>#NAME?</v>
      </c>
    </row>
    <row r="34" spans="1:3" x14ac:dyDescent="0.3">
      <c r="A34" s="1" t="s">
        <v>16</v>
      </c>
      <c r="B34" s="1" t="e">
        <f ca="1">geturl(Table3[[#This Row],[File]])</f>
        <v>#NAME?</v>
      </c>
      <c r="C34" s="1" t="e">
        <f ca="1">LEFT(Table3[[#This Row],[URL]],LEN(Table3[[#This Row],[URL]])-4)&amp;"raw=1"</f>
        <v>#NAME?</v>
      </c>
    </row>
    <row r="35" spans="1:3" x14ac:dyDescent="0.3">
      <c r="A35" s="1" t="s">
        <v>16</v>
      </c>
      <c r="B35" s="1" t="e">
        <f ca="1">geturl(Table3[[#This Row],[File]])</f>
        <v>#NAME?</v>
      </c>
      <c r="C35" s="1" t="e">
        <f ca="1">LEFT(Table3[[#This Row],[URL]],LEN(Table3[[#This Row],[URL]])-4)&amp;"raw=1"</f>
        <v>#NAME?</v>
      </c>
    </row>
    <row r="36" spans="1:3" x14ac:dyDescent="0.3">
      <c r="A36" s="1" t="s">
        <v>17</v>
      </c>
      <c r="B36" s="1" t="e">
        <f ca="1">geturl(Table3[[#This Row],[File]])</f>
        <v>#NAME?</v>
      </c>
      <c r="C36" s="1" t="e">
        <f ca="1">LEFT(Table3[[#This Row],[URL]],LEN(Table3[[#This Row],[URL]])-4)&amp;"raw=1"</f>
        <v>#NAME?</v>
      </c>
    </row>
    <row r="37" spans="1:3" x14ac:dyDescent="0.3">
      <c r="A37" s="1" t="s">
        <v>17</v>
      </c>
      <c r="B37" s="1" t="e">
        <f ca="1">geturl(Table3[[#This Row],[File]])</f>
        <v>#NAME?</v>
      </c>
      <c r="C37" s="1" t="e">
        <f ca="1">LEFT(Table3[[#This Row],[URL]],LEN(Table3[[#This Row],[URL]])-4)&amp;"raw=1"</f>
        <v>#NAME?</v>
      </c>
    </row>
    <row r="38" spans="1:3" x14ac:dyDescent="0.3">
      <c r="A38" s="1" t="s">
        <v>18</v>
      </c>
      <c r="B38" s="1" t="e">
        <f ca="1">geturl(Table3[[#This Row],[File]])</f>
        <v>#NAME?</v>
      </c>
      <c r="C38" s="1" t="e">
        <f ca="1">LEFT(Table3[[#This Row],[URL]],LEN(Table3[[#This Row],[URL]])-4)&amp;"raw=1"</f>
        <v>#NAME?</v>
      </c>
    </row>
    <row r="39" spans="1:3" x14ac:dyDescent="0.3">
      <c r="A39" s="1" t="s">
        <v>18</v>
      </c>
      <c r="B39" s="1" t="e">
        <f ca="1">geturl(Table3[[#This Row],[File]])</f>
        <v>#NAME?</v>
      </c>
      <c r="C39" s="1" t="e">
        <f ca="1">LEFT(Table3[[#This Row],[URL]],LEN(Table3[[#This Row],[URL]])-4)&amp;"raw=1"</f>
        <v>#NAME?</v>
      </c>
    </row>
    <row r="40" spans="1:3" x14ac:dyDescent="0.3">
      <c r="A40" s="1" t="s">
        <v>19</v>
      </c>
      <c r="B40" s="1" t="e">
        <f ca="1">geturl(Table3[[#This Row],[File]])</f>
        <v>#NAME?</v>
      </c>
      <c r="C40" s="1" t="e">
        <f ca="1">LEFT(Table3[[#This Row],[URL]],LEN(Table3[[#This Row],[URL]])-4)&amp;"raw=1"</f>
        <v>#NAME?</v>
      </c>
    </row>
    <row r="41" spans="1:3" x14ac:dyDescent="0.3">
      <c r="A41" s="1" t="s">
        <v>19</v>
      </c>
      <c r="B41" s="1" t="e">
        <f ca="1">geturl(Table3[[#This Row],[File]])</f>
        <v>#NAME?</v>
      </c>
      <c r="C41" s="1" t="e">
        <f ca="1">LEFT(Table3[[#This Row],[URL]],LEN(Table3[[#This Row],[URL]])-4)&amp;"raw=1"</f>
        <v>#NAME?</v>
      </c>
    </row>
    <row r="42" spans="1:3" x14ac:dyDescent="0.3">
      <c r="A42" s="1" t="s">
        <v>20</v>
      </c>
      <c r="B42" s="1" t="e">
        <f ca="1">geturl(Table3[[#This Row],[File]])</f>
        <v>#NAME?</v>
      </c>
      <c r="C42" s="1" t="e">
        <f ca="1">LEFT(Table3[[#This Row],[URL]],LEN(Table3[[#This Row],[URL]])-4)&amp;"raw=1"</f>
        <v>#NAME?</v>
      </c>
    </row>
    <row r="43" spans="1:3" x14ac:dyDescent="0.3">
      <c r="A43" s="1" t="s">
        <v>20</v>
      </c>
      <c r="B43" s="1" t="e">
        <f ca="1">geturl(Table3[[#This Row],[File]])</f>
        <v>#NAME?</v>
      </c>
      <c r="C43" s="1" t="e">
        <f ca="1">LEFT(Table3[[#This Row],[URL]],LEN(Table3[[#This Row],[URL]])-4)&amp;"raw=1"</f>
        <v>#NAME?</v>
      </c>
    </row>
    <row r="44" spans="1:3" x14ac:dyDescent="0.3">
      <c r="A44" s="1" t="s">
        <v>21</v>
      </c>
      <c r="B44" s="1" t="e">
        <f ca="1">geturl(Table3[[#This Row],[File]])</f>
        <v>#NAME?</v>
      </c>
      <c r="C44" s="1" t="e">
        <f ca="1">LEFT(Table3[[#This Row],[URL]],LEN(Table3[[#This Row],[URL]])-4)&amp;"raw=1"</f>
        <v>#NAME?</v>
      </c>
    </row>
    <row r="45" spans="1:3" x14ac:dyDescent="0.3">
      <c r="A45" s="1" t="s">
        <v>21</v>
      </c>
      <c r="B45" s="1" t="e">
        <f ca="1">geturl(Table3[[#This Row],[File]])</f>
        <v>#NAME?</v>
      </c>
      <c r="C45" s="1" t="e">
        <f ca="1">LEFT(Table3[[#This Row],[URL]],LEN(Table3[[#This Row],[URL]])-4)&amp;"raw=1"</f>
        <v>#NAME?</v>
      </c>
    </row>
    <row r="46" spans="1:3" x14ac:dyDescent="0.3">
      <c r="A46" s="1" t="s">
        <v>22</v>
      </c>
      <c r="B46" s="1" t="e">
        <f ca="1">geturl(Table3[[#This Row],[File]])</f>
        <v>#NAME?</v>
      </c>
      <c r="C46" s="1" t="e">
        <f ca="1">LEFT(Table3[[#This Row],[URL]],LEN(Table3[[#This Row],[URL]])-4)&amp;"raw=1"</f>
        <v>#NAME?</v>
      </c>
    </row>
    <row r="47" spans="1:3" x14ac:dyDescent="0.3">
      <c r="A47" s="1" t="s">
        <v>22</v>
      </c>
      <c r="B47" s="1" t="e">
        <f ca="1">geturl(Table3[[#This Row],[File]])</f>
        <v>#NAME?</v>
      </c>
      <c r="C47" s="1" t="e">
        <f ca="1">LEFT(Table3[[#This Row],[URL]],LEN(Table3[[#This Row],[URL]])-4)&amp;"raw=1"</f>
        <v>#NAME?</v>
      </c>
    </row>
    <row r="48" spans="1:3" x14ac:dyDescent="0.3">
      <c r="A48" s="1" t="s">
        <v>23</v>
      </c>
      <c r="B48" s="1" t="e">
        <f ca="1">geturl(Table3[[#This Row],[File]])</f>
        <v>#NAME?</v>
      </c>
      <c r="C48" s="1" t="e">
        <f ca="1">LEFT(Table3[[#This Row],[URL]],LEN(Table3[[#This Row],[URL]])-4)&amp;"raw=1"</f>
        <v>#NAME?</v>
      </c>
    </row>
    <row r="49" spans="1:3" x14ac:dyDescent="0.3">
      <c r="A49" s="1" t="s">
        <v>23</v>
      </c>
      <c r="B49" s="1" t="e">
        <f ca="1">geturl(Table3[[#This Row],[File]])</f>
        <v>#NAME?</v>
      </c>
      <c r="C49" s="1" t="e">
        <f ca="1">LEFT(Table3[[#This Row],[URL]],LEN(Table3[[#This Row],[URL]])-4)&amp;"raw=1"</f>
        <v>#NAME?</v>
      </c>
    </row>
    <row r="50" spans="1:3" x14ac:dyDescent="0.3">
      <c r="A50" s="1" t="s">
        <v>24</v>
      </c>
      <c r="B50" s="1" t="e">
        <f ca="1">geturl(Table3[[#This Row],[File]])</f>
        <v>#NAME?</v>
      </c>
      <c r="C50" s="1" t="e">
        <f ca="1">LEFT(Table3[[#This Row],[URL]],LEN(Table3[[#This Row],[URL]])-4)&amp;"raw=1"</f>
        <v>#NAME?</v>
      </c>
    </row>
    <row r="51" spans="1:3" x14ac:dyDescent="0.3">
      <c r="A51" s="1" t="s">
        <v>24</v>
      </c>
      <c r="B51" s="1" t="e">
        <f ca="1">geturl(Table3[[#This Row],[File]])</f>
        <v>#NAME?</v>
      </c>
      <c r="C51" s="1" t="e">
        <f ca="1">LEFT(Table3[[#This Row],[URL]],LEN(Table3[[#This Row],[URL]])-4)&amp;"raw=1"</f>
        <v>#NAME?</v>
      </c>
    </row>
    <row r="52" spans="1:3" x14ac:dyDescent="0.3">
      <c r="A52" s="1" t="s">
        <v>25</v>
      </c>
      <c r="B52" s="1" t="e">
        <f ca="1">geturl(Table3[[#This Row],[File]])</f>
        <v>#NAME?</v>
      </c>
      <c r="C52" s="1" t="e">
        <f ca="1">LEFT(Table3[[#This Row],[URL]],LEN(Table3[[#This Row],[URL]])-4)&amp;"raw=1"</f>
        <v>#NAME?</v>
      </c>
    </row>
    <row r="53" spans="1:3" x14ac:dyDescent="0.3">
      <c r="A53" s="1" t="s">
        <v>25</v>
      </c>
      <c r="B53" s="1" t="e">
        <f ca="1">geturl(Table3[[#This Row],[File]])</f>
        <v>#NAME?</v>
      </c>
      <c r="C53" s="1" t="e">
        <f ca="1">LEFT(Table3[[#This Row],[URL]],LEN(Table3[[#This Row],[URL]])-4)&amp;"raw=1"</f>
        <v>#NAME?</v>
      </c>
    </row>
    <row r="54" spans="1:3" x14ac:dyDescent="0.3">
      <c r="A54" s="1" t="s">
        <v>2181</v>
      </c>
      <c r="B54" s="1" t="e">
        <f ca="1">geturl(Table3[[#This Row],[File]])</f>
        <v>#NAME?</v>
      </c>
      <c r="C54" s="1" t="e">
        <f ca="1">LEFT(Table3[[#This Row],[URL]],LEN(Table3[[#This Row],[URL]])-4)&amp;"raw=1"</f>
        <v>#NAME?</v>
      </c>
    </row>
    <row r="55" spans="1:3" x14ac:dyDescent="0.3">
      <c r="A55" s="1" t="s">
        <v>26</v>
      </c>
      <c r="B55" s="1" t="e">
        <f ca="1">geturl(Table3[[#This Row],[File]])</f>
        <v>#NAME?</v>
      </c>
      <c r="C55" s="1" t="e">
        <f ca="1">LEFT(Table3[[#This Row],[URL]],LEN(Table3[[#This Row],[URL]])-4)&amp;"raw=1"</f>
        <v>#NAME?</v>
      </c>
    </row>
    <row r="56" spans="1:3" x14ac:dyDescent="0.3">
      <c r="A56" s="1" t="s">
        <v>26</v>
      </c>
      <c r="B56" s="1" t="e">
        <f ca="1">geturl(Table3[[#This Row],[File]])</f>
        <v>#NAME?</v>
      </c>
      <c r="C56" s="1" t="e">
        <f ca="1">LEFT(Table3[[#This Row],[URL]],LEN(Table3[[#This Row],[URL]])-4)&amp;"raw=1"</f>
        <v>#NAME?</v>
      </c>
    </row>
    <row r="57" spans="1:3" x14ac:dyDescent="0.3">
      <c r="A57" s="1" t="s">
        <v>27</v>
      </c>
      <c r="B57" s="1" t="e">
        <f ca="1">geturl(Table3[[#This Row],[File]])</f>
        <v>#NAME?</v>
      </c>
      <c r="C57" s="1" t="e">
        <f ca="1">LEFT(Table3[[#This Row],[URL]],LEN(Table3[[#This Row],[URL]])-4)&amp;"raw=1"</f>
        <v>#NAME?</v>
      </c>
    </row>
    <row r="58" spans="1:3" x14ac:dyDescent="0.3">
      <c r="A58" s="1" t="s">
        <v>27</v>
      </c>
      <c r="B58" s="1" t="e">
        <f ca="1">geturl(Table3[[#This Row],[File]])</f>
        <v>#NAME?</v>
      </c>
      <c r="C58" s="1" t="e">
        <f ca="1">LEFT(Table3[[#This Row],[URL]],LEN(Table3[[#This Row],[URL]])-4)&amp;"raw=1"</f>
        <v>#NAME?</v>
      </c>
    </row>
    <row r="59" spans="1:3" x14ac:dyDescent="0.3">
      <c r="A59" s="1" t="s">
        <v>2182</v>
      </c>
      <c r="B59" s="1" t="e">
        <f ca="1">geturl(Table3[[#This Row],[File]])</f>
        <v>#NAME?</v>
      </c>
      <c r="C59" s="1" t="e">
        <f ca="1">LEFT(Table3[[#This Row],[URL]],LEN(Table3[[#This Row],[URL]])-4)&amp;"raw=1"</f>
        <v>#NAME?</v>
      </c>
    </row>
    <row r="60" spans="1:3" x14ac:dyDescent="0.3">
      <c r="A60" s="1" t="s">
        <v>28</v>
      </c>
      <c r="B60" s="1" t="e">
        <f ca="1">geturl(Table3[[#This Row],[File]])</f>
        <v>#NAME?</v>
      </c>
      <c r="C60" s="1" t="e">
        <f ca="1">LEFT(Table3[[#This Row],[URL]],LEN(Table3[[#This Row],[URL]])-4)&amp;"raw=1"</f>
        <v>#NAME?</v>
      </c>
    </row>
    <row r="61" spans="1:3" x14ac:dyDescent="0.3">
      <c r="A61" s="1" t="s">
        <v>28</v>
      </c>
      <c r="B61" s="1" t="e">
        <f ca="1">geturl(Table3[[#This Row],[File]])</f>
        <v>#NAME?</v>
      </c>
      <c r="C61" s="1" t="e">
        <f ca="1">LEFT(Table3[[#This Row],[URL]],LEN(Table3[[#This Row],[URL]])-4)&amp;"raw=1"</f>
        <v>#NAME?</v>
      </c>
    </row>
    <row r="62" spans="1:3" x14ac:dyDescent="0.3">
      <c r="A62" s="1" t="s">
        <v>2183</v>
      </c>
      <c r="B62" s="1" t="e">
        <f ca="1">geturl(Table3[[#This Row],[File]])</f>
        <v>#NAME?</v>
      </c>
      <c r="C62" s="1" t="e">
        <f ca="1">LEFT(Table3[[#This Row],[URL]],LEN(Table3[[#This Row],[URL]])-4)&amp;"raw=1"</f>
        <v>#NAME?</v>
      </c>
    </row>
    <row r="63" spans="1:3" x14ac:dyDescent="0.3">
      <c r="A63" s="1" t="s">
        <v>29</v>
      </c>
      <c r="B63" s="1" t="e">
        <f ca="1">geturl(Table3[[#This Row],[File]])</f>
        <v>#NAME?</v>
      </c>
      <c r="C63" s="1" t="e">
        <f ca="1">LEFT(Table3[[#This Row],[URL]],LEN(Table3[[#This Row],[URL]])-4)&amp;"raw=1"</f>
        <v>#NAME?</v>
      </c>
    </row>
    <row r="64" spans="1:3" x14ac:dyDescent="0.3">
      <c r="A64" s="1" t="s">
        <v>29</v>
      </c>
      <c r="B64" s="1" t="e">
        <f ca="1">geturl(Table3[[#This Row],[File]])</f>
        <v>#NAME?</v>
      </c>
      <c r="C64" s="1" t="e">
        <f ca="1">LEFT(Table3[[#This Row],[URL]],LEN(Table3[[#This Row],[URL]])-4)&amp;"raw=1"</f>
        <v>#NAME?</v>
      </c>
    </row>
    <row r="65" spans="1:3" x14ac:dyDescent="0.3">
      <c r="A65" s="1" t="s">
        <v>2184</v>
      </c>
      <c r="B65" s="1" t="e">
        <f ca="1">geturl(Table3[[#This Row],[File]])</f>
        <v>#NAME?</v>
      </c>
      <c r="C65" s="1" t="e">
        <f ca="1">LEFT(Table3[[#This Row],[URL]],LEN(Table3[[#This Row],[URL]])-4)&amp;"raw=1"</f>
        <v>#NAME?</v>
      </c>
    </row>
    <row r="66" spans="1:3" x14ac:dyDescent="0.3">
      <c r="A66" s="1" t="s">
        <v>30</v>
      </c>
      <c r="B66" s="1" t="e">
        <f ca="1">geturl(Table3[[#This Row],[File]])</f>
        <v>#NAME?</v>
      </c>
      <c r="C66" s="1" t="e">
        <f ca="1">LEFT(Table3[[#This Row],[URL]],LEN(Table3[[#This Row],[URL]])-4)&amp;"raw=1"</f>
        <v>#NAME?</v>
      </c>
    </row>
    <row r="67" spans="1:3" x14ac:dyDescent="0.3">
      <c r="A67" s="1" t="s">
        <v>2185</v>
      </c>
      <c r="B67" s="1" t="e">
        <f ca="1">geturl(Table3[[#This Row],[File]])</f>
        <v>#NAME?</v>
      </c>
      <c r="C67" s="1" t="e">
        <f ca="1">LEFT(Table3[[#This Row],[URL]],LEN(Table3[[#This Row],[URL]])-4)&amp;"raw=1"</f>
        <v>#NAME?</v>
      </c>
    </row>
    <row r="68" spans="1:3" x14ac:dyDescent="0.3">
      <c r="A68" s="1" t="s">
        <v>31</v>
      </c>
      <c r="B68" s="1" t="e">
        <f ca="1">geturl(Table3[[#This Row],[File]])</f>
        <v>#NAME?</v>
      </c>
      <c r="C68" s="1" t="e">
        <f ca="1">LEFT(Table3[[#This Row],[URL]],LEN(Table3[[#This Row],[URL]])-4)&amp;"raw=1"</f>
        <v>#NAME?</v>
      </c>
    </row>
    <row r="69" spans="1:3" x14ac:dyDescent="0.3">
      <c r="A69" s="1" t="s">
        <v>2186</v>
      </c>
      <c r="B69" s="1" t="e">
        <f ca="1">geturl(Table3[[#This Row],[File]])</f>
        <v>#NAME?</v>
      </c>
      <c r="C69" s="1" t="e">
        <f ca="1">LEFT(Table3[[#This Row],[URL]],LEN(Table3[[#This Row],[URL]])-4)&amp;"raw=1"</f>
        <v>#NAME?</v>
      </c>
    </row>
    <row r="70" spans="1:3" x14ac:dyDescent="0.3">
      <c r="A70" s="1" t="s">
        <v>32</v>
      </c>
      <c r="B70" s="1" t="e">
        <f ca="1">geturl(Table3[[#This Row],[File]])</f>
        <v>#NAME?</v>
      </c>
      <c r="C70" s="1" t="e">
        <f ca="1">LEFT(Table3[[#This Row],[URL]],LEN(Table3[[#This Row],[URL]])-4)&amp;"raw=1"</f>
        <v>#NAME?</v>
      </c>
    </row>
    <row r="71" spans="1:3" x14ac:dyDescent="0.3">
      <c r="A71" s="1" t="s">
        <v>33</v>
      </c>
      <c r="B71" s="1" t="e">
        <f ca="1">geturl(Table3[[#This Row],[File]])</f>
        <v>#NAME?</v>
      </c>
      <c r="C71" s="1" t="e">
        <f ca="1">LEFT(Table3[[#This Row],[URL]],LEN(Table3[[#This Row],[URL]])-4)&amp;"raw=1"</f>
        <v>#NAME?</v>
      </c>
    </row>
    <row r="72" spans="1:3" x14ac:dyDescent="0.3">
      <c r="A72" s="1" t="s">
        <v>34</v>
      </c>
      <c r="B72" s="1" t="e">
        <f ca="1">geturl(Table3[[#This Row],[File]])</f>
        <v>#NAME?</v>
      </c>
      <c r="C72" s="1" t="e">
        <f ca="1">LEFT(Table3[[#This Row],[URL]],LEN(Table3[[#This Row],[URL]])-4)&amp;"raw=1"</f>
        <v>#NAME?</v>
      </c>
    </row>
    <row r="73" spans="1:3" x14ac:dyDescent="0.3">
      <c r="A73" s="1" t="s">
        <v>35</v>
      </c>
      <c r="B73" s="1" t="e">
        <f ca="1">geturl(Table3[[#This Row],[File]])</f>
        <v>#NAME?</v>
      </c>
      <c r="C73" s="1" t="e">
        <f ca="1">LEFT(Table3[[#This Row],[URL]],LEN(Table3[[#This Row],[URL]])-4)&amp;"raw=1"</f>
        <v>#NAME?</v>
      </c>
    </row>
    <row r="74" spans="1:3" x14ac:dyDescent="0.3">
      <c r="A74" s="1" t="s">
        <v>36</v>
      </c>
      <c r="B74" s="1" t="e">
        <f ca="1">geturl(Table3[[#This Row],[File]])</f>
        <v>#NAME?</v>
      </c>
      <c r="C74" s="1" t="e">
        <f ca="1">LEFT(Table3[[#This Row],[URL]],LEN(Table3[[#This Row],[URL]])-4)&amp;"raw=1"</f>
        <v>#NAME?</v>
      </c>
    </row>
    <row r="75" spans="1:3" x14ac:dyDescent="0.3">
      <c r="A75" s="1" t="s">
        <v>37</v>
      </c>
      <c r="B75" s="1" t="e">
        <f ca="1">geturl(Table3[[#This Row],[File]])</f>
        <v>#NAME?</v>
      </c>
      <c r="C75" s="1" t="e">
        <f ca="1">LEFT(Table3[[#This Row],[URL]],LEN(Table3[[#This Row],[URL]])-4)&amp;"raw=1"</f>
        <v>#NAME?</v>
      </c>
    </row>
    <row r="76" spans="1:3" x14ac:dyDescent="0.3">
      <c r="A76" s="1" t="s">
        <v>38</v>
      </c>
      <c r="B76" s="1" t="e">
        <f ca="1">geturl(Table3[[#This Row],[File]])</f>
        <v>#NAME?</v>
      </c>
      <c r="C76" s="1" t="e">
        <f ca="1">LEFT(Table3[[#This Row],[URL]],LEN(Table3[[#This Row],[URL]])-4)&amp;"raw=1"</f>
        <v>#NAME?</v>
      </c>
    </row>
    <row r="77" spans="1:3" x14ac:dyDescent="0.3">
      <c r="A77" s="1" t="s">
        <v>39</v>
      </c>
      <c r="B77" s="1" t="e">
        <f ca="1">geturl(Table3[[#This Row],[File]])</f>
        <v>#NAME?</v>
      </c>
      <c r="C77" s="1" t="e">
        <f ca="1">LEFT(Table3[[#This Row],[URL]],LEN(Table3[[#This Row],[URL]])-4)&amp;"raw=1"</f>
        <v>#NAME?</v>
      </c>
    </row>
    <row r="78" spans="1:3" x14ac:dyDescent="0.3">
      <c r="A78" s="1" t="s">
        <v>40</v>
      </c>
      <c r="B78" s="1" t="e">
        <f ca="1">geturl(Table3[[#This Row],[File]])</f>
        <v>#NAME?</v>
      </c>
      <c r="C78" s="1" t="e">
        <f ca="1">LEFT(Table3[[#This Row],[URL]],LEN(Table3[[#This Row],[URL]])-4)&amp;"raw=1"</f>
        <v>#NAME?</v>
      </c>
    </row>
    <row r="79" spans="1:3" x14ac:dyDescent="0.3">
      <c r="A79" s="1" t="s">
        <v>41</v>
      </c>
      <c r="B79" s="1" t="e">
        <f ca="1">geturl(Table3[[#This Row],[File]])</f>
        <v>#NAME?</v>
      </c>
      <c r="C79" s="1" t="e">
        <f ca="1">LEFT(Table3[[#This Row],[URL]],LEN(Table3[[#This Row],[URL]])-4)&amp;"raw=1"</f>
        <v>#NAME?</v>
      </c>
    </row>
    <row r="80" spans="1:3" x14ac:dyDescent="0.3">
      <c r="A80" s="1" t="s">
        <v>2187</v>
      </c>
      <c r="B80" s="1" t="e">
        <f ca="1">geturl(Table3[[#This Row],[File]])</f>
        <v>#NAME?</v>
      </c>
      <c r="C80" s="1" t="e">
        <f ca="1">LEFT(Table3[[#This Row],[URL]],LEN(Table3[[#This Row],[URL]])-4)&amp;"raw=1"</f>
        <v>#NAME?</v>
      </c>
    </row>
    <row r="81" spans="1:3" x14ac:dyDescent="0.3">
      <c r="A81" s="1" t="s">
        <v>42</v>
      </c>
      <c r="B81" s="1" t="e">
        <f ca="1">geturl(Table3[[#This Row],[File]])</f>
        <v>#NAME?</v>
      </c>
      <c r="C81" s="1" t="e">
        <f ca="1">LEFT(Table3[[#This Row],[URL]],LEN(Table3[[#This Row],[URL]])-4)&amp;"raw=1"</f>
        <v>#NAME?</v>
      </c>
    </row>
    <row r="82" spans="1:3" x14ac:dyDescent="0.3">
      <c r="A82" s="1" t="s">
        <v>43</v>
      </c>
      <c r="B82" s="1" t="e">
        <f ca="1">geturl(Table3[[#This Row],[File]])</f>
        <v>#NAME?</v>
      </c>
      <c r="C82" s="1" t="e">
        <f ca="1">LEFT(Table3[[#This Row],[URL]],LEN(Table3[[#This Row],[URL]])-4)&amp;"raw=1"</f>
        <v>#NAME?</v>
      </c>
    </row>
    <row r="83" spans="1:3" x14ac:dyDescent="0.3">
      <c r="A83" s="1" t="s">
        <v>44</v>
      </c>
      <c r="B83" s="1" t="e">
        <f ca="1">geturl(Table3[[#This Row],[File]])</f>
        <v>#NAME?</v>
      </c>
      <c r="C83" s="1" t="e">
        <f ca="1">LEFT(Table3[[#This Row],[URL]],LEN(Table3[[#This Row],[URL]])-4)&amp;"raw=1"</f>
        <v>#NAME?</v>
      </c>
    </row>
    <row r="84" spans="1:3" x14ac:dyDescent="0.3">
      <c r="A84" s="1" t="s">
        <v>45</v>
      </c>
      <c r="B84" s="1" t="e">
        <f ca="1">geturl(Table3[[#This Row],[File]])</f>
        <v>#NAME?</v>
      </c>
      <c r="C84" s="1" t="e">
        <f ca="1">LEFT(Table3[[#This Row],[URL]],LEN(Table3[[#This Row],[URL]])-4)&amp;"raw=1"</f>
        <v>#NAME?</v>
      </c>
    </row>
    <row r="85" spans="1:3" x14ac:dyDescent="0.3">
      <c r="A85" s="1" t="s">
        <v>46</v>
      </c>
      <c r="B85" s="1" t="e">
        <f ca="1">geturl(Table3[[#This Row],[File]])</f>
        <v>#NAME?</v>
      </c>
      <c r="C85" s="1" t="e">
        <f ca="1">LEFT(Table3[[#This Row],[URL]],LEN(Table3[[#This Row],[URL]])-4)&amp;"raw=1"</f>
        <v>#NAME?</v>
      </c>
    </row>
    <row r="86" spans="1:3" x14ac:dyDescent="0.3">
      <c r="A86" s="1" t="s">
        <v>47</v>
      </c>
      <c r="B86" s="1" t="e">
        <f ca="1">geturl(Table3[[#This Row],[File]])</f>
        <v>#NAME?</v>
      </c>
      <c r="C86" s="1" t="e">
        <f ca="1">LEFT(Table3[[#This Row],[URL]],LEN(Table3[[#This Row],[URL]])-4)&amp;"raw=1"</f>
        <v>#NAME?</v>
      </c>
    </row>
    <row r="87" spans="1:3" x14ac:dyDescent="0.3">
      <c r="A87" s="1" t="s">
        <v>48</v>
      </c>
      <c r="B87" s="1" t="e">
        <f ca="1">geturl(Table3[[#This Row],[File]])</f>
        <v>#NAME?</v>
      </c>
      <c r="C87" s="1" t="e">
        <f ca="1">LEFT(Table3[[#This Row],[URL]],LEN(Table3[[#This Row],[URL]])-4)&amp;"raw=1"</f>
        <v>#NAME?</v>
      </c>
    </row>
    <row r="88" spans="1:3" x14ac:dyDescent="0.3">
      <c r="A88" s="1" t="s">
        <v>2188</v>
      </c>
      <c r="B88" s="1" t="e">
        <f ca="1">geturl(Table3[[#This Row],[File]])</f>
        <v>#NAME?</v>
      </c>
      <c r="C88" s="1" t="e">
        <f ca="1">LEFT(Table3[[#This Row],[URL]],LEN(Table3[[#This Row],[URL]])-4)&amp;"raw=1"</f>
        <v>#NAME?</v>
      </c>
    </row>
    <row r="89" spans="1:3" x14ac:dyDescent="0.3">
      <c r="A89" s="1" t="s">
        <v>49</v>
      </c>
      <c r="B89" s="1" t="e">
        <f ca="1">geturl(Table3[[#This Row],[File]])</f>
        <v>#NAME?</v>
      </c>
      <c r="C89" s="1" t="e">
        <f ca="1">LEFT(Table3[[#This Row],[URL]],LEN(Table3[[#This Row],[URL]])-4)&amp;"raw=1"</f>
        <v>#NAME?</v>
      </c>
    </row>
    <row r="90" spans="1:3" x14ac:dyDescent="0.3">
      <c r="A90" s="1" t="s">
        <v>2189</v>
      </c>
      <c r="B90" s="1" t="e">
        <f ca="1">geturl(Table3[[#This Row],[File]])</f>
        <v>#NAME?</v>
      </c>
      <c r="C90" s="1" t="e">
        <f ca="1">LEFT(Table3[[#This Row],[URL]],LEN(Table3[[#This Row],[URL]])-4)&amp;"raw=1"</f>
        <v>#NAME?</v>
      </c>
    </row>
    <row r="91" spans="1:3" x14ac:dyDescent="0.3">
      <c r="A91" s="1" t="s">
        <v>2190</v>
      </c>
      <c r="B91" s="1" t="e">
        <f ca="1">geturl(Table3[[#This Row],[File]])</f>
        <v>#NAME?</v>
      </c>
      <c r="C91" s="1" t="e">
        <f ca="1">LEFT(Table3[[#This Row],[URL]],LEN(Table3[[#This Row],[URL]])-4)&amp;"raw=1"</f>
        <v>#NAME?</v>
      </c>
    </row>
    <row r="92" spans="1:3" x14ac:dyDescent="0.3">
      <c r="A92" s="1" t="s">
        <v>50</v>
      </c>
      <c r="B92" s="1" t="e">
        <f ca="1">geturl(Table3[[#This Row],[File]])</f>
        <v>#NAME?</v>
      </c>
      <c r="C92" s="1" t="e">
        <f ca="1">LEFT(Table3[[#This Row],[URL]],LEN(Table3[[#This Row],[URL]])-4)&amp;"raw=1"</f>
        <v>#NAME?</v>
      </c>
    </row>
    <row r="93" spans="1:3" x14ac:dyDescent="0.3">
      <c r="A93" s="1" t="s">
        <v>51</v>
      </c>
      <c r="B93" s="1" t="e">
        <f ca="1">geturl(Table3[[#This Row],[File]])</f>
        <v>#NAME?</v>
      </c>
      <c r="C93" s="1" t="e">
        <f ca="1">LEFT(Table3[[#This Row],[URL]],LEN(Table3[[#This Row],[URL]])-4)&amp;"raw=1"</f>
        <v>#NAME?</v>
      </c>
    </row>
    <row r="94" spans="1:3" x14ac:dyDescent="0.3">
      <c r="A94" s="1" t="s">
        <v>52</v>
      </c>
      <c r="B94" s="1" t="e">
        <f ca="1">geturl(Table3[[#This Row],[File]])</f>
        <v>#NAME?</v>
      </c>
      <c r="C94" s="1" t="e">
        <f ca="1">LEFT(Table3[[#This Row],[URL]],LEN(Table3[[#This Row],[URL]])-4)&amp;"raw=1"</f>
        <v>#NAME?</v>
      </c>
    </row>
    <row r="95" spans="1:3" x14ac:dyDescent="0.3">
      <c r="A95" s="1" t="s">
        <v>53</v>
      </c>
      <c r="B95" s="1" t="e">
        <f ca="1">geturl(Table3[[#This Row],[File]])</f>
        <v>#NAME?</v>
      </c>
      <c r="C95" s="1" t="e">
        <f ca="1">LEFT(Table3[[#This Row],[URL]],LEN(Table3[[#This Row],[URL]])-4)&amp;"raw=1"</f>
        <v>#NAME?</v>
      </c>
    </row>
    <row r="96" spans="1:3" x14ac:dyDescent="0.3">
      <c r="A96" s="1" t="s">
        <v>54</v>
      </c>
      <c r="B96" s="1" t="e">
        <f ca="1">geturl(Table3[[#This Row],[File]])</f>
        <v>#NAME?</v>
      </c>
      <c r="C96" s="1" t="e">
        <f ca="1">LEFT(Table3[[#This Row],[URL]],LEN(Table3[[#This Row],[URL]])-4)&amp;"raw=1"</f>
        <v>#NAME?</v>
      </c>
    </row>
    <row r="97" spans="1:3" x14ac:dyDescent="0.3">
      <c r="A97" s="1" t="s">
        <v>2191</v>
      </c>
      <c r="B97" s="1" t="e">
        <f ca="1">geturl(Table3[[#This Row],[File]])</f>
        <v>#NAME?</v>
      </c>
      <c r="C97" s="1" t="e">
        <f ca="1">LEFT(Table3[[#This Row],[URL]],LEN(Table3[[#This Row],[URL]])-4)&amp;"raw=1"</f>
        <v>#NAME?</v>
      </c>
    </row>
    <row r="98" spans="1:3" x14ac:dyDescent="0.3">
      <c r="A98" s="1" t="s">
        <v>2192</v>
      </c>
      <c r="B98" s="1" t="e">
        <f ca="1">geturl(Table3[[#This Row],[File]])</f>
        <v>#NAME?</v>
      </c>
      <c r="C98" s="1" t="e">
        <f ca="1">LEFT(Table3[[#This Row],[URL]],LEN(Table3[[#This Row],[URL]])-4)&amp;"raw=1"</f>
        <v>#NAME?</v>
      </c>
    </row>
    <row r="99" spans="1:3" x14ac:dyDescent="0.3">
      <c r="A99" s="1" t="s">
        <v>55</v>
      </c>
      <c r="B99" s="1" t="e">
        <f ca="1">geturl(Table3[[#This Row],[File]])</f>
        <v>#NAME?</v>
      </c>
      <c r="C99" s="1" t="e">
        <f ca="1">LEFT(Table3[[#This Row],[URL]],LEN(Table3[[#This Row],[URL]])-4)&amp;"raw=1"</f>
        <v>#NAME?</v>
      </c>
    </row>
    <row r="100" spans="1:3" x14ac:dyDescent="0.3">
      <c r="A100" s="1" t="s">
        <v>56</v>
      </c>
      <c r="B100" s="1" t="e">
        <f ca="1">geturl(Table3[[#This Row],[File]])</f>
        <v>#NAME?</v>
      </c>
      <c r="C100" s="1" t="e">
        <f ca="1">LEFT(Table3[[#This Row],[URL]],LEN(Table3[[#This Row],[URL]])-4)&amp;"raw=1"</f>
        <v>#NAME?</v>
      </c>
    </row>
    <row r="101" spans="1:3" x14ac:dyDescent="0.3">
      <c r="A101" s="1" t="s">
        <v>57</v>
      </c>
      <c r="B101" s="1" t="e">
        <f ca="1">geturl(Table3[[#This Row],[File]])</f>
        <v>#NAME?</v>
      </c>
      <c r="C101" s="1" t="e">
        <f ca="1">LEFT(Table3[[#This Row],[URL]],LEN(Table3[[#This Row],[URL]])-4)&amp;"raw=1"</f>
        <v>#NAME?</v>
      </c>
    </row>
    <row r="102" spans="1:3" x14ac:dyDescent="0.3">
      <c r="A102" s="1" t="s">
        <v>2193</v>
      </c>
      <c r="B102" s="1" t="e">
        <f ca="1">geturl(Table3[[#This Row],[File]])</f>
        <v>#NAME?</v>
      </c>
      <c r="C102" s="1" t="e">
        <f ca="1">LEFT(Table3[[#This Row],[URL]],LEN(Table3[[#This Row],[URL]])-4)&amp;"raw=1"</f>
        <v>#NAME?</v>
      </c>
    </row>
    <row r="103" spans="1:3" x14ac:dyDescent="0.3">
      <c r="A103" s="1" t="s">
        <v>58</v>
      </c>
      <c r="B103" s="1" t="e">
        <f ca="1">geturl(Table3[[#This Row],[File]])</f>
        <v>#NAME?</v>
      </c>
      <c r="C103" s="1" t="e">
        <f ca="1">LEFT(Table3[[#This Row],[URL]],LEN(Table3[[#This Row],[URL]])-4)&amp;"raw=1"</f>
        <v>#NAME?</v>
      </c>
    </row>
    <row r="104" spans="1:3" x14ac:dyDescent="0.3">
      <c r="A104" s="1" t="s">
        <v>2194</v>
      </c>
      <c r="B104" s="1" t="e">
        <f ca="1">geturl(Table3[[#This Row],[File]])</f>
        <v>#NAME?</v>
      </c>
      <c r="C104" s="1" t="e">
        <f ca="1">LEFT(Table3[[#This Row],[URL]],LEN(Table3[[#This Row],[URL]])-4)&amp;"raw=1"</f>
        <v>#NAME?</v>
      </c>
    </row>
    <row r="105" spans="1:3" x14ac:dyDescent="0.3">
      <c r="A105" s="1" t="s">
        <v>59</v>
      </c>
      <c r="B105" s="1" t="e">
        <f ca="1">geturl(Table3[[#This Row],[File]])</f>
        <v>#NAME?</v>
      </c>
      <c r="C105" s="1" t="e">
        <f ca="1">LEFT(Table3[[#This Row],[URL]],LEN(Table3[[#This Row],[URL]])-4)&amp;"raw=1"</f>
        <v>#NAME?</v>
      </c>
    </row>
    <row r="106" spans="1:3" x14ac:dyDescent="0.3">
      <c r="A106" s="1" t="s">
        <v>60</v>
      </c>
      <c r="B106" s="1" t="e">
        <f ca="1">geturl(Table3[[#This Row],[File]])</f>
        <v>#NAME?</v>
      </c>
      <c r="C106" s="1" t="e">
        <f ca="1">LEFT(Table3[[#This Row],[URL]],LEN(Table3[[#This Row],[URL]])-4)&amp;"raw=1"</f>
        <v>#NAME?</v>
      </c>
    </row>
    <row r="107" spans="1:3" x14ac:dyDescent="0.3">
      <c r="A107" s="1" t="s">
        <v>61</v>
      </c>
      <c r="B107" s="1" t="e">
        <f ca="1">geturl(Table3[[#This Row],[File]])</f>
        <v>#NAME?</v>
      </c>
      <c r="C107" s="1" t="e">
        <f ca="1">LEFT(Table3[[#This Row],[URL]],LEN(Table3[[#This Row],[URL]])-4)&amp;"raw=1"</f>
        <v>#NAME?</v>
      </c>
    </row>
    <row r="108" spans="1:3" x14ac:dyDescent="0.3">
      <c r="A108" s="1" t="s">
        <v>62</v>
      </c>
      <c r="B108" s="1" t="e">
        <f ca="1">geturl(Table3[[#This Row],[File]])</f>
        <v>#NAME?</v>
      </c>
      <c r="C108" s="1" t="e">
        <f ca="1">LEFT(Table3[[#This Row],[URL]],LEN(Table3[[#This Row],[URL]])-4)&amp;"raw=1"</f>
        <v>#NAME?</v>
      </c>
    </row>
    <row r="109" spans="1:3" x14ac:dyDescent="0.3">
      <c r="A109" s="1" t="s">
        <v>2195</v>
      </c>
      <c r="B109" s="1" t="e">
        <f ca="1">geturl(Table3[[#This Row],[File]])</f>
        <v>#NAME?</v>
      </c>
      <c r="C109" s="1" t="e">
        <f ca="1">LEFT(Table3[[#This Row],[URL]],LEN(Table3[[#This Row],[URL]])-4)&amp;"raw=1"</f>
        <v>#NAME?</v>
      </c>
    </row>
    <row r="110" spans="1:3" x14ac:dyDescent="0.3">
      <c r="A110" s="1" t="s">
        <v>63</v>
      </c>
      <c r="B110" s="1" t="e">
        <f ca="1">geturl(Table3[[#This Row],[File]])</f>
        <v>#NAME?</v>
      </c>
      <c r="C110" s="1" t="e">
        <f ca="1">LEFT(Table3[[#This Row],[URL]],LEN(Table3[[#This Row],[URL]])-4)&amp;"raw=1"</f>
        <v>#NAME?</v>
      </c>
    </row>
    <row r="111" spans="1:3" x14ac:dyDescent="0.3">
      <c r="A111" s="1" t="s">
        <v>64</v>
      </c>
      <c r="B111" s="1" t="e">
        <f ca="1">geturl(Table3[[#This Row],[File]])</f>
        <v>#NAME?</v>
      </c>
      <c r="C111" s="1" t="e">
        <f ca="1">LEFT(Table3[[#This Row],[URL]],LEN(Table3[[#This Row],[URL]])-4)&amp;"raw=1"</f>
        <v>#NAME?</v>
      </c>
    </row>
    <row r="112" spans="1:3" x14ac:dyDescent="0.3">
      <c r="A112" s="1" t="s">
        <v>65</v>
      </c>
      <c r="B112" s="1" t="e">
        <f ca="1">geturl(Table3[[#This Row],[File]])</f>
        <v>#NAME?</v>
      </c>
      <c r="C112" s="1" t="e">
        <f ca="1">LEFT(Table3[[#This Row],[URL]],LEN(Table3[[#This Row],[URL]])-4)&amp;"raw=1"</f>
        <v>#NAME?</v>
      </c>
    </row>
    <row r="113" spans="1:3" x14ac:dyDescent="0.3">
      <c r="A113" s="1" t="s">
        <v>66</v>
      </c>
      <c r="B113" s="1" t="e">
        <f ca="1">geturl(Table3[[#This Row],[File]])</f>
        <v>#NAME?</v>
      </c>
      <c r="C113" s="1" t="e">
        <f ca="1">LEFT(Table3[[#This Row],[URL]],LEN(Table3[[#This Row],[URL]])-4)&amp;"raw=1"</f>
        <v>#NAME?</v>
      </c>
    </row>
    <row r="114" spans="1:3" x14ac:dyDescent="0.3">
      <c r="A114" s="1" t="s">
        <v>67</v>
      </c>
      <c r="B114" s="1" t="e">
        <f ca="1">geturl(Table3[[#This Row],[File]])</f>
        <v>#NAME?</v>
      </c>
      <c r="C114" s="1" t="e">
        <f ca="1">LEFT(Table3[[#This Row],[URL]],LEN(Table3[[#This Row],[URL]])-4)&amp;"raw=1"</f>
        <v>#NAME?</v>
      </c>
    </row>
    <row r="115" spans="1:3" x14ac:dyDescent="0.3">
      <c r="A115" s="1" t="s">
        <v>2196</v>
      </c>
      <c r="B115" s="1" t="e">
        <f ca="1">geturl(Table3[[#This Row],[File]])</f>
        <v>#NAME?</v>
      </c>
      <c r="C115" s="1" t="e">
        <f ca="1">LEFT(Table3[[#This Row],[URL]],LEN(Table3[[#This Row],[URL]])-4)&amp;"raw=1"</f>
        <v>#NAME?</v>
      </c>
    </row>
    <row r="116" spans="1:3" x14ac:dyDescent="0.3">
      <c r="A116" s="1" t="s">
        <v>68</v>
      </c>
      <c r="B116" s="1" t="e">
        <f ca="1">geturl(Table3[[#This Row],[File]])</f>
        <v>#NAME?</v>
      </c>
      <c r="C116" s="1" t="e">
        <f ca="1">LEFT(Table3[[#This Row],[URL]],LEN(Table3[[#This Row],[URL]])-4)&amp;"raw=1"</f>
        <v>#NAME?</v>
      </c>
    </row>
    <row r="117" spans="1:3" x14ac:dyDescent="0.3">
      <c r="A117" s="1" t="s">
        <v>69</v>
      </c>
      <c r="B117" s="1" t="e">
        <f ca="1">geturl(Table3[[#This Row],[File]])</f>
        <v>#NAME?</v>
      </c>
      <c r="C117" s="1" t="e">
        <f ca="1">LEFT(Table3[[#This Row],[URL]],LEN(Table3[[#This Row],[URL]])-4)&amp;"raw=1"</f>
        <v>#NAME?</v>
      </c>
    </row>
    <row r="118" spans="1:3" x14ac:dyDescent="0.3">
      <c r="A118" s="1" t="s">
        <v>70</v>
      </c>
      <c r="B118" s="1" t="e">
        <f ca="1">geturl(Table3[[#This Row],[File]])</f>
        <v>#NAME?</v>
      </c>
      <c r="C118" s="1" t="e">
        <f ca="1">LEFT(Table3[[#This Row],[URL]],LEN(Table3[[#This Row],[URL]])-4)&amp;"raw=1"</f>
        <v>#NAME?</v>
      </c>
    </row>
    <row r="119" spans="1:3" x14ac:dyDescent="0.3">
      <c r="A119" s="1" t="s">
        <v>71</v>
      </c>
      <c r="B119" s="1" t="e">
        <f ca="1">geturl(Table3[[#This Row],[File]])</f>
        <v>#NAME?</v>
      </c>
      <c r="C119" s="1" t="e">
        <f ca="1">LEFT(Table3[[#This Row],[URL]],LEN(Table3[[#This Row],[URL]])-4)&amp;"raw=1"</f>
        <v>#NAME?</v>
      </c>
    </row>
    <row r="120" spans="1:3" x14ac:dyDescent="0.3">
      <c r="A120" s="1" t="s">
        <v>72</v>
      </c>
      <c r="B120" s="1" t="e">
        <f ca="1">geturl(Table3[[#This Row],[File]])</f>
        <v>#NAME?</v>
      </c>
      <c r="C120" s="1" t="e">
        <f ca="1">LEFT(Table3[[#This Row],[URL]],LEN(Table3[[#This Row],[URL]])-4)&amp;"raw=1"</f>
        <v>#NAME?</v>
      </c>
    </row>
    <row r="121" spans="1:3" x14ac:dyDescent="0.3">
      <c r="A121" s="1" t="s">
        <v>2197</v>
      </c>
      <c r="B121" s="1" t="e">
        <f ca="1">geturl(Table3[[#This Row],[File]])</f>
        <v>#NAME?</v>
      </c>
      <c r="C121" s="1" t="e">
        <f ca="1">LEFT(Table3[[#This Row],[URL]],LEN(Table3[[#This Row],[URL]])-4)&amp;"raw=1"</f>
        <v>#NAME?</v>
      </c>
    </row>
    <row r="122" spans="1:3" x14ac:dyDescent="0.3">
      <c r="A122" s="1" t="s">
        <v>73</v>
      </c>
      <c r="B122" s="1" t="e">
        <f ca="1">geturl(Table3[[#This Row],[File]])</f>
        <v>#NAME?</v>
      </c>
      <c r="C122" s="1" t="e">
        <f ca="1">LEFT(Table3[[#This Row],[URL]],LEN(Table3[[#This Row],[URL]])-4)&amp;"raw=1"</f>
        <v>#NAME?</v>
      </c>
    </row>
    <row r="123" spans="1:3" x14ac:dyDescent="0.3">
      <c r="A123" s="1" t="s">
        <v>2198</v>
      </c>
      <c r="B123" s="1" t="e">
        <f ca="1">geturl(Table3[[#This Row],[File]])</f>
        <v>#NAME?</v>
      </c>
      <c r="C123" s="1" t="e">
        <f ca="1">LEFT(Table3[[#This Row],[URL]],LEN(Table3[[#This Row],[URL]])-4)&amp;"raw=1"</f>
        <v>#NAME?</v>
      </c>
    </row>
    <row r="124" spans="1:3" x14ac:dyDescent="0.3">
      <c r="A124" s="1" t="s">
        <v>2199</v>
      </c>
      <c r="B124" s="1" t="e">
        <f ca="1">geturl(Table3[[#This Row],[File]])</f>
        <v>#NAME?</v>
      </c>
      <c r="C124" s="1" t="e">
        <f ca="1">LEFT(Table3[[#This Row],[URL]],LEN(Table3[[#This Row],[URL]])-4)&amp;"raw=1"</f>
        <v>#NAME?</v>
      </c>
    </row>
    <row r="125" spans="1:3" x14ac:dyDescent="0.3">
      <c r="A125" s="1" t="s">
        <v>2200</v>
      </c>
      <c r="B125" s="1" t="e">
        <f ca="1">geturl(Table3[[#This Row],[File]])</f>
        <v>#NAME?</v>
      </c>
      <c r="C125" s="1" t="e">
        <f ca="1">LEFT(Table3[[#This Row],[URL]],LEN(Table3[[#This Row],[URL]])-4)&amp;"raw=1"</f>
        <v>#NAME?</v>
      </c>
    </row>
    <row r="126" spans="1:3" x14ac:dyDescent="0.3">
      <c r="A126" s="1" t="s">
        <v>74</v>
      </c>
      <c r="B126" s="1" t="e">
        <f ca="1">geturl(Table3[[#This Row],[File]])</f>
        <v>#NAME?</v>
      </c>
      <c r="C126" s="1" t="e">
        <f ca="1">LEFT(Table3[[#This Row],[URL]],LEN(Table3[[#This Row],[URL]])-4)&amp;"raw=1"</f>
        <v>#NAME?</v>
      </c>
    </row>
    <row r="127" spans="1:3" x14ac:dyDescent="0.3">
      <c r="A127" s="1" t="s">
        <v>2201</v>
      </c>
      <c r="B127" s="1" t="e">
        <f ca="1">geturl(Table3[[#This Row],[File]])</f>
        <v>#NAME?</v>
      </c>
      <c r="C127" s="1" t="e">
        <f ca="1">LEFT(Table3[[#This Row],[URL]],LEN(Table3[[#This Row],[URL]])-4)&amp;"raw=1"</f>
        <v>#NAME?</v>
      </c>
    </row>
    <row r="128" spans="1:3" x14ac:dyDescent="0.3">
      <c r="A128" s="1" t="s">
        <v>75</v>
      </c>
      <c r="B128" s="1" t="e">
        <f ca="1">geturl(Table3[[#This Row],[File]])</f>
        <v>#NAME?</v>
      </c>
      <c r="C128" s="1" t="e">
        <f ca="1">LEFT(Table3[[#This Row],[URL]],LEN(Table3[[#This Row],[URL]])-4)&amp;"raw=1"</f>
        <v>#NAME?</v>
      </c>
    </row>
    <row r="129" spans="1:3" x14ac:dyDescent="0.3">
      <c r="A129" s="1" t="s">
        <v>76</v>
      </c>
      <c r="B129" s="1" t="e">
        <f ca="1">geturl(Table3[[#This Row],[File]])</f>
        <v>#NAME?</v>
      </c>
      <c r="C129" s="1" t="e">
        <f ca="1">LEFT(Table3[[#This Row],[URL]],LEN(Table3[[#This Row],[URL]])-4)&amp;"raw=1"</f>
        <v>#NAME?</v>
      </c>
    </row>
    <row r="130" spans="1:3" x14ac:dyDescent="0.3">
      <c r="A130" s="1" t="s">
        <v>77</v>
      </c>
      <c r="B130" s="1" t="e">
        <f ca="1">geturl(Table3[[#This Row],[File]])</f>
        <v>#NAME?</v>
      </c>
      <c r="C130" s="1" t="e">
        <f ca="1">LEFT(Table3[[#This Row],[URL]],LEN(Table3[[#This Row],[URL]])-4)&amp;"raw=1"</f>
        <v>#NAME?</v>
      </c>
    </row>
    <row r="131" spans="1:3" x14ac:dyDescent="0.3">
      <c r="A131" s="1" t="s">
        <v>78</v>
      </c>
      <c r="B131" s="1" t="e">
        <f ca="1">geturl(Table3[[#This Row],[File]])</f>
        <v>#NAME?</v>
      </c>
      <c r="C131" s="1" t="e">
        <f ca="1">LEFT(Table3[[#This Row],[URL]],LEN(Table3[[#This Row],[URL]])-4)&amp;"raw=1"</f>
        <v>#NAME?</v>
      </c>
    </row>
    <row r="132" spans="1:3" x14ac:dyDescent="0.3">
      <c r="A132" s="1" t="s">
        <v>79</v>
      </c>
      <c r="B132" s="1" t="e">
        <f ca="1">geturl(Table3[[#This Row],[File]])</f>
        <v>#NAME?</v>
      </c>
      <c r="C132" s="1" t="e">
        <f ca="1">LEFT(Table3[[#This Row],[URL]],LEN(Table3[[#This Row],[URL]])-4)&amp;"raw=1"</f>
        <v>#NAME?</v>
      </c>
    </row>
    <row r="133" spans="1:3" x14ac:dyDescent="0.3">
      <c r="A133" s="1" t="s">
        <v>2202</v>
      </c>
      <c r="B133" s="1" t="e">
        <f ca="1">geturl(Table3[[#This Row],[File]])</f>
        <v>#NAME?</v>
      </c>
      <c r="C133" s="1" t="e">
        <f ca="1">LEFT(Table3[[#This Row],[URL]],LEN(Table3[[#This Row],[URL]])-4)&amp;"raw=1"</f>
        <v>#NAME?</v>
      </c>
    </row>
    <row r="134" spans="1:3" x14ac:dyDescent="0.3">
      <c r="A134" s="1" t="s">
        <v>80</v>
      </c>
      <c r="B134" s="1" t="e">
        <f ca="1">geturl(Table3[[#This Row],[File]])</f>
        <v>#NAME?</v>
      </c>
      <c r="C134" s="1" t="e">
        <f ca="1">LEFT(Table3[[#This Row],[URL]],LEN(Table3[[#This Row],[URL]])-4)&amp;"raw=1"</f>
        <v>#NAME?</v>
      </c>
    </row>
    <row r="135" spans="1:3" x14ac:dyDescent="0.3">
      <c r="A135" s="1" t="s">
        <v>81</v>
      </c>
      <c r="B135" s="1" t="e">
        <f ca="1">geturl(Table3[[#This Row],[File]])</f>
        <v>#NAME?</v>
      </c>
      <c r="C135" s="1" t="e">
        <f ca="1">LEFT(Table3[[#This Row],[URL]],LEN(Table3[[#This Row],[URL]])-4)&amp;"raw=1"</f>
        <v>#NAME?</v>
      </c>
    </row>
    <row r="136" spans="1:3" x14ac:dyDescent="0.3">
      <c r="A136" s="1" t="s">
        <v>82</v>
      </c>
      <c r="B136" s="1" t="e">
        <f ca="1">geturl(Table3[[#This Row],[File]])</f>
        <v>#NAME?</v>
      </c>
      <c r="C136" s="1" t="e">
        <f ca="1">LEFT(Table3[[#This Row],[URL]],LEN(Table3[[#This Row],[URL]])-4)&amp;"raw=1"</f>
        <v>#NAME?</v>
      </c>
    </row>
    <row r="137" spans="1:3" x14ac:dyDescent="0.3">
      <c r="A137" s="1" t="s">
        <v>83</v>
      </c>
      <c r="B137" s="1" t="e">
        <f ca="1">geturl(Table3[[#This Row],[File]])</f>
        <v>#NAME?</v>
      </c>
      <c r="C137" s="1" t="e">
        <f ca="1">LEFT(Table3[[#This Row],[URL]],LEN(Table3[[#This Row],[URL]])-4)&amp;"raw=1"</f>
        <v>#NAME?</v>
      </c>
    </row>
    <row r="138" spans="1:3" x14ac:dyDescent="0.3">
      <c r="A138" s="1" t="s">
        <v>2203</v>
      </c>
      <c r="B138" s="1" t="e">
        <f ca="1">geturl(Table3[[#This Row],[File]])</f>
        <v>#NAME?</v>
      </c>
      <c r="C138" s="1" t="e">
        <f ca="1">LEFT(Table3[[#This Row],[URL]],LEN(Table3[[#This Row],[URL]])-4)&amp;"raw=1"</f>
        <v>#NAME?</v>
      </c>
    </row>
    <row r="139" spans="1:3" x14ac:dyDescent="0.3">
      <c r="A139" s="1" t="s">
        <v>84</v>
      </c>
      <c r="B139" s="1" t="e">
        <f ca="1">geturl(Table3[[#This Row],[File]])</f>
        <v>#NAME?</v>
      </c>
      <c r="C139" s="1" t="e">
        <f ca="1">LEFT(Table3[[#This Row],[URL]],LEN(Table3[[#This Row],[URL]])-4)&amp;"raw=1"</f>
        <v>#NAME?</v>
      </c>
    </row>
    <row r="140" spans="1:3" x14ac:dyDescent="0.3">
      <c r="A140" s="1" t="s">
        <v>2204</v>
      </c>
      <c r="B140" s="1" t="e">
        <f ca="1">geturl(Table3[[#This Row],[File]])</f>
        <v>#NAME?</v>
      </c>
      <c r="C140" s="1" t="e">
        <f ca="1">LEFT(Table3[[#This Row],[URL]],LEN(Table3[[#This Row],[URL]])-4)&amp;"raw=1"</f>
        <v>#NAME?</v>
      </c>
    </row>
    <row r="141" spans="1:3" x14ac:dyDescent="0.3">
      <c r="A141" s="1" t="s">
        <v>85</v>
      </c>
      <c r="B141" s="1" t="e">
        <f ca="1">geturl(Table3[[#This Row],[File]])</f>
        <v>#NAME?</v>
      </c>
      <c r="C141" s="1" t="e">
        <f ca="1">LEFT(Table3[[#This Row],[URL]],LEN(Table3[[#This Row],[URL]])-4)&amp;"raw=1"</f>
        <v>#NAME?</v>
      </c>
    </row>
    <row r="142" spans="1:3" x14ac:dyDescent="0.3">
      <c r="A142" s="1" t="s">
        <v>2205</v>
      </c>
      <c r="B142" s="1" t="e">
        <f ca="1">geturl(Table3[[#This Row],[File]])</f>
        <v>#NAME?</v>
      </c>
      <c r="C142" s="1" t="e">
        <f ca="1">LEFT(Table3[[#This Row],[URL]],LEN(Table3[[#This Row],[URL]])-4)&amp;"raw=1"</f>
        <v>#NAME?</v>
      </c>
    </row>
    <row r="143" spans="1:3" x14ac:dyDescent="0.3">
      <c r="A143" s="1" t="s">
        <v>86</v>
      </c>
      <c r="B143" s="1" t="e">
        <f ca="1">geturl(Table3[[#This Row],[File]])</f>
        <v>#NAME?</v>
      </c>
      <c r="C143" s="1" t="e">
        <f ca="1">LEFT(Table3[[#This Row],[URL]],LEN(Table3[[#This Row],[URL]])-4)&amp;"raw=1"</f>
        <v>#NAME?</v>
      </c>
    </row>
    <row r="144" spans="1:3" x14ac:dyDescent="0.3">
      <c r="A144" s="1" t="s">
        <v>2206</v>
      </c>
      <c r="B144" s="1" t="e">
        <f ca="1">geturl(Table3[[#This Row],[File]])</f>
        <v>#NAME?</v>
      </c>
      <c r="C144" s="1" t="e">
        <f ca="1">LEFT(Table3[[#This Row],[URL]],LEN(Table3[[#This Row],[URL]])-4)&amp;"raw=1"</f>
        <v>#NAME?</v>
      </c>
    </row>
    <row r="145" spans="1:3" x14ac:dyDescent="0.3">
      <c r="A145" s="1" t="s">
        <v>87</v>
      </c>
      <c r="B145" s="1" t="e">
        <f ca="1">geturl(Table3[[#This Row],[File]])</f>
        <v>#NAME?</v>
      </c>
      <c r="C145" s="1" t="e">
        <f ca="1">LEFT(Table3[[#This Row],[URL]],LEN(Table3[[#This Row],[URL]])-4)&amp;"raw=1"</f>
        <v>#NAME?</v>
      </c>
    </row>
    <row r="146" spans="1:3" x14ac:dyDescent="0.3">
      <c r="A146" s="1" t="s">
        <v>2207</v>
      </c>
      <c r="B146" s="1" t="e">
        <f ca="1">geturl(Table3[[#This Row],[File]])</f>
        <v>#NAME?</v>
      </c>
      <c r="C146" s="1" t="e">
        <f ca="1">LEFT(Table3[[#This Row],[URL]],LEN(Table3[[#This Row],[URL]])-4)&amp;"raw=1"</f>
        <v>#NAME?</v>
      </c>
    </row>
    <row r="147" spans="1:3" x14ac:dyDescent="0.3">
      <c r="A147" s="1" t="s">
        <v>88</v>
      </c>
      <c r="B147" s="1" t="e">
        <f ca="1">geturl(Table3[[#This Row],[File]])</f>
        <v>#NAME?</v>
      </c>
      <c r="C147" s="1" t="e">
        <f ca="1">LEFT(Table3[[#This Row],[URL]],LEN(Table3[[#This Row],[URL]])-4)&amp;"raw=1"</f>
        <v>#NAME?</v>
      </c>
    </row>
    <row r="148" spans="1:3" x14ac:dyDescent="0.3">
      <c r="A148" s="1" t="s">
        <v>2208</v>
      </c>
      <c r="B148" s="1" t="e">
        <f ca="1">geturl(Table3[[#This Row],[File]])</f>
        <v>#NAME?</v>
      </c>
      <c r="C148" s="1" t="e">
        <f ca="1">LEFT(Table3[[#This Row],[URL]],LEN(Table3[[#This Row],[URL]])-4)&amp;"raw=1"</f>
        <v>#NAME?</v>
      </c>
    </row>
    <row r="149" spans="1:3" x14ac:dyDescent="0.3">
      <c r="A149" s="1" t="s">
        <v>89</v>
      </c>
      <c r="B149" s="1" t="e">
        <f ca="1">geturl(Table3[[#This Row],[File]])</f>
        <v>#NAME?</v>
      </c>
      <c r="C149" s="1" t="e">
        <f ca="1">LEFT(Table3[[#This Row],[URL]],LEN(Table3[[#This Row],[URL]])-4)&amp;"raw=1"</f>
        <v>#NAME?</v>
      </c>
    </row>
    <row r="150" spans="1:3" x14ac:dyDescent="0.3">
      <c r="A150" s="1" t="s">
        <v>2209</v>
      </c>
      <c r="B150" s="1" t="e">
        <f ca="1">geturl(Table3[[#This Row],[File]])</f>
        <v>#NAME?</v>
      </c>
      <c r="C150" s="1" t="e">
        <f ca="1">LEFT(Table3[[#This Row],[URL]],LEN(Table3[[#This Row],[URL]])-4)&amp;"raw=1"</f>
        <v>#NAME?</v>
      </c>
    </row>
    <row r="151" spans="1:3" x14ac:dyDescent="0.3">
      <c r="A151" s="1" t="s">
        <v>90</v>
      </c>
      <c r="B151" s="1" t="e">
        <f ca="1">geturl(Table3[[#This Row],[File]])</f>
        <v>#NAME?</v>
      </c>
      <c r="C151" s="1" t="e">
        <f ca="1">LEFT(Table3[[#This Row],[URL]],LEN(Table3[[#This Row],[URL]])-4)&amp;"raw=1"</f>
        <v>#NAME?</v>
      </c>
    </row>
    <row r="152" spans="1:3" x14ac:dyDescent="0.3">
      <c r="A152" s="1" t="s">
        <v>2210</v>
      </c>
      <c r="B152" s="1" t="e">
        <f ca="1">geturl(Table3[[#This Row],[File]])</f>
        <v>#NAME?</v>
      </c>
      <c r="C152" s="1" t="e">
        <f ca="1">LEFT(Table3[[#This Row],[URL]],LEN(Table3[[#This Row],[URL]])-4)&amp;"raw=1"</f>
        <v>#NAME?</v>
      </c>
    </row>
    <row r="153" spans="1:3" x14ac:dyDescent="0.3">
      <c r="A153" s="1" t="s">
        <v>91</v>
      </c>
      <c r="B153" s="1" t="e">
        <f ca="1">geturl(Table3[[#This Row],[File]])</f>
        <v>#NAME?</v>
      </c>
      <c r="C153" s="1" t="e">
        <f ca="1">LEFT(Table3[[#This Row],[URL]],LEN(Table3[[#This Row],[URL]])-4)&amp;"raw=1"</f>
        <v>#NAME?</v>
      </c>
    </row>
    <row r="154" spans="1:3" x14ac:dyDescent="0.3">
      <c r="A154" s="1" t="s">
        <v>2211</v>
      </c>
      <c r="B154" s="1" t="e">
        <f ca="1">geturl(Table3[[#This Row],[File]])</f>
        <v>#NAME?</v>
      </c>
      <c r="C154" s="1" t="e">
        <f ca="1">LEFT(Table3[[#This Row],[URL]],LEN(Table3[[#This Row],[URL]])-4)&amp;"raw=1"</f>
        <v>#NAME?</v>
      </c>
    </row>
    <row r="155" spans="1:3" x14ac:dyDescent="0.3">
      <c r="A155" s="1" t="s">
        <v>92</v>
      </c>
      <c r="B155" s="1" t="e">
        <f ca="1">geturl(Table3[[#This Row],[File]])</f>
        <v>#NAME?</v>
      </c>
      <c r="C155" s="1" t="e">
        <f ca="1">LEFT(Table3[[#This Row],[URL]],LEN(Table3[[#This Row],[URL]])-4)&amp;"raw=1"</f>
        <v>#NAME?</v>
      </c>
    </row>
    <row r="156" spans="1:3" x14ac:dyDescent="0.3">
      <c r="A156" s="1" t="s">
        <v>2212</v>
      </c>
      <c r="B156" s="1" t="e">
        <f ca="1">geturl(Table3[[#This Row],[File]])</f>
        <v>#NAME?</v>
      </c>
      <c r="C156" s="1" t="e">
        <f ca="1">LEFT(Table3[[#This Row],[URL]],LEN(Table3[[#This Row],[URL]])-4)&amp;"raw=1"</f>
        <v>#NAME?</v>
      </c>
    </row>
    <row r="157" spans="1:3" x14ac:dyDescent="0.3">
      <c r="A157" s="1" t="s">
        <v>93</v>
      </c>
      <c r="B157" s="1" t="e">
        <f ca="1">geturl(Table3[[#This Row],[File]])</f>
        <v>#NAME?</v>
      </c>
      <c r="C157" s="1" t="e">
        <f ca="1">LEFT(Table3[[#This Row],[URL]],LEN(Table3[[#This Row],[URL]])-4)&amp;"raw=1"</f>
        <v>#NAME?</v>
      </c>
    </row>
    <row r="158" spans="1:3" x14ac:dyDescent="0.3">
      <c r="A158" s="1" t="s">
        <v>2213</v>
      </c>
      <c r="B158" s="1" t="e">
        <f ca="1">geturl(Table3[[#This Row],[File]])</f>
        <v>#NAME?</v>
      </c>
      <c r="C158" s="1" t="e">
        <f ca="1">LEFT(Table3[[#This Row],[URL]],LEN(Table3[[#This Row],[URL]])-4)&amp;"raw=1"</f>
        <v>#NAME?</v>
      </c>
    </row>
    <row r="159" spans="1:3" x14ac:dyDescent="0.3">
      <c r="A159" s="1" t="s">
        <v>2214</v>
      </c>
      <c r="B159" s="1" t="e">
        <f ca="1">geturl(Table3[[#This Row],[File]])</f>
        <v>#NAME?</v>
      </c>
      <c r="C159" s="1" t="e">
        <f ca="1">LEFT(Table3[[#This Row],[URL]],LEN(Table3[[#This Row],[URL]])-4)&amp;"raw=1"</f>
        <v>#NAME?</v>
      </c>
    </row>
    <row r="160" spans="1:3" x14ac:dyDescent="0.3">
      <c r="A160" s="1" t="s">
        <v>94</v>
      </c>
      <c r="B160" s="1" t="e">
        <f ca="1">geturl(Table3[[#This Row],[File]])</f>
        <v>#NAME?</v>
      </c>
      <c r="C160" s="1" t="e">
        <f ca="1">LEFT(Table3[[#This Row],[URL]],LEN(Table3[[#This Row],[URL]])-4)&amp;"raw=1"</f>
        <v>#NAME?</v>
      </c>
    </row>
    <row r="161" spans="1:3" x14ac:dyDescent="0.3">
      <c r="A161" s="1" t="s">
        <v>2215</v>
      </c>
      <c r="B161" s="1" t="e">
        <f ca="1">geturl(Table3[[#This Row],[File]])</f>
        <v>#NAME?</v>
      </c>
      <c r="C161" s="1" t="e">
        <f ca="1">LEFT(Table3[[#This Row],[URL]],LEN(Table3[[#This Row],[URL]])-4)&amp;"raw=1"</f>
        <v>#NAME?</v>
      </c>
    </row>
    <row r="162" spans="1:3" x14ac:dyDescent="0.3">
      <c r="A162" s="1" t="s">
        <v>95</v>
      </c>
      <c r="B162" s="1" t="e">
        <f ca="1">geturl(Table3[[#This Row],[File]])</f>
        <v>#NAME?</v>
      </c>
      <c r="C162" s="1" t="e">
        <f ca="1">LEFT(Table3[[#This Row],[URL]],LEN(Table3[[#This Row],[URL]])-4)&amp;"raw=1"</f>
        <v>#NAME?</v>
      </c>
    </row>
    <row r="163" spans="1:3" x14ac:dyDescent="0.3">
      <c r="A163" s="1" t="s">
        <v>2216</v>
      </c>
      <c r="B163" s="1" t="e">
        <f ca="1">geturl(Table3[[#This Row],[File]])</f>
        <v>#NAME?</v>
      </c>
      <c r="C163" s="1" t="e">
        <f ca="1">LEFT(Table3[[#This Row],[URL]],LEN(Table3[[#This Row],[URL]])-4)&amp;"raw=1"</f>
        <v>#NAME?</v>
      </c>
    </row>
    <row r="164" spans="1:3" x14ac:dyDescent="0.3">
      <c r="A164" s="1" t="s">
        <v>96</v>
      </c>
      <c r="B164" s="1" t="e">
        <f ca="1">geturl(Table3[[#This Row],[File]])</f>
        <v>#NAME?</v>
      </c>
      <c r="C164" s="1" t="e">
        <f ca="1">LEFT(Table3[[#This Row],[URL]],LEN(Table3[[#This Row],[URL]])-4)&amp;"raw=1"</f>
        <v>#NAME?</v>
      </c>
    </row>
    <row r="165" spans="1:3" x14ac:dyDescent="0.3">
      <c r="A165" s="1" t="s">
        <v>2217</v>
      </c>
      <c r="B165" s="1" t="e">
        <f ca="1">geturl(Table3[[#This Row],[File]])</f>
        <v>#NAME?</v>
      </c>
      <c r="C165" s="1" t="e">
        <f ca="1">LEFT(Table3[[#This Row],[URL]],LEN(Table3[[#This Row],[URL]])-4)&amp;"raw=1"</f>
        <v>#NAME?</v>
      </c>
    </row>
    <row r="166" spans="1:3" x14ac:dyDescent="0.3">
      <c r="A166" s="1" t="s">
        <v>97</v>
      </c>
      <c r="B166" s="1" t="e">
        <f ca="1">geturl(Table3[[#This Row],[File]])</f>
        <v>#NAME?</v>
      </c>
      <c r="C166" s="1" t="e">
        <f ca="1">LEFT(Table3[[#This Row],[URL]],LEN(Table3[[#This Row],[URL]])-4)&amp;"raw=1"</f>
        <v>#NAME?</v>
      </c>
    </row>
    <row r="167" spans="1:3" x14ac:dyDescent="0.3">
      <c r="A167" s="1" t="s">
        <v>98</v>
      </c>
      <c r="B167" s="1" t="e">
        <f ca="1">geturl(Table3[[#This Row],[File]])</f>
        <v>#NAME?</v>
      </c>
      <c r="C167" s="1" t="e">
        <f ca="1">LEFT(Table3[[#This Row],[URL]],LEN(Table3[[#This Row],[URL]])-4)&amp;"raw=1"</f>
        <v>#NAME?</v>
      </c>
    </row>
    <row r="168" spans="1:3" x14ac:dyDescent="0.3">
      <c r="A168" s="1" t="s">
        <v>2218</v>
      </c>
      <c r="B168" s="1" t="e">
        <f ca="1">geturl(Table3[[#This Row],[File]])</f>
        <v>#NAME?</v>
      </c>
      <c r="C168" s="1" t="e">
        <f ca="1">LEFT(Table3[[#This Row],[URL]],LEN(Table3[[#This Row],[URL]])-4)&amp;"raw=1"</f>
        <v>#NAME?</v>
      </c>
    </row>
    <row r="169" spans="1:3" x14ac:dyDescent="0.3">
      <c r="A169" s="1" t="s">
        <v>99</v>
      </c>
      <c r="B169" s="1" t="e">
        <f ca="1">geturl(Table3[[#This Row],[File]])</f>
        <v>#NAME?</v>
      </c>
      <c r="C169" s="1" t="e">
        <f ca="1">LEFT(Table3[[#This Row],[URL]],LEN(Table3[[#This Row],[URL]])-4)&amp;"raw=1"</f>
        <v>#NAME?</v>
      </c>
    </row>
    <row r="170" spans="1:3" x14ac:dyDescent="0.3">
      <c r="A170" s="1" t="s">
        <v>2219</v>
      </c>
      <c r="B170" s="1" t="e">
        <f ca="1">geturl(Table3[[#This Row],[File]])</f>
        <v>#NAME?</v>
      </c>
      <c r="C170" s="1" t="e">
        <f ca="1">LEFT(Table3[[#This Row],[URL]],LEN(Table3[[#This Row],[URL]])-4)&amp;"raw=1"</f>
        <v>#NAME?</v>
      </c>
    </row>
    <row r="171" spans="1:3" x14ac:dyDescent="0.3">
      <c r="A171" s="1" t="s">
        <v>2220</v>
      </c>
      <c r="B171" s="1" t="e">
        <f ca="1">geturl(Table3[[#This Row],[File]])</f>
        <v>#NAME?</v>
      </c>
      <c r="C171" s="1" t="e">
        <f ca="1">LEFT(Table3[[#This Row],[URL]],LEN(Table3[[#This Row],[URL]])-4)&amp;"raw=1"</f>
        <v>#NAME?</v>
      </c>
    </row>
    <row r="172" spans="1:3" x14ac:dyDescent="0.3">
      <c r="A172" s="1" t="s">
        <v>2221</v>
      </c>
      <c r="B172" s="1" t="e">
        <f ca="1">geturl(Table3[[#This Row],[File]])</f>
        <v>#NAME?</v>
      </c>
      <c r="C172" s="1" t="e">
        <f ca="1">LEFT(Table3[[#This Row],[URL]],LEN(Table3[[#This Row],[URL]])-4)&amp;"raw=1"</f>
        <v>#NAME?</v>
      </c>
    </row>
    <row r="173" spans="1:3" x14ac:dyDescent="0.3">
      <c r="A173" s="1" t="s">
        <v>2222</v>
      </c>
      <c r="B173" s="1" t="e">
        <f ca="1">geturl(Table3[[#This Row],[File]])</f>
        <v>#NAME?</v>
      </c>
      <c r="C173" s="1" t="e">
        <f ca="1">LEFT(Table3[[#This Row],[URL]],LEN(Table3[[#This Row],[URL]])-4)&amp;"raw=1"</f>
        <v>#NAME?</v>
      </c>
    </row>
    <row r="174" spans="1:3" x14ac:dyDescent="0.3">
      <c r="A174" s="1" t="s">
        <v>2223</v>
      </c>
      <c r="B174" s="1" t="e">
        <f ca="1">geturl(Table3[[#This Row],[File]])</f>
        <v>#NAME?</v>
      </c>
      <c r="C174" s="1" t="e">
        <f ca="1">LEFT(Table3[[#This Row],[URL]],LEN(Table3[[#This Row],[URL]])-4)&amp;"raw=1"</f>
        <v>#NAME?</v>
      </c>
    </row>
    <row r="175" spans="1:3" x14ac:dyDescent="0.3">
      <c r="A175" s="1" t="s">
        <v>2224</v>
      </c>
      <c r="B175" s="1" t="e">
        <f ca="1">geturl(Table3[[#This Row],[File]])</f>
        <v>#NAME?</v>
      </c>
      <c r="C175" s="1" t="e">
        <f ca="1">LEFT(Table3[[#This Row],[URL]],LEN(Table3[[#This Row],[URL]])-4)&amp;"raw=1"</f>
        <v>#NAME?</v>
      </c>
    </row>
    <row r="176" spans="1:3" x14ac:dyDescent="0.3">
      <c r="A176" s="1" t="s">
        <v>100</v>
      </c>
      <c r="B176" s="1" t="e">
        <f ca="1">geturl(Table3[[#This Row],[File]])</f>
        <v>#NAME?</v>
      </c>
      <c r="C176" s="1" t="e">
        <f ca="1">LEFT(Table3[[#This Row],[URL]],LEN(Table3[[#This Row],[URL]])-4)&amp;"raw=1"</f>
        <v>#NAME?</v>
      </c>
    </row>
    <row r="177" spans="1:3" x14ac:dyDescent="0.3">
      <c r="A177" s="1" t="s">
        <v>2225</v>
      </c>
      <c r="B177" s="1" t="e">
        <f ca="1">geturl(Table3[[#This Row],[File]])</f>
        <v>#NAME?</v>
      </c>
      <c r="C177" s="1" t="e">
        <f ca="1">LEFT(Table3[[#This Row],[URL]],LEN(Table3[[#This Row],[URL]])-4)&amp;"raw=1"</f>
        <v>#NAME?</v>
      </c>
    </row>
    <row r="178" spans="1:3" x14ac:dyDescent="0.3">
      <c r="A178" s="1" t="s">
        <v>2226</v>
      </c>
      <c r="B178" s="1" t="e">
        <f ca="1">geturl(Table3[[#This Row],[File]])</f>
        <v>#NAME?</v>
      </c>
      <c r="C178" s="1" t="e">
        <f ca="1">LEFT(Table3[[#This Row],[URL]],LEN(Table3[[#This Row],[URL]])-4)&amp;"raw=1"</f>
        <v>#NAME?</v>
      </c>
    </row>
    <row r="179" spans="1:3" x14ac:dyDescent="0.3">
      <c r="A179" s="1" t="s">
        <v>2227</v>
      </c>
      <c r="B179" s="1" t="e">
        <f ca="1">geturl(Table3[[#This Row],[File]])</f>
        <v>#NAME?</v>
      </c>
      <c r="C179" s="1" t="e">
        <f ca="1">LEFT(Table3[[#This Row],[URL]],LEN(Table3[[#This Row],[URL]])-4)&amp;"raw=1"</f>
        <v>#NAME?</v>
      </c>
    </row>
    <row r="180" spans="1:3" x14ac:dyDescent="0.3">
      <c r="A180" s="1" t="s">
        <v>2228</v>
      </c>
      <c r="B180" s="1" t="e">
        <f ca="1">geturl(Table3[[#This Row],[File]])</f>
        <v>#NAME?</v>
      </c>
      <c r="C180" s="1" t="e">
        <f ca="1">LEFT(Table3[[#This Row],[URL]],LEN(Table3[[#This Row],[URL]])-4)&amp;"raw=1"</f>
        <v>#NAME?</v>
      </c>
    </row>
    <row r="181" spans="1:3" x14ac:dyDescent="0.3">
      <c r="A181" s="1" t="s">
        <v>2229</v>
      </c>
      <c r="B181" s="1" t="e">
        <f ca="1">geturl(Table3[[#This Row],[File]])</f>
        <v>#NAME?</v>
      </c>
      <c r="C181" s="1" t="e">
        <f ca="1">LEFT(Table3[[#This Row],[URL]],LEN(Table3[[#This Row],[URL]])-4)&amp;"raw=1"</f>
        <v>#NAME?</v>
      </c>
    </row>
    <row r="182" spans="1:3" x14ac:dyDescent="0.3">
      <c r="A182" s="1" t="s">
        <v>2230</v>
      </c>
      <c r="B182" s="1" t="e">
        <f ca="1">geturl(Table3[[#This Row],[File]])</f>
        <v>#NAME?</v>
      </c>
      <c r="C182" s="1" t="e">
        <f ca="1">LEFT(Table3[[#This Row],[URL]],LEN(Table3[[#This Row],[URL]])-4)&amp;"raw=1"</f>
        <v>#NAME?</v>
      </c>
    </row>
    <row r="183" spans="1:3" x14ac:dyDescent="0.3">
      <c r="A183" s="1" t="s">
        <v>2231</v>
      </c>
      <c r="B183" s="1" t="e">
        <f ca="1">geturl(Table3[[#This Row],[File]])</f>
        <v>#NAME?</v>
      </c>
      <c r="C183" s="1" t="e">
        <f ca="1">LEFT(Table3[[#This Row],[URL]],LEN(Table3[[#This Row],[URL]])-4)&amp;"raw=1"</f>
        <v>#NAME?</v>
      </c>
    </row>
    <row r="184" spans="1:3" x14ac:dyDescent="0.3">
      <c r="A184" s="1" t="s">
        <v>101</v>
      </c>
      <c r="B184" s="1" t="e">
        <f ca="1">geturl(Table3[[#This Row],[File]])</f>
        <v>#NAME?</v>
      </c>
      <c r="C184" s="1" t="e">
        <f ca="1">LEFT(Table3[[#This Row],[URL]],LEN(Table3[[#This Row],[URL]])-4)&amp;"raw=1"</f>
        <v>#NAME?</v>
      </c>
    </row>
    <row r="185" spans="1:3" x14ac:dyDescent="0.3">
      <c r="A185" s="1" t="s">
        <v>2232</v>
      </c>
      <c r="B185" s="1" t="e">
        <f ca="1">geturl(Table3[[#This Row],[File]])</f>
        <v>#NAME?</v>
      </c>
      <c r="C185" s="1" t="e">
        <f ca="1">LEFT(Table3[[#This Row],[URL]],LEN(Table3[[#This Row],[URL]])-4)&amp;"raw=1"</f>
        <v>#NAME?</v>
      </c>
    </row>
    <row r="186" spans="1:3" x14ac:dyDescent="0.3">
      <c r="A186" s="1" t="s">
        <v>2233</v>
      </c>
      <c r="B186" s="1" t="e">
        <f ca="1">geturl(Table3[[#This Row],[File]])</f>
        <v>#NAME?</v>
      </c>
      <c r="C186" s="1" t="e">
        <f ca="1">LEFT(Table3[[#This Row],[URL]],LEN(Table3[[#This Row],[URL]])-4)&amp;"raw=1"</f>
        <v>#NAME?</v>
      </c>
    </row>
    <row r="187" spans="1:3" x14ac:dyDescent="0.3">
      <c r="A187" s="1" t="s">
        <v>2234</v>
      </c>
      <c r="B187" s="1" t="e">
        <f ca="1">geturl(Table3[[#This Row],[File]])</f>
        <v>#NAME?</v>
      </c>
      <c r="C187" s="1" t="e">
        <f ca="1">LEFT(Table3[[#This Row],[URL]],LEN(Table3[[#This Row],[URL]])-4)&amp;"raw=1"</f>
        <v>#NAME?</v>
      </c>
    </row>
    <row r="188" spans="1:3" x14ac:dyDescent="0.3">
      <c r="A188" s="1" t="s">
        <v>2235</v>
      </c>
      <c r="B188" s="1" t="e">
        <f ca="1">geturl(Table3[[#This Row],[File]])</f>
        <v>#NAME?</v>
      </c>
      <c r="C188" s="1" t="e">
        <f ca="1">LEFT(Table3[[#This Row],[URL]],LEN(Table3[[#This Row],[URL]])-4)&amp;"raw=1"</f>
        <v>#NAME?</v>
      </c>
    </row>
    <row r="189" spans="1:3" x14ac:dyDescent="0.3">
      <c r="A189" s="1" t="s">
        <v>2236</v>
      </c>
      <c r="B189" s="1" t="e">
        <f ca="1">geturl(Table3[[#This Row],[File]])</f>
        <v>#NAME?</v>
      </c>
      <c r="C189" s="1" t="e">
        <f ca="1">LEFT(Table3[[#This Row],[URL]],LEN(Table3[[#This Row],[URL]])-4)&amp;"raw=1"</f>
        <v>#NAME?</v>
      </c>
    </row>
    <row r="190" spans="1:3" x14ac:dyDescent="0.3">
      <c r="A190" s="1" t="s">
        <v>2237</v>
      </c>
      <c r="B190" s="1" t="e">
        <f ca="1">geturl(Table3[[#This Row],[File]])</f>
        <v>#NAME?</v>
      </c>
      <c r="C190" s="1" t="e">
        <f ca="1">LEFT(Table3[[#This Row],[URL]],LEN(Table3[[#This Row],[URL]])-4)&amp;"raw=1"</f>
        <v>#NAME?</v>
      </c>
    </row>
    <row r="191" spans="1:3" x14ac:dyDescent="0.3">
      <c r="A191" s="1" t="s">
        <v>2238</v>
      </c>
      <c r="B191" s="1" t="e">
        <f ca="1">geturl(Table3[[#This Row],[File]])</f>
        <v>#NAME?</v>
      </c>
      <c r="C191" s="1" t="e">
        <f ca="1">LEFT(Table3[[#This Row],[URL]],LEN(Table3[[#This Row],[URL]])-4)&amp;"raw=1"</f>
        <v>#NAME?</v>
      </c>
    </row>
    <row r="192" spans="1:3" x14ac:dyDescent="0.3">
      <c r="A192" s="1" t="s">
        <v>102</v>
      </c>
      <c r="B192" s="1" t="e">
        <f ca="1">geturl(Table3[[#This Row],[File]])</f>
        <v>#NAME?</v>
      </c>
      <c r="C192" s="1" t="e">
        <f ca="1">LEFT(Table3[[#This Row],[URL]],LEN(Table3[[#This Row],[URL]])-4)&amp;"raw=1"</f>
        <v>#NAME?</v>
      </c>
    </row>
    <row r="193" spans="1:3" x14ac:dyDescent="0.3">
      <c r="A193" s="1" t="s">
        <v>103</v>
      </c>
      <c r="B193" s="1" t="e">
        <f ca="1">geturl(Table3[[#This Row],[File]])</f>
        <v>#NAME?</v>
      </c>
      <c r="C193" s="1" t="e">
        <f ca="1">LEFT(Table3[[#This Row],[URL]],LEN(Table3[[#This Row],[URL]])-4)&amp;"raw=1"</f>
        <v>#NAME?</v>
      </c>
    </row>
    <row r="194" spans="1:3" x14ac:dyDescent="0.3">
      <c r="A194" s="1" t="s">
        <v>104</v>
      </c>
      <c r="B194" s="1" t="e">
        <f ca="1">geturl(Table3[[#This Row],[File]])</f>
        <v>#NAME?</v>
      </c>
      <c r="C194" s="1" t="e">
        <f ca="1">LEFT(Table3[[#This Row],[URL]],LEN(Table3[[#This Row],[URL]])-4)&amp;"raw=1"</f>
        <v>#NAME?</v>
      </c>
    </row>
    <row r="195" spans="1:3" x14ac:dyDescent="0.3">
      <c r="A195" s="1" t="s">
        <v>2239</v>
      </c>
      <c r="B195" s="1" t="e">
        <f ca="1">geturl(Table3[[#This Row],[File]])</f>
        <v>#NAME?</v>
      </c>
      <c r="C195" s="1" t="e">
        <f ca="1">LEFT(Table3[[#This Row],[URL]],LEN(Table3[[#This Row],[URL]])-4)&amp;"raw=1"</f>
        <v>#NAME?</v>
      </c>
    </row>
    <row r="196" spans="1:3" x14ac:dyDescent="0.3">
      <c r="A196" s="1" t="s">
        <v>105</v>
      </c>
      <c r="B196" s="1" t="e">
        <f ca="1">geturl(Table3[[#This Row],[File]])</f>
        <v>#NAME?</v>
      </c>
      <c r="C196" s="1" t="e">
        <f ca="1">LEFT(Table3[[#This Row],[URL]],LEN(Table3[[#This Row],[URL]])-4)&amp;"raw=1"</f>
        <v>#NAME?</v>
      </c>
    </row>
    <row r="197" spans="1:3" x14ac:dyDescent="0.3">
      <c r="A197" s="1" t="s">
        <v>106</v>
      </c>
      <c r="B197" s="1" t="e">
        <f ca="1">geturl(Table3[[#This Row],[File]])</f>
        <v>#NAME?</v>
      </c>
      <c r="C197" s="1" t="e">
        <f ca="1">LEFT(Table3[[#This Row],[URL]],LEN(Table3[[#This Row],[URL]])-4)&amp;"raw=1"</f>
        <v>#NAME?</v>
      </c>
    </row>
    <row r="198" spans="1:3" x14ac:dyDescent="0.3">
      <c r="A198" s="1" t="s">
        <v>107</v>
      </c>
      <c r="B198" s="1" t="e">
        <f ca="1">geturl(Table3[[#This Row],[File]])</f>
        <v>#NAME?</v>
      </c>
      <c r="C198" s="1" t="e">
        <f ca="1">LEFT(Table3[[#This Row],[URL]],LEN(Table3[[#This Row],[URL]])-4)&amp;"raw=1"</f>
        <v>#NAME?</v>
      </c>
    </row>
    <row r="199" spans="1:3" x14ac:dyDescent="0.3">
      <c r="A199" s="1" t="s">
        <v>2240</v>
      </c>
      <c r="B199" s="1" t="e">
        <f ca="1">geturl(Table3[[#This Row],[File]])</f>
        <v>#NAME?</v>
      </c>
      <c r="C199" s="1" t="e">
        <f ca="1">LEFT(Table3[[#This Row],[URL]],LEN(Table3[[#This Row],[URL]])-4)&amp;"raw=1"</f>
        <v>#NAME?</v>
      </c>
    </row>
    <row r="200" spans="1:3" x14ac:dyDescent="0.3">
      <c r="A200" s="1" t="s">
        <v>2241</v>
      </c>
      <c r="B200" s="1" t="e">
        <f ca="1">geturl(Table3[[#This Row],[File]])</f>
        <v>#NAME?</v>
      </c>
      <c r="C200" s="1" t="e">
        <f ca="1">LEFT(Table3[[#This Row],[URL]],LEN(Table3[[#This Row],[URL]])-4)&amp;"raw=1"</f>
        <v>#NAME?</v>
      </c>
    </row>
    <row r="201" spans="1:3" x14ac:dyDescent="0.3">
      <c r="A201" s="1" t="s">
        <v>2242</v>
      </c>
      <c r="B201" s="1" t="e">
        <f ca="1">geturl(Table3[[#This Row],[File]])</f>
        <v>#NAME?</v>
      </c>
      <c r="C201" s="1" t="e">
        <f ca="1">LEFT(Table3[[#This Row],[URL]],LEN(Table3[[#This Row],[URL]])-4)&amp;"raw=1"</f>
        <v>#NAME?</v>
      </c>
    </row>
    <row r="202" spans="1:3" x14ac:dyDescent="0.3">
      <c r="A202" s="1" t="s">
        <v>108</v>
      </c>
      <c r="B202" s="1" t="e">
        <f ca="1">geturl(Table3[[#This Row],[File]])</f>
        <v>#NAME?</v>
      </c>
      <c r="C202" s="1" t="e">
        <f ca="1">LEFT(Table3[[#This Row],[URL]],LEN(Table3[[#This Row],[URL]])-4)&amp;"raw=1"</f>
        <v>#NAME?</v>
      </c>
    </row>
    <row r="203" spans="1:3" x14ac:dyDescent="0.3">
      <c r="A203" s="1" t="s">
        <v>2243</v>
      </c>
      <c r="B203" s="1" t="e">
        <f ca="1">geturl(Table3[[#This Row],[File]])</f>
        <v>#NAME?</v>
      </c>
      <c r="C203" s="1" t="e">
        <f ca="1">LEFT(Table3[[#This Row],[URL]],LEN(Table3[[#This Row],[URL]])-4)&amp;"raw=1"</f>
        <v>#NAME?</v>
      </c>
    </row>
    <row r="204" spans="1:3" x14ac:dyDescent="0.3">
      <c r="A204" s="1" t="s">
        <v>2244</v>
      </c>
      <c r="B204" s="1" t="e">
        <f ca="1">geturl(Table3[[#This Row],[File]])</f>
        <v>#NAME?</v>
      </c>
      <c r="C204" s="1" t="e">
        <f ca="1">LEFT(Table3[[#This Row],[URL]],LEN(Table3[[#This Row],[URL]])-4)&amp;"raw=1"</f>
        <v>#NAME?</v>
      </c>
    </row>
    <row r="205" spans="1:3" x14ac:dyDescent="0.3">
      <c r="A205" s="1" t="s">
        <v>2245</v>
      </c>
      <c r="B205" s="1" t="e">
        <f ca="1">geturl(Table3[[#This Row],[File]])</f>
        <v>#NAME?</v>
      </c>
      <c r="C205" s="1" t="e">
        <f ca="1">LEFT(Table3[[#This Row],[URL]],LEN(Table3[[#This Row],[URL]])-4)&amp;"raw=1"</f>
        <v>#NAME?</v>
      </c>
    </row>
    <row r="206" spans="1:3" x14ac:dyDescent="0.3">
      <c r="A206" s="1" t="s">
        <v>2246</v>
      </c>
      <c r="B206" s="1" t="e">
        <f ca="1">geturl(Table3[[#This Row],[File]])</f>
        <v>#NAME?</v>
      </c>
      <c r="C206" s="1" t="e">
        <f ca="1">LEFT(Table3[[#This Row],[URL]],LEN(Table3[[#This Row],[URL]])-4)&amp;"raw=1"</f>
        <v>#NAME?</v>
      </c>
    </row>
    <row r="207" spans="1:3" x14ac:dyDescent="0.3">
      <c r="A207" s="1" t="s">
        <v>2247</v>
      </c>
      <c r="B207" s="1" t="e">
        <f ca="1">geturl(Table3[[#This Row],[File]])</f>
        <v>#NAME?</v>
      </c>
      <c r="C207" s="1" t="e">
        <f ca="1">LEFT(Table3[[#This Row],[URL]],LEN(Table3[[#This Row],[URL]])-4)&amp;"raw=1"</f>
        <v>#NAME?</v>
      </c>
    </row>
    <row r="208" spans="1:3" x14ac:dyDescent="0.3">
      <c r="A208" s="1" t="s">
        <v>2248</v>
      </c>
      <c r="B208" s="1" t="e">
        <f ca="1">geturl(Table3[[#This Row],[File]])</f>
        <v>#NAME?</v>
      </c>
      <c r="C208" s="1" t="e">
        <f ca="1">LEFT(Table3[[#This Row],[URL]],LEN(Table3[[#This Row],[URL]])-4)&amp;"raw=1"</f>
        <v>#NAME?</v>
      </c>
    </row>
    <row r="209" spans="1:3" x14ac:dyDescent="0.3">
      <c r="A209" s="1" t="s">
        <v>2249</v>
      </c>
      <c r="B209" s="1" t="e">
        <f ca="1">geturl(Table3[[#This Row],[File]])</f>
        <v>#NAME?</v>
      </c>
      <c r="C209" s="1" t="e">
        <f ca="1">LEFT(Table3[[#This Row],[URL]],LEN(Table3[[#This Row],[URL]])-4)&amp;"raw=1"</f>
        <v>#NAME?</v>
      </c>
    </row>
    <row r="210" spans="1:3" x14ac:dyDescent="0.3">
      <c r="A210" s="1" t="s">
        <v>2250</v>
      </c>
      <c r="B210" s="1" t="e">
        <f ca="1">geturl(Table3[[#This Row],[File]])</f>
        <v>#NAME?</v>
      </c>
      <c r="C210" s="1" t="e">
        <f ca="1">LEFT(Table3[[#This Row],[URL]],LEN(Table3[[#This Row],[URL]])-4)&amp;"raw=1"</f>
        <v>#NAME?</v>
      </c>
    </row>
    <row r="211" spans="1:3" x14ac:dyDescent="0.3">
      <c r="A211" s="1" t="s">
        <v>2251</v>
      </c>
      <c r="B211" s="1" t="e">
        <f ca="1">geturl(Table3[[#This Row],[File]])</f>
        <v>#NAME?</v>
      </c>
      <c r="C211" s="1" t="e">
        <f ca="1">LEFT(Table3[[#This Row],[URL]],LEN(Table3[[#This Row],[URL]])-4)&amp;"raw=1"</f>
        <v>#NAME?</v>
      </c>
    </row>
    <row r="212" spans="1:3" x14ac:dyDescent="0.3">
      <c r="A212" s="1" t="s">
        <v>2252</v>
      </c>
      <c r="B212" s="1" t="e">
        <f ca="1">geturl(Table3[[#This Row],[File]])</f>
        <v>#NAME?</v>
      </c>
      <c r="C212" s="1" t="e">
        <f ca="1">LEFT(Table3[[#This Row],[URL]],LEN(Table3[[#This Row],[URL]])-4)&amp;"raw=1"</f>
        <v>#NAME?</v>
      </c>
    </row>
    <row r="213" spans="1:3" x14ac:dyDescent="0.3">
      <c r="A213" s="1" t="s">
        <v>2253</v>
      </c>
      <c r="B213" s="1" t="e">
        <f ca="1">geturl(Table3[[#This Row],[File]])</f>
        <v>#NAME?</v>
      </c>
      <c r="C213" s="1" t="e">
        <f ca="1">LEFT(Table3[[#This Row],[URL]],LEN(Table3[[#This Row],[URL]])-4)&amp;"raw=1"</f>
        <v>#NAME?</v>
      </c>
    </row>
    <row r="214" spans="1:3" x14ac:dyDescent="0.3">
      <c r="A214" s="1" t="s">
        <v>2254</v>
      </c>
      <c r="B214" s="1" t="e">
        <f ca="1">geturl(Table3[[#This Row],[File]])</f>
        <v>#NAME?</v>
      </c>
      <c r="C214" s="1" t="e">
        <f ca="1">LEFT(Table3[[#This Row],[URL]],LEN(Table3[[#This Row],[URL]])-4)&amp;"raw=1"</f>
        <v>#NAME?</v>
      </c>
    </row>
    <row r="215" spans="1:3" x14ac:dyDescent="0.3">
      <c r="A215" s="1" t="s">
        <v>2255</v>
      </c>
      <c r="B215" s="1" t="e">
        <f ca="1">geturl(Table3[[#This Row],[File]])</f>
        <v>#NAME?</v>
      </c>
      <c r="C215" s="1" t="e">
        <f ca="1">LEFT(Table3[[#This Row],[URL]],LEN(Table3[[#This Row],[URL]])-4)&amp;"raw=1"</f>
        <v>#NAME?</v>
      </c>
    </row>
    <row r="216" spans="1:3" x14ac:dyDescent="0.3">
      <c r="A216" s="1" t="s">
        <v>2256</v>
      </c>
      <c r="B216" s="1" t="e">
        <f ca="1">geturl(Table3[[#This Row],[File]])</f>
        <v>#NAME?</v>
      </c>
      <c r="C216" s="1" t="e">
        <f ca="1">LEFT(Table3[[#This Row],[URL]],LEN(Table3[[#This Row],[URL]])-4)&amp;"raw=1"</f>
        <v>#NAME?</v>
      </c>
    </row>
    <row r="217" spans="1:3" x14ac:dyDescent="0.3">
      <c r="A217" s="1" t="s">
        <v>2257</v>
      </c>
      <c r="B217" s="1" t="e">
        <f ca="1">geturl(Table3[[#This Row],[File]])</f>
        <v>#NAME?</v>
      </c>
      <c r="C217" s="1" t="e">
        <f ca="1">LEFT(Table3[[#This Row],[URL]],LEN(Table3[[#This Row],[URL]])-4)&amp;"raw=1"</f>
        <v>#NAME?</v>
      </c>
    </row>
    <row r="218" spans="1:3" x14ac:dyDescent="0.3">
      <c r="A218" s="1" t="s">
        <v>2258</v>
      </c>
      <c r="B218" s="1" t="e">
        <f ca="1">geturl(Table3[[#This Row],[File]])</f>
        <v>#NAME?</v>
      </c>
      <c r="C218" s="1" t="e">
        <f ca="1">LEFT(Table3[[#This Row],[URL]],LEN(Table3[[#This Row],[URL]])-4)&amp;"raw=1"</f>
        <v>#NAME?</v>
      </c>
    </row>
    <row r="219" spans="1:3" x14ac:dyDescent="0.3">
      <c r="A219" s="1" t="s">
        <v>109</v>
      </c>
      <c r="B219" s="1" t="e">
        <f ca="1">geturl(Table3[[#This Row],[File]])</f>
        <v>#NAME?</v>
      </c>
      <c r="C219" s="1" t="e">
        <f ca="1">LEFT(Table3[[#This Row],[URL]],LEN(Table3[[#This Row],[URL]])-4)&amp;"raw=1"</f>
        <v>#NAME?</v>
      </c>
    </row>
    <row r="220" spans="1:3" x14ac:dyDescent="0.3">
      <c r="A220" s="1" t="s">
        <v>2259</v>
      </c>
      <c r="B220" s="1" t="e">
        <f ca="1">geturl(Table3[[#This Row],[File]])</f>
        <v>#NAME?</v>
      </c>
      <c r="C220" s="1" t="e">
        <f ca="1">LEFT(Table3[[#This Row],[URL]],LEN(Table3[[#This Row],[URL]])-4)&amp;"raw=1"</f>
        <v>#NAME?</v>
      </c>
    </row>
    <row r="221" spans="1:3" x14ac:dyDescent="0.3">
      <c r="A221" s="1" t="s">
        <v>110</v>
      </c>
      <c r="B221" s="1" t="e">
        <f ca="1">geturl(Table3[[#This Row],[File]])</f>
        <v>#NAME?</v>
      </c>
      <c r="C221" s="1" t="e">
        <f ca="1">LEFT(Table3[[#This Row],[URL]],LEN(Table3[[#This Row],[URL]])-4)&amp;"raw=1"</f>
        <v>#NAME?</v>
      </c>
    </row>
    <row r="222" spans="1:3" x14ac:dyDescent="0.3">
      <c r="A222" s="1" t="s">
        <v>2260</v>
      </c>
      <c r="B222" s="1" t="e">
        <f ca="1">geturl(Table3[[#This Row],[File]])</f>
        <v>#NAME?</v>
      </c>
      <c r="C222" s="1" t="e">
        <f ca="1">LEFT(Table3[[#This Row],[URL]],LEN(Table3[[#This Row],[URL]])-4)&amp;"raw=1"</f>
        <v>#NAME?</v>
      </c>
    </row>
    <row r="223" spans="1:3" x14ac:dyDescent="0.3">
      <c r="A223" s="1" t="s">
        <v>111</v>
      </c>
      <c r="B223" s="1" t="e">
        <f ca="1">geturl(Table3[[#This Row],[File]])</f>
        <v>#NAME?</v>
      </c>
      <c r="C223" s="1" t="e">
        <f ca="1">LEFT(Table3[[#This Row],[URL]],LEN(Table3[[#This Row],[URL]])-4)&amp;"raw=1"</f>
        <v>#NAME?</v>
      </c>
    </row>
    <row r="224" spans="1:3" x14ac:dyDescent="0.3">
      <c r="A224" s="1" t="s">
        <v>2261</v>
      </c>
      <c r="B224" s="1" t="e">
        <f ca="1">geturl(Table3[[#This Row],[File]])</f>
        <v>#NAME?</v>
      </c>
      <c r="C224" s="1" t="e">
        <f ca="1">LEFT(Table3[[#This Row],[URL]],LEN(Table3[[#This Row],[URL]])-4)&amp;"raw=1"</f>
        <v>#NAME?</v>
      </c>
    </row>
    <row r="225" spans="1:3" x14ac:dyDescent="0.3">
      <c r="A225" s="1" t="s">
        <v>2262</v>
      </c>
      <c r="B225" s="1" t="e">
        <f ca="1">geturl(Table3[[#This Row],[File]])</f>
        <v>#NAME?</v>
      </c>
      <c r="C225" s="1" t="e">
        <f ca="1">LEFT(Table3[[#This Row],[URL]],LEN(Table3[[#This Row],[URL]])-4)&amp;"raw=1"</f>
        <v>#NAME?</v>
      </c>
    </row>
    <row r="226" spans="1:3" x14ac:dyDescent="0.3">
      <c r="A226" s="1" t="s">
        <v>2263</v>
      </c>
      <c r="B226" s="1" t="e">
        <f ca="1">geturl(Table3[[#This Row],[File]])</f>
        <v>#NAME?</v>
      </c>
      <c r="C226" s="1" t="e">
        <f ca="1">LEFT(Table3[[#This Row],[URL]],LEN(Table3[[#This Row],[URL]])-4)&amp;"raw=1"</f>
        <v>#NAME?</v>
      </c>
    </row>
    <row r="227" spans="1:3" x14ac:dyDescent="0.3">
      <c r="A227" s="1" t="s">
        <v>112</v>
      </c>
      <c r="B227" s="1" t="e">
        <f ca="1">geturl(Table3[[#This Row],[File]])</f>
        <v>#NAME?</v>
      </c>
      <c r="C227" s="1" t="e">
        <f ca="1">LEFT(Table3[[#This Row],[URL]],LEN(Table3[[#This Row],[URL]])-4)&amp;"raw=1"</f>
        <v>#NAME?</v>
      </c>
    </row>
    <row r="228" spans="1:3" x14ac:dyDescent="0.3">
      <c r="A228" s="1" t="s">
        <v>2264</v>
      </c>
      <c r="B228" s="1" t="e">
        <f ca="1">geturl(Table3[[#This Row],[File]])</f>
        <v>#NAME?</v>
      </c>
      <c r="C228" s="1" t="e">
        <f ca="1">LEFT(Table3[[#This Row],[URL]],LEN(Table3[[#This Row],[URL]])-4)&amp;"raw=1"</f>
        <v>#NAME?</v>
      </c>
    </row>
    <row r="229" spans="1:3" x14ac:dyDescent="0.3">
      <c r="A229" s="1" t="s">
        <v>113</v>
      </c>
      <c r="B229" s="1" t="e">
        <f ca="1">geturl(Table3[[#This Row],[File]])</f>
        <v>#NAME?</v>
      </c>
      <c r="C229" s="1" t="e">
        <f ca="1">LEFT(Table3[[#This Row],[URL]],LEN(Table3[[#This Row],[URL]])-4)&amp;"raw=1"</f>
        <v>#NAME?</v>
      </c>
    </row>
    <row r="230" spans="1:3" x14ac:dyDescent="0.3">
      <c r="A230" s="1" t="s">
        <v>114</v>
      </c>
      <c r="B230" s="1" t="e">
        <f ca="1">geturl(Table3[[#This Row],[File]])</f>
        <v>#NAME?</v>
      </c>
      <c r="C230" s="1" t="e">
        <f ca="1">LEFT(Table3[[#This Row],[URL]],LEN(Table3[[#This Row],[URL]])-4)&amp;"raw=1"</f>
        <v>#NAME?</v>
      </c>
    </row>
    <row r="231" spans="1:3" x14ac:dyDescent="0.3">
      <c r="A231" s="1" t="s">
        <v>2265</v>
      </c>
      <c r="B231" s="1" t="e">
        <f ca="1">geturl(Table3[[#This Row],[File]])</f>
        <v>#NAME?</v>
      </c>
      <c r="C231" s="1" t="e">
        <f ca="1">LEFT(Table3[[#This Row],[URL]],LEN(Table3[[#This Row],[URL]])-4)&amp;"raw=1"</f>
        <v>#NAME?</v>
      </c>
    </row>
    <row r="232" spans="1:3" x14ac:dyDescent="0.3">
      <c r="A232" s="1" t="s">
        <v>115</v>
      </c>
      <c r="B232" s="1" t="e">
        <f ca="1">geturl(Table3[[#This Row],[File]])</f>
        <v>#NAME?</v>
      </c>
      <c r="C232" s="1" t="e">
        <f ca="1">LEFT(Table3[[#This Row],[URL]],LEN(Table3[[#This Row],[URL]])-4)&amp;"raw=1"</f>
        <v>#NAME?</v>
      </c>
    </row>
    <row r="233" spans="1:3" x14ac:dyDescent="0.3">
      <c r="A233" s="1" t="s">
        <v>116</v>
      </c>
      <c r="B233" s="1" t="e">
        <f ca="1">geturl(Table3[[#This Row],[File]])</f>
        <v>#NAME?</v>
      </c>
      <c r="C233" s="1" t="e">
        <f ca="1">LEFT(Table3[[#This Row],[URL]],LEN(Table3[[#This Row],[URL]])-4)&amp;"raw=1"</f>
        <v>#NAME?</v>
      </c>
    </row>
    <row r="234" spans="1:3" x14ac:dyDescent="0.3">
      <c r="A234" s="1" t="s">
        <v>117</v>
      </c>
      <c r="B234" s="1" t="e">
        <f ca="1">geturl(Table3[[#This Row],[File]])</f>
        <v>#NAME?</v>
      </c>
      <c r="C234" s="1" t="e">
        <f ca="1">LEFT(Table3[[#This Row],[URL]],LEN(Table3[[#This Row],[URL]])-4)&amp;"raw=1"</f>
        <v>#NAME?</v>
      </c>
    </row>
    <row r="235" spans="1:3" x14ac:dyDescent="0.3">
      <c r="A235" s="1" t="s">
        <v>118</v>
      </c>
      <c r="B235" s="1" t="e">
        <f ca="1">geturl(Table3[[#This Row],[File]])</f>
        <v>#NAME?</v>
      </c>
      <c r="C235" s="1" t="e">
        <f ca="1">LEFT(Table3[[#This Row],[URL]],LEN(Table3[[#This Row],[URL]])-4)&amp;"raw=1"</f>
        <v>#NAME?</v>
      </c>
    </row>
    <row r="236" spans="1:3" x14ac:dyDescent="0.3">
      <c r="A236" s="1" t="s">
        <v>2266</v>
      </c>
      <c r="B236" s="1" t="e">
        <f ca="1">geturl(Table3[[#This Row],[File]])</f>
        <v>#NAME?</v>
      </c>
      <c r="C236" s="1" t="e">
        <f ca="1">LEFT(Table3[[#This Row],[URL]],LEN(Table3[[#This Row],[URL]])-4)&amp;"raw=1"</f>
        <v>#NAME?</v>
      </c>
    </row>
    <row r="237" spans="1:3" x14ac:dyDescent="0.3">
      <c r="A237" s="1" t="s">
        <v>119</v>
      </c>
      <c r="B237" s="1" t="e">
        <f ca="1">geturl(Table3[[#This Row],[File]])</f>
        <v>#NAME?</v>
      </c>
      <c r="C237" s="1" t="e">
        <f ca="1">LEFT(Table3[[#This Row],[URL]],LEN(Table3[[#This Row],[URL]])-4)&amp;"raw=1"</f>
        <v>#NAME?</v>
      </c>
    </row>
    <row r="238" spans="1:3" x14ac:dyDescent="0.3">
      <c r="A238" s="1" t="s">
        <v>2267</v>
      </c>
      <c r="B238" s="1" t="e">
        <f ca="1">geturl(Table3[[#This Row],[File]])</f>
        <v>#NAME?</v>
      </c>
      <c r="C238" s="1" t="e">
        <f ca="1">LEFT(Table3[[#This Row],[URL]],LEN(Table3[[#This Row],[URL]])-4)&amp;"raw=1"</f>
        <v>#NAME?</v>
      </c>
    </row>
    <row r="239" spans="1:3" x14ac:dyDescent="0.3">
      <c r="A239" s="1" t="s">
        <v>2268</v>
      </c>
      <c r="B239" s="1" t="e">
        <f ca="1">geturl(Table3[[#This Row],[File]])</f>
        <v>#NAME?</v>
      </c>
      <c r="C239" s="1" t="e">
        <f ca="1">LEFT(Table3[[#This Row],[URL]],LEN(Table3[[#This Row],[URL]])-4)&amp;"raw=1"</f>
        <v>#NAME?</v>
      </c>
    </row>
    <row r="240" spans="1:3" x14ac:dyDescent="0.3">
      <c r="A240" s="1" t="s">
        <v>2269</v>
      </c>
      <c r="B240" s="1" t="e">
        <f ca="1">geturl(Table3[[#This Row],[File]])</f>
        <v>#NAME?</v>
      </c>
      <c r="C240" s="1" t="e">
        <f ca="1">LEFT(Table3[[#This Row],[URL]],LEN(Table3[[#This Row],[URL]])-4)&amp;"raw=1"</f>
        <v>#NAME?</v>
      </c>
    </row>
    <row r="241" spans="1:3" x14ac:dyDescent="0.3">
      <c r="A241" s="1" t="s">
        <v>2270</v>
      </c>
      <c r="B241" s="1" t="e">
        <f ca="1">geturl(Table3[[#This Row],[File]])</f>
        <v>#NAME?</v>
      </c>
      <c r="C241" s="1" t="e">
        <f ca="1">LEFT(Table3[[#This Row],[URL]],LEN(Table3[[#This Row],[URL]])-4)&amp;"raw=1"</f>
        <v>#NAME?</v>
      </c>
    </row>
    <row r="242" spans="1:3" x14ac:dyDescent="0.3">
      <c r="A242" s="1" t="s">
        <v>120</v>
      </c>
      <c r="B242" s="1" t="e">
        <f ca="1">geturl(Table3[[#This Row],[File]])</f>
        <v>#NAME?</v>
      </c>
      <c r="C242" s="1" t="e">
        <f ca="1">LEFT(Table3[[#This Row],[URL]],LEN(Table3[[#This Row],[URL]])-4)&amp;"raw=1"</f>
        <v>#NAME?</v>
      </c>
    </row>
    <row r="243" spans="1:3" x14ac:dyDescent="0.3">
      <c r="A243" s="1" t="s">
        <v>2271</v>
      </c>
      <c r="B243" s="1" t="e">
        <f ca="1">geturl(Table3[[#This Row],[File]])</f>
        <v>#NAME?</v>
      </c>
      <c r="C243" s="1" t="e">
        <f ca="1">LEFT(Table3[[#This Row],[URL]],LEN(Table3[[#This Row],[URL]])-4)&amp;"raw=1"</f>
        <v>#NAME?</v>
      </c>
    </row>
    <row r="244" spans="1:3" x14ac:dyDescent="0.3">
      <c r="A244" s="1" t="s">
        <v>2272</v>
      </c>
      <c r="B244" s="1" t="e">
        <f ca="1">geturl(Table3[[#This Row],[File]])</f>
        <v>#NAME?</v>
      </c>
      <c r="C244" s="1" t="e">
        <f ca="1">LEFT(Table3[[#This Row],[URL]],LEN(Table3[[#This Row],[URL]])-4)&amp;"raw=1"</f>
        <v>#NAME?</v>
      </c>
    </row>
    <row r="245" spans="1:3" x14ac:dyDescent="0.3">
      <c r="A245" s="1" t="s">
        <v>2273</v>
      </c>
      <c r="B245" s="1" t="e">
        <f ca="1">geturl(Table3[[#This Row],[File]])</f>
        <v>#NAME?</v>
      </c>
      <c r="C245" s="1" t="e">
        <f ca="1">LEFT(Table3[[#This Row],[URL]],LEN(Table3[[#This Row],[URL]])-4)&amp;"raw=1"</f>
        <v>#NAME?</v>
      </c>
    </row>
    <row r="246" spans="1:3" x14ac:dyDescent="0.3">
      <c r="A246" s="1" t="s">
        <v>2274</v>
      </c>
      <c r="B246" s="1" t="e">
        <f ca="1">geturl(Table3[[#This Row],[File]])</f>
        <v>#NAME?</v>
      </c>
      <c r="C246" s="1" t="e">
        <f ca="1">LEFT(Table3[[#This Row],[URL]],LEN(Table3[[#This Row],[URL]])-4)&amp;"raw=1"</f>
        <v>#NAME?</v>
      </c>
    </row>
    <row r="247" spans="1:3" x14ac:dyDescent="0.3">
      <c r="A247" s="1" t="s">
        <v>121</v>
      </c>
      <c r="B247" s="1" t="e">
        <f ca="1">geturl(Table3[[#This Row],[File]])</f>
        <v>#NAME?</v>
      </c>
      <c r="C247" s="1" t="e">
        <f ca="1">LEFT(Table3[[#This Row],[URL]],LEN(Table3[[#This Row],[URL]])-4)&amp;"raw=1"</f>
        <v>#NAME?</v>
      </c>
    </row>
    <row r="248" spans="1:3" x14ac:dyDescent="0.3">
      <c r="A248" s="1" t="s">
        <v>2275</v>
      </c>
      <c r="B248" s="1" t="e">
        <f ca="1">geturl(Table3[[#This Row],[File]])</f>
        <v>#NAME?</v>
      </c>
      <c r="C248" s="1" t="e">
        <f ca="1">LEFT(Table3[[#This Row],[URL]],LEN(Table3[[#This Row],[URL]])-4)&amp;"raw=1"</f>
        <v>#NAME?</v>
      </c>
    </row>
    <row r="249" spans="1:3" x14ac:dyDescent="0.3">
      <c r="A249" s="1" t="s">
        <v>2276</v>
      </c>
      <c r="B249" s="1" t="e">
        <f ca="1">geturl(Table3[[#This Row],[File]])</f>
        <v>#NAME?</v>
      </c>
      <c r="C249" s="1" t="e">
        <f ca="1">LEFT(Table3[[#This Row],[URL]],LEN(Table3[[#This Row],[URL]])-4)&amp;"raw=1"</f>
        <v>#NAME?</v>
      </c>
    </row>
    <row r="250" spans="1:3" x14ac:dyDescent="0.3">
      <c r="A250" s="1" t="s">
        <v>2277</v>
      </c>
      <c r="B250" s="1" t="e">
        <f ca="1">geturl(Table3[[#This Row],[File]])</f>
        <v>#NAME?</v>
      </c>
      <c r="C250" s="1" t="e">
        <f ca="1">LEFT(Table3[[#This Row],[URL]],LEN(Table3[[#This Row],[URL]])-4)&amp;"raw=1"</f>
        <v>#NAME?</v>
      </c>
    </row>
    <row r="251" spans="1:3" x14ac:dyDescent="0.3">
      <c r="A251" s="1" t="s">
        <v>2278</v>
      </c>
      <c r="B251" s="1" t="e">
        <f ca="1">geturl(Table3[[#This Row],[File]])</f>
        <v>#NAME?</v>
      </c>
      <c r="C251" s="1" t="e">
        <f ca="1">LEFT(Table3[[#This Row],[URL]],LEN(Table3[[#This Row],[URL]])-4)&amp;"raw=1"</f>
        <v>#NAME?</v>
      </c>
    </row>
    <row r="252" spans="1:3" x14ac:dyDescent="0.3">
      <c r="A252" s="1" t="s">
        <v>2279</v>
      </c>
      <c r="B252" s="1" t="e">
        <f ca="1">geturl(Table3[[#This Row],[File]])</f>
        <v>#NAME?</v>
      </c>
      <c r="C252" s="1" t="e">
        <f ca="1">LEFT(Table3[[#This Row],[URL]],LEN(Table3[[#This Row],[URL]])-4)&amp;"raw=1"</f>
        <v>#NAME?</v>
      </c>
    </row>
    <row r="253" spans="1:3" x14ac:dyDescent="0.3">
      <c r="A253" s="1" t="s">
        <v>122</v>
      </c>
      <c r="B253" s="1" t="e">
        <f ca="1">geturl(Table3[[#This Row],[File]])</f>
        <v>#NAME?</v>
      </c>
      <c r="C253" s="1" t="e">
        <f ca="1">LEFT(Table3[[#This Row],[URL]],LEN(Table3[[#This Row],[URL]])-4)&amp;"raw=1"</f>
        <v>#NAME?</v>
      </c>
    </row>
    <row r="254" spans="1:3" x14ac:dyDescent="0.3">
      <c r="A254" s="1" t="s">
        <v>123</v>
      </c>
      <c r="B254" s="1" t="e">
        <f ca="1">geturl(Table3[[#This Row],[File]])</f>
        <v>#NAME?</v>
      </c>
      <c r="C254" s="1" t="e">
        <f ca="1">LEFT(Table3[[#This Row],[URL]],LEN(Table3[[#This Row],[URL]])-4)&amp;"raw=1"</f>
        <v>#NAME?</v>
      </c>
    </row>
    <row r="255" spans="1:3" x14ac:dyDescent="0.3">
      <c r="A255" s="1" t="s">
        <v>2280</v>
      </c>
      <c r="B255" s="1" t="e">
        <f ca="1">geturl(Table3[[#This Row],[File]])</f>
        <v>#NAME?</v>
      </c>
      <c r="C255" s="1" t="e">
        <f ca="1">LEFT(Table3[[#This Row],[URL]],LEN(Table3[[#This Row],[URL]])-4)&amp;"raw=1"</f>
        <v>#NAME?</v>
      </c>
    </row>
    <row r="256" spans="1:3" x14ac:dyDescent="0.3">
      <c r="A256" s="1" t="s">
        <v>124</v>
      </c>
      <c r="B256" s="1" t="e">
        <f ca="1">geturl(Table3[[#This Row],[File]])</f>
        <v>#NAME?</v>
      </c>
      <c r="C256" s="1" t="e">
        <f ca="1">LEFT(Table3[[#This Row],[URL]],LEN(Table3[[#This Row],[URL]])-4)&amp;"raw=1"</f>
        <v>#NAME?</v>
      </c>
    </row>
    <row r="257" spans="1:3" x14ac:dyDescent="0.3">
      <c r="A257" s="1" t="s">
        <v>2281</v>
      </c>
      <c r="B257" s="1" t="e">
        <f ca="1">geturl(Table3[[#This Row],[File]])</f>
        <v>#NAME?</v>
      </c>
      <c r="C257" s="1" t="e">
        <f ca="1">LEFT(Table3[[#This Row],[URL]],LEN(Table3[[#This Row],[URL]])-4)&amp;"raw=1"</f>
        <v>#NAME?</v>
      </c>
    </row>
    <row r="258" spans="1:3" x14ac:dyDescent="0.3">
      <c r="A258" s="1" t="s">
        <v>125</v>
      </c>
      <c r="B258" s="1" t="e">
        <f ca="1">geturl(Table3[[#This Row],[File]])</f>
        <v>#NAME?</v>
      </c>
      <c r="C258" s="1" t="e">
        <f ca="1">LEFT(Table3[[#This Row],[URL]],LEN(Table3[[#This Row],[URL]])-4)&amp;"raw=1"</f>
        <v>#NAME?</v>
      </c>
    </row>
    <row r="259" spans="1:3" x14ac:dyDescent="0.3">
      <c r="A259" s="1" t="s">
        <v>2282</v>
      </c>
      <c r="B259" s="1" t="e">
        <f ca="1">geturl(Table3[[#This Row],[File]])</f>
        <v>#NAME?</v>
      </c>
      <c r="C259" s="1" t="e">
        <f ca="1">LEFT(Table3[[#This Row],[URL]],LEN(Table3[[#This Row],[URL]])-4)&amp;"raw=1"</f>
        <v>#NAME?</v>
      </c>
    </row>
    <row r="260" spans="1:3" x14ac:dyDescent="0.3">
      <c r="A260" s="1" t="s">
        <v>126</v>
      </c>
      <c r="B260" s="1" t="e">
        <f ca="1">geturl(Table3[[#This Row],[File]])</f>
        <v>#NAME?</v>
      </c>
      <c r="C260" s="1" t="e">
        <f ca="1">LEFT(Table3[[#This Row],[URL]],LEN(Table3[[#This Row],[URL]])-4)&amp;"raw=1"</f>
        <v>#NAME?</v>
      </c>
    </row>
    <row r="261" spans="1:3" x14ac:dyDescent="0.3">
      <c r="A261" s="1" t="s">
        <v>2283</v>
      </c>
      <c r="B261" s="1" t="e">
        <f ca="1">geturl(Table3[[#This Row],[File]])</f>
        <v>#NAME?</v>
      </c>
      <c r="C261" s="1" t="e">
        <f ca="1">LEFT(Table3[[#This Row],[URL]],LEN(Table3[[#This Row],[URL]])-4)&amp;"raw=1"</f>
        <v>#NAME?</v>
      </c>
    </row>
    <row r="262" spans="1:3" x14ac:dyDescent="0.3">
      <c r="A262" s="1" t="s">
        <v>127</v>
      </c>
      <c r="B262" s="1" t="e">
        <f ca="1">geturl(Table3[[#This Row],[File]])</f>
        <v>#NAME?</v>
      </c>
      <c r="C262" s="1" t="e">
        <f ca="1">LEFT(Table3[[#This Row],[URL]],LEN(Table3[[#This Row],[URL]])-4)&amp;"raw=1"</f>
        <v>#NAME?</v>
      </c>
    </row>
    <row r="263" spans="1:3" x14ac:dyDescent="0.3">
      <c r="A263" s="1" t="s">
        <v>128</v>
      </c>
      <c r="B263" s="1" t="e">
        <f ca="1">geturl(Table3[[#This Row],[File]])</f>
        <v>#NAME?</v>
      </c>
      <c r="C263" s="1" t="e">
        <f ca="1">LEFT(Table3[[#This Row],[URL]],LEN(Table3[[#This Row],[URL]])-4)&amp;"raw=1"</f>
        <v>#NAME?</v>
      </c>
    </row>
    <row r="264" spans="1:3" x14ac:dyDescent="0.3">
      <c r="A264" s="1" t="s">
        <v>129</v>
      </c>
      <c r="B264" s="1" t="e">
        <f ca="1">geturl(Table3[[#This Row],[File]])</f>
        <v>#NAME?</v>
      </c>
      <c r="C264" s="1" t="e">
        <f ca="1">LEFT(Table3[[#This Row],[URL]],LEN(Table3[[#This Row],[URL]])-4)&amp;"raw=1"</f>
        <v>#NAME?</v>
      </c>
    </row>
    <row r="265" spans="1:3" x14ac:dyDescent="0.3">
      <c r="A265" s="1" t="s">
        <v>2284</v>
      </c>
      <c r="B265" s="1" t="e">
        <f ca="1">geturl(Table3[[#This Row],[File]])</f>
        <v>#NAME?</v>
      </c>
      <c r="C265" s="1" t="e">
        <f ca="1">LEFT(Table3[[#This Row],[URL]],LEN(Table3[[#This Row],[URL]])-4)&amp;"raw=1"</f>
        <v>#NAME?</v>
      </c>
    </row>
    <row r="266" spans="1:3" x14ac:dyDescent="0.3">
      <c r="A266" s="1" t="s">
        <v>130</v>
      </c>
      <c r="B266" s="1" t="e">
        <f ca="1">geturl(Table3[[#This Row],[File]])</f>
        <v>#NAME?</v>
      </c>
      <c r="C266" s="1" t="e">
        <f ca="1">LEFT(Table3[[#This Row],[URL]],LEN(Table3[[#This Row],[URL]])-4)&amp;"raw=1"</f>
        <v>#NAME?</v>
      </c>
    </row>
    <row r="267" spans="1:3" x14ac:dyDescent="0.3">
      <c r="A267" s="1" t="s">
        <v>2285</v>
      </c>
      <c r="B267" s="1" t="e">
        <f ca="1">geturl(Table3[[#This Row],[File]])</f>
        <v>#NAME?</v>
      </c>
      <c r="C267" s="1" t="e">
        <f ca="1">LEFT(Table3[[#This Row],[URL]],LEN(Table3[[#This Row],[URL]])-4)&amp;"raw=1"</f>
        <v>#NAME?</v>
      </c>
    </row>
    <row r="268" spans="1:3" x14ac:dyDescent="0.3">
      <c r="A268" s="1" t="s">
        <v>131</v>
      </c>
      <c r="B268" s="1" t="e">
        <f ca="1">geturl(Table3[[#This Row],[File]])</f>
        <v>#NAME?</v>
      </c>
      <c r="C268" s="1" t="e">
        <f ca="1">LEFT(Table3[[#This Row],[URL]],LEN(Table3[[#This Row],[URL]])-4)&amp;"raw=1"</f>
        <v>#NAME?</v>
      </c>
    </row>
    <row r="269" spans="1:3" x14ac:dyDescent="0.3">
      <c r="A269" s="1" t="s">
        <v>2286</v>
      </c>
      <c r="B269" s="1" t="e">
        <f ca="1">geturl(Table3[[#This Row],[File]])</f>
        <v>#NAME?</v>
      </c>
      <c r="C269" s="1" t="e">
        <f ca="1">LEFT(Table3[[#This Row],[URL]],LEN(Table3[[#This Row],[URL]])-4)&amp;"raw=1"</f>
        <v>#NAME?</v>
      </c>
    </row>
    <row r="270" spans="1:3" x14ac:dyDescent="0.3">
      <c r="A270" s="1" t="s">
        <v>132</v>
      </c>
      <c r="B270" s="1" t="e">
        <f ca="1">geturl(Table3[[#This Row],[File]])</f>
        <v>#NAME?</v>
      </c>
      <c r="C270" s="1" t="e">
        <f ca="1">LEFT(Table3[[#This Row],[URL]],LEN(Table3[[#This Row],[URL]])-4)&amp;"raw=1"</f>
        <v>#NAME?</v>
      </c>
    </row>
    <row r="271" spans="1:3" x14ac:dyDescent="0.3">
      <c r="A271" s="1" t="s">
        <v>133</v>
      </c>
      <c r="B271" s="1" t="e">
        <f ca="1">geturl(Table3[[#This Row],[File]])</f>
        <v>#NAME?</v>
      </c>
      <c r="C271" s="1" t="e">
        <f ca="1">LEFT(Table3[[#This Row],[URL]],LEN(Table3[[#This Row],[URL]])-4)&amp;"raw=1"</f>
        <v>#NAME?</v>
      </c>
    </row>
    <row r="272" spans="1:3" x14ac:dyDescent="0.3">
      <c r="A272" s="1" t="s">
        <v>134</v>
      </c>
      <c r="B272" s="1" t="e">
        <f ca="1">geturl(Table3[[#This Row],[File]])</f>
        <v>#NAME?</v>
      </c>
      <c r="C272" s="1" t="e">
        <f ca="1">LEFT(Table3[[#This Row],[URL]],LEN(Table3[[#This Row],[URL]])-4)&amp;"raw=1"</f>
        <v>#NAME?</v>
      </c>
    </row>
    <row r="273" spans="1:3" x14ac:dyDescent="0.3">
      <c r="A273" s="1" t="s">
        <v>135</v>
      </c>
      <c r="B273" s="1" t="e">
        <f ca="1">geturl(Table3[[#This Row],[File]])</f>
        <v>#NAME?</v>
      </c>
      <c r="C273" s="1" t="e">
        <f ca="1">LEFT(Table3[[#This Row],[URL]],LEN(Table3[[#This Row],[URL]])-4)&amp;"raw=1"</f>
        <v>#NAME?</v>
      </c>
    </row>
    <row r="274" spans="1:3" x14ac:dyDescent="0.3">
      <c r="A274" s="1" t="s">
        <v>136</v>
      </c>
      <c r="B274" s="1" t="e">
        <f ca="1">geturl(Table3[[#This Row],[File]])</f>
        <v>#NAME?</v>
      </c>
      <c r="C274" s="1" t="e">
        <f ca="1">LEFT(Table3[[#This Row],[URL]],LEN(Table3[[#This Row],[URL]])-4)&amp;"raw=1"</f>
        <v>#NAME?</v>
      </c>
    </row>
    <row r="275" spans="1:3" x14ac:dyDescent="0.3">
      <c r="A275" s="1" t="s">
        <v>137</v>
      </c>
      <c r="B275" s="1" t="e">
        <f ca="1">geturl(Table3[[#This Row],[File]])</f>
        <v>#NAME?</v>
      </c>
      <c r="C275" s="1" t="e">
        <f ca="1">LEFT(Table3[[#This Row],[URL]],LEN(Table3[[#This Row],[URL]])-4)&amp;"raw=1"</f>
        <v>#NAME?</v>
      </c>
    </row>
    <row r="276" spans="1:3" x14ac:dyDescent="0.3">
      <c r="A276" s="1" t="s">
        <v>138</v>
      </c>
      <c r="B276" s="1" t="e">
        <f ca="1">geturl(Table3[[#This Row],[File]])</f>
        <v>#NAME?</v>
      </c>
      <c r="C276" s="1" t="e">
        <f ca="1">LEFT(Table3[[#This Row],[URL]],LEN(Table3[[#This Row],[URL]])-4)&amp;"raw=1"</f>
        <v>#NAME?</v>
      </c>
    </row>
    <row r="277" spans="1:3" x14ac:dyDescent="0.3">
      <c r="A277" s="1" t="s">
        <v>139</v>
      </c>
      <c r="B277" s="1" t="e">
        <f ca="1">geturl(Table3[[#This Row],[File]])</f>
        <v>#NAME?</v>
      </c>
      <c r="C277" s="1" t="e">
        <f ca="1">LEFT(Table3[[#This Row],[URL]],LEN(Table3[[#This Row],[URL]])-4)&amp;"raw=1"</f>
        <v>#NAME?</v>
      </c>
    </row>
    <row r="278" spans="1:3" x14ac:dyDescent="0.3">
      <c r="A278" s="1" t="s">
        <v>140</v>
      </c>
      <c r="B278" s="1" t="e">
        <f ca="1">geturl(Table3[[#This Row],[File]])</f>
        <v>#NAME?</v>
      </c>
      <c r="C278" s="1" t="e">
        <f ca="1">LEFT(Table3[[#This Row],[URL]],LEN(Table3[[#This Row],[URL]])-4)&amp;"raw=1"</f>
        <v>#NAME?</v>
      </c>
    </row>
    <row r="279" spans="1:3" x14ac:dyDescent="0.3">
      <c r="A279" s="1" t="s">
        <v>141</v>
      </c>
      <c r="B279" s="1" t="e">
        <f ca="1">geturl(Table3[[#This Row],[File]])</f>
        <v>#NAME?</v>
      </c>
      <c r="C279" s="1" t="e">
        <f ca="1">LEFT(Table3[[#This Row],[URL]],LEN(Table3[[#This Row],[URL]])-4)&amp;"raw=1"</f>
        <v>#NAME?</v>
      </c>
    </row>
    <row r="280" spans="1:3" x14ac:dyDescent="0.3">
      <c r="A280" s="1" t="s">
        <v>2287</v>
      </c>
      <c r="B280" s="1" t="e">
        <f ca="1">geturl(Table3[[#This Row],[File]])</f>
        <v>#NAME?</v>
      </c>
      <c r="C280" s="1" t="e">
        <f ca="1">LEFT(Table3[[#This Row],[URL]],LEN(Table3[[#This Row],[URL]])-4)&amp;"raw=1"</f>
        <v>#NAME?</v>
      </c>
    </row>
    <row r="281" spans="1:3" x14ac:dyDescent="0.3">
      <c r="A281" s="1" t="s">
        <v>142</v>
      </c>
      <c r="B281" s="1" t="e">
        <f ca="1">geturl(Table3[[#This Row],[File]])</f>
        <v>#NAME?</v>
      </c>
      <c r="C281" s="1" t="e">
        <f ca="1">LEFT(Table3[[#This Row],[URL]],LEN(Table3[[#This Row],[URL]])-4)&amp;"raw=1"</f>
        <v>#NAME?</v>
      </c>
    </row>
    <row r="282" spans="1:3" x14ac:dyDescent="0.3">
      <c r="A282" s="1" t="s">
        <v>2288</v>
      </c>
      <c r="B282" s="1" t="e">
        <f ca="1">geturl(Table3[[#This Row],[File]])</f>
        <v>#NAME?</v>
      </c>
      <c r="C282" s="1" t="e">
        <f ca="1">LEFT(Table3[[#This Row],[URL]],LEN(Table3[[#This Row],[URL]])-4)&amp;"raw=1"</f>
        <v>#NAME?</v>
      </c>
    </row>
    <row r="283" spans="1:3" x14ac:dyDescent="0.3">
      <c r="A283" s="1" t="s">
        <v>143</v>
      </c>
      <c r="B283" s="1" t="e">
        <f ca="1">geturl(Table3[[#This Row],[File]])</f>
        <v>#NAME?</v>
      </c>
      <c r="C283" s="1" t="e">
        <f ca="1">LEFT(Table3[[#This Row],[URL]],LEN(Table3[[#This Row],[URL]])-4)&amp;"raw=1"</f>
        <v>#NAME?</v>
      </c>
    </row>
    <row r="284" spans="1:3" x14ac:dyDescent="0.3">
      <c r="A284" s="1" t="s">
        <v>2289</v>
      </c>
      <c r="B284" s="1" t="e">
        <f ca="1">geturl(Table3[[#This Row],[File]])</f>
        <v>#NAME?</v>
      </c>
      <c r="C284" s="1" t="e">
        <f ca="1">LEFT(Table3[[#This Row],[URL]],LEN(Table3[[#This Row],[URL]])-4)&amp;"raw=1"</f>
        <v>#NAME?</v>
      </c>
    </row>
    <row r="285" spans="1:3" x14ac:dyDescent="0.3">
      <c r="A285" s="1" t="s">
        <v>144</v>
      </c>
      <c r="B285" s="1" t="e">
        <f ca="1">geturl(Table3[[#This Row],[File]])</f>
        <v>#NAME?</v>
      </c>
      <c r="C285" s="1" t="e">
        <f ca="1">LEFT(Table3[[#This Row],[URL]],LEN(Table3[[#This Row],[URL]])-4)&amp;"raw=1"</f>
        <v>#NAME?</v>
      </c>
    </row>
    <row r="286" spans="1:3" x14ac:dyDescent="0.3">
      <c r="A286" s="1" t="s">
        <v>145</v>
      </c>
      <c r="B286" s="1" t="e">
        <f ca="1">geturl(Table3[[#This Row],[File]])</f>
        <v>#NAME?</v>
      </c>
      <c r="C286" s="1" t="e">
        <f ca="1">LEFT(Table3[[#This Row],[URL]],LEN(Table3[[#This Row],[URL]])-4)&amp;"raw=1"</f>
        <v>#NAME?</v>
      </c>
    </row>
    <row r="287" spans="1:3" x14ac:dyDescent="0.3">
      <c r="A287" s="1" t="s">
        <v>146</v>
      </c>
      <c r="B287" s="1" t="e">
        <f ca="1">geturl(Table3[[#This Row],[File]])</f>
        <v>#NAME?</v>
      </c>
      <c r="C287" s="1" t="e">
        <f ca="1">LEFT(Table3[[#This Row],[URL]],LEN(Table3[[#This Row],[URL]])-4)&amp;"raw=1"</f>
        <v>#NAME?</v>
      </c>
    </row>
    <row r="288" spans="1:3" x14ac:dyDescent="0.3">
      <c r="A288" s="1" t="s">
        <v>147</v>
      </c>
      <c r="B288" s="1" t="e">
        <f ca="1">geturl(Table3[[#This Row],[File]])</f>
        <v>#NAME?</v>
      </c>
      <c r="C288" s="1" t="e">
        <f ca="1">LEFT(Table3[[#This Row],[URL]],LEN(Table3[[#This Row],[URL]])-4)&amp;"raw=1"</f>
        <v>#NAME?</v>
      </c>
    </row>
    <row r="289" spans="1:3" x14ac:dyDescent="0.3">
      <c r="A289" s="1" t="s">
        <v>2290</v>
      </c>
      <c r="B289" s="1" t="e">
        <f ca="1">geturl(Table3[[#This Row],[File]])</f>
        <v>#NAME?</v>
      </c>
      <c r="C289" s="1" t="e">
        <f ca="1">LEFT(Table3[[#This Row],[URL]],LEN(Table3[[#This Row],[URL]])-4)&amp;"raw=1"</f>
        <v>#NAME?</v>
      </c>
    </row>
    <row r="290" spans="1:3" x14ac:dyDescent="0.3">
      <c r="A290" s="1" t="s">
        <v>148</v>
      </c>
      <c r="B290" s="1" t="e">
        <f ca="1">geturl(Table3[[#This Row],[File]])</f>
        <v>#NAME?</v>
      </c>
      <c r="C290" s="1" t="e">
        <f ca="1">LEFT(Table3[[#This Row],[URL]],LEN(Table3[[#This Row],[URL]])-4)&amp;"raw=1"</f>
        <v>#NAME?</v>
      </c>
    </row>
    <row r="291" spans="1:3" x14ac:dyDescent="0.3">
      <c r="A291" s="1" t="s">
        <v>2291</v>
      </c>
      <c r="B291" s="1" t="e">
        <f ca="1">geturl(Table3[[#This Row],[File]])</f>
        <v>#NAME?</v>
      </c>
      <c r="C291" s="1" t="e">
        <f ca="1">LEFT(Table3[[#This Row],[URL]],LEN(Table3[[#This Row],[URL]])-4)&amp;"raw=1"</f>
        <v>#NAME?</v>
      </c>
    </row>
    <row r="292" spans="1:3" x14ac:dyDescent="0.3">
      <c r="A292" s="1" t="s">
        <v>149</v>
      </c>
      <c r="B292" s="1" t="e">
        <f ca="1">geturl(Table3[[#This Row],[File]])</f>
        <v>#NAME?</v>
      </c>
      <c r="C292" s="1" t="e">
        <f ca="1">LEFT(Table3[[#This Row],[URL]],LEN(Table3[[#This Row],[URL]])-4)&amp;"raw=1"</f>
        <v>#NAME?</v>
      </c>
    </row>
    <row r="293" spans="1:3" x14ac:dyDescent="0.3">
      <c r="A293" s="1" t="s">
        <v>2292</v>
      </c>
      <c r="B293" s="1" t="e">
        <f ca="1">geturl(Table3[[#This Row],[File]])</f>
        <v>#NAME?</v>
      </c>
      <c r="C293" s="1" t="e">
        <f ca="1">LEFT(Table3[[#This Row],[URL]],LEN(Table3[[#This Row],[URL]])-4)&amp;"raw=1"</f>
        <v>#NAME?</v>
      </c>
    </row>
    <row r="294" spans="1:3" x14ac:dyDescent="0.3">
      <c r="A294" s="1" t="s">
        <v>150</v>
      </c>
      <c r="B294" s="1" t="e">
        <f ca="1">geturl(Table3[[#This Row],[File]])</f>
        <v>#NAME?</v>
      </c>
      <c r="C294" s="1" t="e">
        <f ca="1">LEFT(Table3[[#This Row],[URL]],LEN(Table3[[#This Row],[URL]])-4)&amp;"raw=1"</f>
        <v>#NAME?</v>
      </c>
    </row>
    <row r="295" spans="1:3" x14ac:dyDescent="0.3">
      <c r="A295" s="1" t="s">
        <v>2293</v>
      </c>
      <c r="B295" s="3" t="e">
        <f ca="1">geturl(Table3[[#This Row],[File]])</f>
        <v>#NAME?</v>
      </c>
      <c r="C295" s="1" t="e">
        <f ca="1">LEFT(Table3[[#This Row],[URL]],LEN(Table3[[#This Row],[URL]])-4)&amp;"raw=1"</f>
        <v>#NAME?</v>
      </c>
    </row>
    <row r="296" spans="1:3" x14ac:dyDescent="0.3">
      <c r="A296" s="1" t="s">
        <v>151</v>
      </c>
      <c r="B296" s="3" t="e">
        <f ca="1">geturl(Table3[[#This Row],[File]])</f>
        <v>#NAME?</v>
      </c>
      <c r="C296" s="1" t="e">
        <f ca="1">LEFT(Table3[[#This Row],[URL]],LEN(Table3[[#This Row],[URL]])-4)&amp;"raw=1"</f>
        <v>#NAME?</v>
      </c>
    </row>
    <row r="297" spans="1:3" x14ac:dyDescent="0.3">
      <c r="A297" s="1" t="s">
        <v>2294</v>
      </c>
      <c r="B297" s="3" t="e">
        <f ca="1">geturl(Table3[[#This Row],[File]])</f>
        <v>#NAME?</v>
      </c>
      <c r="C297" s="1" t="e">
        <f ca="1">LEFT(Table3[[#This Row],[URL]],LEN(Table3[[#This Row],[URL]])-4)&amp;"raw=1"</f>
        <v>#NAME?</v>
      </c>
    </row>
    <row r="298" spans="1:3" x14ac:dyDescent="0.3">
      <c r="A298" s="1" t="s">
        <v>152</v>
      </c>
      <c r="B298" s="3" t="e">
        <f ca="1">geturl(Table3[[#This Row],[File]])</f>
        <v>#NAME?</v>
      </c>
      <c r="C298" s="1" t="e">
        <f ca="1">LEFT(Table3[[#This Row],[URL]],LEN(Table3[[#This Row],[URL]])-4)&amp;"raw=1"</f>
        <v>#NAME?</v>
      </c>
    </row>
    <row r="299" spans="1:3" x14ac:dyDescent="0.3">
      <c r="A299" s="1" t="s">
        <v>2295</v>
      </c>
      <c r="B299" s="3" t="e">
        <f ca="1">geturl(Table3[[#This Row],[File]])</f>
        <v>#NAME?</v>
      </c>
      <c r="C299" s="1" t="e">
        <f ca="1">LEFT(Table3[[#This Row],[URL]],LEN(Table3[[#This Row],[URL]])-4)&amp;"raw=1"</f>
        <v>#NAME?</v>
      </c>
    </row>
    <row r="300" spans="1:3" x14ac:dyDescent="0.3">
      <c r="A300" s="1" t="s">
        <v>153</v>
      </c>
      <c r="B300" s="3" t="e">
        <f ca="1">geturl(Table3[[#This Row],[File]])</f>
        <v>#NAME?</v>
      </c>
      <c r="C300" s="1" t="e">
        <f ca="1">LEFT(Table3[[#This Row],[URL]],LEN(Table3[[#This Row],[URL]])-4)&amp;"raw=1"</f>
        <v>#NAME?</v>
      </c>
    </row>
    <row r="301" spans="1:3" x14ac:dyDescent="0.3">
      <c r="A301" s="1" t="s">
        <v>154</v>
      </c>
      <c r="B301" s="3" t="e">
        <f ca="1">geturl(Table3[[#This Row],[File]])</f>
        <v>#NAME?</v>
      </c>
      <c r="C301" s="1" t="e">
        <f ca="1">LEFT(Table3[[#This Row],[URL]],LEN(Table3[[#This Row],[URL]])-4)&amp;"raw=1"</f>
        <v>#NAME?</v>
      </c>
    </row>
    <row r="302" spans="1:3" x14ac:dyDescent="0.3">
      <c r="A302" s="1" t="s">
        <v>155</v>
      </c>
      <c r="B302" s="3" t="e">
        <f ca="1">geturl(Table3[[#This Row],[File]])</f>
        <v>#NAME?</v>
      </c>
      <c r="C302" s="1" t="e">
        <f ca="1">LEFT(Table3[[#This Row],[URL]],LEN(Table3[[#This Row],[URL]])-4)&amp;"raw=1"</f>
        <v>#NAME?</v>
      </c>
    </row>
    <row r="303" spans="1:3" x14ac:dyDescent="0.3">
      <c r="A303" s="1" t="s">
        <v>156</v>
      </c>
      <c r="B303" s="3" t="e">
        <f ca="1">geturl(Table3[[#This Row],[File]])</f>
        <v>#NAME?</v>
      </c>
      <c r="C303" s="1" t="e">
        <f ca="1">LEFT(Table3[[#This Row],[URL]],LEN(Table3[[#This Row],[URL]])-4)&amp;"raw=1"</f>
        <v>#NAME?</v>
      </c>
    </row>
    <row r="304" spans="1:3" x14ac:dyDescent="0.3">
      <c r="A304" s="1" t="s">
        <v>157</v>
      </c>
      <c r="B304" s="3" t="e">
        <f ca="1">geturl(Table3[[#This Row],[File]])</f>
        <v>#NAME?</v>
      </c>
      <c r="C304" s="1" t="e">
        <f ca="1">LEFT(Table3[[#This Row],[URL]],LEN(Table3[[#This Row],[URL]])-4)&amp;"raw=1"</f>
        <v>#NAME?</v>
      </c>
    </row>
    <row r="305" spans="1:3" x14ac:dyDescent="0.3">
      <c r="A305" s="1" t="s">
        <v>158</v>
      </c>
      <c r="B305" s="3" t="e">
        <f ca="1">geturl(Table3[[#This Row],[File]])</f>
        <v>#NAME?</v>
      </c>
      <c r="C305" s="1" t="e">
        <f ca="1">LEFT(Table3[[#This Row],[URL]],LEN(Table3[[#This Row],[URL]])-4)&amp;"raw=1"</f>
        <v>#NAME?</v>
      </c>
    </row>
    <row r="306" spans="1:3" x14ac:dyDescent="0.3">
      <c r="A306" s="1" t="s">
        <v>159</v>
      </c>
      <c r="B306" s="3" t="e">
        <f ca="1">geturl(Table3[[#This Row],[File]])</f>
        <v>#NAME?</v>
      </c>
      <c r="C306" s="1" t="e">
        <f ca="1">LEFT(Table3[[#This Row],[URL]],LEN(Table3[[#This Row],[URL]])-4)&amp;"raw=1"</f>
        <v>#NAME?</v>
      </c>
    </row>
    <row r="307" spans="1:3" x14ac:dyDescent="0.3">
      <c r="A307" s="1" t="s">
        <v>160</v>
      </c>
      <c r="B307" s="3" t="e">
        <f ca="1">geturl(Table3[[#This Row],[File]])</f>
        <v>#NAME?</v>
      </c>
      <c r="C307" s="1" t="e">
        <f ca="1">LEFT(Table3[[#This Row],[URL]],LEN(Table3[[#This Row],[URL]])-4)&amp;"raw=1"</f>
        <v>#NAME?</v>
      </c>
    </row>
    <row r="308" spans="1:3" x14ac:dyDescent="0.3">
      <c r="A308" s="1" t="s">
        <v>161</v>
      </c>
      <c r="B308" s="3" t="e">
        <f ca="1">geturl(Table3[[#This Row],[File]])</f>
        <v>#NAME?</v>
      </c>
      <c r="C308" s="1" t="e">
        <f ca="1">LEFT(Table3[[#This Row],[URL]],LEN(Table3[[#This Row],[URL]])-4)&amp;"raw=1"</f>
        <v>#NAME?</v>
      </c>
    </row>
    <row r="309" spans="1:3" x14ac:dyDescent="0.3">
      <c r="A309" s="1" t="s">
        <v>162</v>
      </c>
      <c r="B309" s="3" t="e">
        <f ca="1">geturl(Table3[[#This Row],[File]])</f>
        <v>#NAME?</v>
      </c>
      <c r="C309" s="1" t="e">
        <f ca="1">LEFT(Table3[[#This Row],[URL]],LEN(Table3[[#This Row],[URL]])-4)&amp;"raw=1"</f>
        <v>#NAME?</v>
      </c>
    </row>
    <row r="310" spans="1:3" x14ac:dyDescent="0.3">
      <c r="A310" s="1" t="s">
        <v>163</v>
      </c>
      <c r="B310" s="3" t="e">
        <f ca="1">geturl(Table3[[#This Row],[File]])</f>
        <v>#NAME?</v>
      </c>
      <c r="C310" s="1" t="e">
        <f ca="1">LEFT(Table3[[#This Row],[URL]],LEN(Table3[[#This Row],[URL]])-4)&amp;"raw=1"</f>
        <v>#NAME?</v>
      </c>
    </row>
    <row r="311" spans="1:3" x14ac:dyDescent="0.3">
      <c r="A311" s="1" t="s">
        <v>164</v>
      </c>
      <c r="B311" s="3" t="e">
        <f ca="1">geturl(Table3[[#This Row],[File]])</f>
        <v>#NAME?</v>
      </c>
      <c r="C311" s="1" t="e">
        <f ca="1">LEFT(Table3[[#This Row],[URL]],LEN(Table3[[#This Row],[URL]])-4)&amp;"raw=1"</f>
        <v>#NAME?</v>
      </c>
    </row>
    <row r="312" spans="1:3" x14ac:dyDescent="0.3">
      <c r="A312" s="1" t="s">
        <v>165</v>
      </c>
      <c r="B312" s="3" t="e">
        <f ca="1">geturl(Table3[[#This Row],[File]])</f>
        <v>#NAME?</v>
      </c>
      <c r="C312" s="1" t="e">
        <f ca="1">LEFT(Table3[[#This Row],[URL]],LEN(Table3[[#This Row],[URL]])-4)&amp;"raw=1"</f>
        <v>#NAME?</v>
      </c>
    </row>
    <row r="313" spans="1:3" x14ac:dyDescent="0.3">
      <c r="A313" s="1" t="s">
        <v>166</v>
      </c>
      <c r="B313" s="3" t="e">
        <f ca="1">geturl(Table3[[#This Row],[File]])</f>
        <v>#NAME?</v>
      </c>
      <c r="C313" s="1" t="e">
        <f ca="1">LEFT(Table3[[#This Row],[URL]],LEN(Table3[[#This Row],[URL]])-4)&amp;"raw=1"</f>
        <v>#NAME?</v>
      </c>
    </row>
    <row r="314" spans="1:3" x14ac:dyDescent="0.3">
      <c r="A314" s="1" t="s">
        <v>167</v>
      </c>
      <c r="B314" s="3" t="e">
        <f ca="1">geturl(Table3[[#This Row],[File]])</f>
        <v>#NAME?</v>
      </c>
      <c r="C314" s="1" t="e">
        <f ca="1">LEFT(Table3[[#This Row],[URL]],LEN(Table3[[#This Row],[URL]])-4)&amp;"raw=1"</f>
        <v>#NAME?</v>
      </c>
    </row>
    <row r="315" spans="1:3" x14ac:dyDescent="0.3">
      <c r="A315" s="1" t="s">
        <v>168</v>
      </c>
      <c r="B315" s="3" t="e">
        <f ca="1">geturl(Table3[[#This Row],[File]])</f>
        <v>#NAME?</v>
      </c>
      <c r="C315" s="1" t="e">
        <f ca="1">LEFT(Table3[[#This Row],[URL]],LEN(Table3[[#This Row],[URL]])-4)&amp;"raw=1"</f>
        <v>#NAME?</v>
      </c>
    </row>
    <row r="316" spans="1:3" x14ac:dyDescent="0.3">
      <c r="A316" s="1" t="s">
        <v>169</v>
      </c>
      <c r="B316" s="3" t="e">
        <f ca="1">geturl(Table3[[#This Row],[File]])</f>
        <v>#NAME?</v>
      </c>
      <c r="C316" s="1" t="e">
        <f ca="1">LEFT(Table3[[#This Row],[URL]],LEN(Table3[[#This Row],[URL]])-4)&amp;"raw=1"</f>
        <v>#NAME?</v>
      </c>
    </row>
    <row r="317" spans="1:3" x14ac:dyDescent="0.3">
      <c r="A317" s="1" t="s">
        <v>170</v>
      </c>
      <c r="B317" s="3" t="e">
        <f ca="1">geturl(Table3[[#This Row],[File]])</f>
        <v>#NAME?</v>
      </c>
      <c r="C317" s="1" t="e">
        <f ca="1">LEFT(Table3[[#This Row],[URL]],LEN(Table3[[#This Row],[URL]])-4)&amp;"raw=1"</f>
        <v>#NAME?</v>
      </c>
    </row>
    <row r="318" spans="1:3" x14ac:dyDescent="0.3">
      <c r="A318" s="1" t="s">
        <v>171</v>
      </c>
      <c r="B318" s="3" t="e">
        <f ca="1">geturl(Table3[[#This Row],[File]])</f>
        <v>#NAME?</v>
      </c>
      <c r="C318" s="1" t="e">
        <f ca="1">LEFT(Table3[[#This Row],[URL]],LEN(Table3[[#This Row],[URL]])-4)&amp;"raw=1"</f>
        <v>#NAME?</v>
      </c>
    </row>
    <row r="319" spans="1:3" x14ac:dyDescent="0.3">
      <c r="A319" s="1" t="s">
        <v>2296</v>
      </c>
      <c r="B319" s="3" t="e">
        <f ca="1">geturl(Table3[[#This Row],[File]])</f>
        <v>#NAME?</v>
      </c>
      <c r="C319" s="1" t="e">
        <f ca="1">LEFT(Table3[[#This Row],[URL]],LEN(Table3[[#This Row],[URL]])-4)&amp;"raw=1"</f>
        <v>#NAME?</v>
      </c>
    </row>
    <row r="320" spans="1:3" x14ac:dyDescent="0.3">
      <c r="A320" s="1" t="s">
        <v>172</v>
      </c>
      <c r="B320" s="3" t="e">
        <f ca="1">geturl(Table3[[#This Row],[File]])</f>
        <v>#NAME?</v>
      </c>
      <c r="C320" s="1" t="e">
        <f ca="1">LEFT(Table3[[#This Row],[URL]],LEN(Table3[[#This Row],[URL]])-4)&amp;"raw=1"</f>
        <v>#NAME?</v>
      </c>
    </row>
    <row r="321" spans="1:3" x14ac:dyDescent="0.3">
      <c r="A321" s="1" t="s">
        <v>173</v>
      </c>
      <c r="B321" s="3" t="e">
        <f ca="1">geturl(Table3[[#This Row],[File]])</f>
        <v>#NAME?</v>
      </c>
      <c r="C321" s="1" t="e">
        <f ca="1">LEFT(Table3[[#This Row],[URL]],LEN(Table3[[#This Row],[URL]])-4)&amp;"raw=1"</f>
        <v>#NAME?</v>
      </c>
    </row>
    <row r="322" spans="1:3" x14ac:dyDescent="0.3">
      <c r="A322" s="1" t="s">
        <v>174</v>
      </c>
      <c r="B322" s="3" t="e">
        <f ca="1">geturl(Table3[[#This Row],[File]])</f>
        <v>#NAME?</v>
      </c>
      <c r="C322" s="1" t="e">
        <f ca="1">LEFT(Table3[[#This Row],[URL]],LEN(Table3[[#This Row],[URL]])-4)&amp;"raw=1"</f>
        <v>#NAME?</v>
      </c>
    </row>
    <row r="323" spans="1:3" x14ac:dyDescent="0.3">
      <c r="A323" s="1" t="s">
        <v>175</v>
      </c>
      <c r="B323" s="3" t="e">
        <f ca="1">geturl(Table3[[#This Row],[File]])</f>
        <v>#NAME?</v>
      </c>
      <c r="C323" s="1" t="e">
        <f ca="1">LEFT(Table3[[#This Row],[URL]],LEN(Table3[[#This Row],[URL]])-4)&amp;"raw=1"</f>
        <v>#NAME?</v>
      </c>
    </row>
    <row r="324" spans="1:3" x14ac:dyDescent="0.3">
      <c r="A324" s="1" t="s">
        <v>176</v>
      </c>
      <c r="B324" s="3" t="e">
        <f ca="1">geturl(Table3[[#This Row],[File]])</f>
        <v>#NAME?</v>
      </c>
      <c r="C324" s="1" t="e">
        <f ca="1">LEFT(Table3[[#This Row],[URL]],LEN(Table3[[#This Row],[URL]])-4)&amp;"raw=1"</f>
        <v>#NAME?</v>
      </c>
    </row>
    <row r="325" spans="1:3" x14ac:dyDescent="0.3">
      <c r="A325" s="1" t="s">
        <v>177</v>
      </c>
      <c r="B325" s="3" t="e">
        <f ca="1">geturl(Table3[[#This Row],[File]])</f>
        <v>#NAME?</v>
      </c>
      <c r="C325" s="1" t="e">
        <f ca="1">LEFT(Table3[[#This Row],[URL]],LEN(Table3[[#This Row],[URL]])-4)&amp;"raw=1"</f>
        <v>#NAME?</v>
      </c>
    </row>
    <row r="326" spans="1:3" x14ac:dyDescent="0.3">
      <c r="A326" s="1" t="s">
        <v>178</v>
      </c>
      <c r="B326" s="3" t="e">
        <f ca="1">geturl(Table3[[#This Row],[File]])</f>
        <v>#NAME?</v>
      </c>
      <c r="C326" s="1" t="e">
        <f ca="1">LEFT(Table3[[#This Row],[URL]],LEN(Table3[[#This Row],[URL]])-4)&amp;"raw=1"</f>
        <v>#NAME?</v>
      </c>
    </row>
    <row r="327" spans="1:3" x14ac:dyDescent="0.3">
      <c r="A327" s="1" t="s">
        <v>179</v>
      </c>
      <c r="B327" s="3" t="e">
        <f ca="1">geturl(Table3[[#This Row],[File]])</f>
        <v>#NAME?</v>
      </c>
      <c r="C327" s="1" t="e">
        <f ca="1">LEFT(Table3[[#This Row],[URL]],LEN(Table3[[#This Row],[URL]])-4)&amp;"raw=1"</f>
        <v>#NAME?</v>
      </c>
    </row>
    <row r="328" spans="1:3" x14ac:dyDescent="0.3">
      <c r="A328" s="1" t="s">
        <v>180</v>
      </c>
      <c r="B328" s="3" t="e">
        <f ca="1">geturl(Table3[[#This Row],[File]])</f>
        <v>#NAME?</v>
      </c>
      <c r="C328" s="1" t="e">
        <f ca="1">LEFT(Table3[[#This Row],[URL]],LEN(Table3[[#This Row],[URL]])-4)&amp;"raw=1"</f>
        <v>#NAME?</v>
      </c>
    </row>
    <row r="329" spans="1:3" x14ac:dyDescent="0.3">
      <c r="A329" s="1" t="s">
        <v>2297</v>
      </c>
      <c r="B329" s="3" t="e">
        <f ca="1">geturl(Table3[[#This Row],[File]])</f>
        <v>#NAME?</v>
      </c>
      <c r="C329" s="1" t="e">
        <f ca="1">LEFT(Table3[[#This Row],[URL]],LEN(Table3[[#This Row],[URL]])-4)&amp;"raw=1"</f>
        <v>#NAME?</v>
      </c>
    </row>
    <row r="330" spans="1:3" x14ac:dyDescent="0.3">
      <c r="A330" s="1" t="s">
        <v>181</v>
      </c>
      <c r="B330" s="3" t="e">
        <f ca="1">geturl(Table3[[#This Row],[File]])</f>
        <v>#NAME?</v>
      </c>
      <c r="C330" s="1" t="e">
        <f ca="1">LEFT(Table3[[#This Row],[URL]],LEN(Table3[[#This Row],[URL]])-4)&amp;"raw=1"</f>
        <v>#NAME?</v>
      </c>
    </row>
    <row r="331" spans="1:3" x14ac:dyDescent="0.3">
      <c r="A331" s="1" t="s">
        <v>2298</v>
      </c>
      <c r="B331" s="3" t="e">
        <f ca="1">geturl(Table3[[#This Row],[File]])</f>
        <v>#NAME?</v>
      </c>
      <c r="C331" s="1" t="e">
        <f ca="1">LEFT(Table3[[#This Row],[URL]],LEN(Table3[[#This Row],[URL]])-4)&amp;"raw=1"</f>
        <v>#NAME?</v>
      </c>
    </row>
    <row r="332" spans="1:3" x14ac:dyDescent="0.3">
      <c r="A332" s="1" t="s">
        <v>2299</v>
      </c>
      <c r="B332" s="3" t="e">
        <f ca="1">geturl(Table3[[#This Row],[File]])</f>
        <v>#NAME?</v>
      </c>
      <c r="C332" s="1" t="e">
        <f ca="1">LEFT(Table3[[#This Row],[URL]],LEN(Table3[[#This Row],[URL]])-4)&amp;"raw=1"</f>
        <v>#NAME?</v>
      </c>
    </row>
    <row r="333" spans="1:3" x14ac:dyDescent="0.3">
      <c r="A333" s="1" t="s">
        <v>182</v>
      </c>
      <c r="B333" s="3" t="e">
        <f ca="1">geturl(Table3[[#This Row],[File]])</f>
        <v>#NAME?</v>
      </c>
      <c r="C333" s="1" t="e">
        <f ca="1">LEFT(Table3[[#This Row],[URL]],LEN(Table3[[#This Row],[URL]])-4)&amp;"raw=1"</f>
        <v>#NAME?</v>
      </c>
    </row>
    <row r="334" spans="1:3" x14ac:dyDescent="0.3">
      <c r="A334" s="1" t="s">
        <v>183</v>
      </c>
      <c r="B334" s="3" t="e">
        <f ca="1">geturl(Table3[[#This Row],[File]])</f>
        <v>#NAME?</v>
      </c>
      <c r="C334" s="1" t="e">
        <f ca="1">LEFT(Table3[[#This Row],[URL]],LEN(Table3[[#This Row],[URL]])-4)&amp;"raw=1"</f>
        <v>#NAME?</v>
      </c>
    </row>
    <row r="335" spans="1:3" x14ac:dyDescent="0.3">
      <c r="A335" s="1" t="s">
        <v>184</v>
      </c>
      <c r="B335" s="3" t="e">
        <f ca="1">geturl(Table3[[#This Row],[File]])</f>
        <v>#NAME?</v>
      </c>
      <c r="C335" s="1" t="e">
        <f ca="1">LEFT(Table3[[#This Row],[URL]],LEN(Table3[[#This Row],[URL]])-4)&amp;"raw=1"</f>
        <v>#NAME?</v>
      </c>
    </row>
    <row r="336" spans="1:3" x14ac:dyDescent="0.3">
      <c r="A336" s="1" t="s">
        <v>185</v>
      </c>
      <c r="B336" s="3" t="e">
        <f ca="1">geturl(Table3[[#This Row],[File]])</f>
        <v>#NAME?</v>
      </c>
      <c r="C336" s="1" t="e">
        <f ca="1">LEFT(Table3[[#This Row],[URL]],LEN(Table3[[#This Row],[URL]])-4)&amp;"raw=1"</f>
        <v>#NAME?</v>
      </c>
    </row>
    <row r="337" spans="1:3" x14ac:dyDescent="0.3">
      <c r="A337" s="1" t="s">
        <v>186</v>
      </c>
      <c r="B337" s="3" t="e">
        <f ca="1">geturl(Table3[[#This Row],[File]])</f>
        <v>#NAME?</v>
      </c>
      <c r="C337" s="1" t="e">
        <f ca="1">LEFT(Table3[[#This Row],[URL]],LEN(Table3[[#This Row],[URL]])-4)&amp;"raw=1"</f>
        <v>#NAME?</v>
      </c>
    </row>
    <row r="338" spans="1:3" x14ac:dyDescent="0.3">
      <c r="A338" s="1" t="s">
        <v>187</v>
      </c>
      <c r="B338" s="3" t="e">
        <f ca="1">geturl(Table3[[#This Row],[File]])</f>
        <v>#NAME?</v>
      </c>
      <c r="C338" s="1" t="e">
        <f ca="1">LEFT(Table3[[#This Row],[URL]],LEN(Table3[[#This Row],[URL]])-4)&amp;"raw=1"</f>
        <v>#NAME?</v>
      </c>
    </row>
    <row r="339" spans="1:3" x14ac:dyDescent="0.3">
      <c r="A339" s="1" t="s">
        <v>188</v>
      </c>
      <c r="B339" s="3" t="e">
        <f ca="1">geturl(Table3[[#This Row],[File]])</f>
        <v>#NAME?</v>
      </c>
      <c r="C339" s="1" t="e">
        <f ca="1">LEFT(Table3[[#This Row],[URL]],LEN(Table3[[#This Row],[URL]])-4)&amp;"raw=1"</f>
        <v>#NAME?</v>
      </c>
    </row>
    <row r="340" spans="1:3" x14ac:dyDescent="0.3">
      <c r="A340" s="1" t="s">
        <v>189</v>
      </c>
      <c r="B340" s="3" t="e">
        <f ca="1">geturl(Table3[[#This Row],[File]])</f>
        <v>#NAME?</v>
      </c>
      <c r="C340" s="1" t="e">
        <f ca="1">LEFT(Table3[[#This Row],[URL]],LEN(Table3[[#This Row],[URL]])-4)&amp;"raw=1"</f>
        <v>#NAME?</v>
      </c>
    </row>
    <row r="341" spans="1:3" x14ac:dyDescent="0.3">
      <c r="A341" s="1" t="s">
        <v>190</v>
      </c>
      <c r="B341" s="3" t="e">
        <f ca="1">geturl(Table3[[#This Row],[File]])</f>
        <v>#NAME?</v>
      </c>
      <c r="C341" s="1" t="e">
        <f ca="1">LEFT(Table3[[#This Row],[URL]],LEN(Table3[[#This Row],[URL]])-4)&amp;"raw=1"</f>
        <v>#NAME?</v>
      </c>
    </row>
    <row r="342" spans="1:3" x14ac:dyDescent="0.3">
      <c r="A342" s="1" t="s">
        <v>2300</v>
      </c>
      <c r="B342" s="3" t="e">
        <f ca="1">geturl(Table3[[#This Row],[File]])</f>
        <v>#NAME?</v>
      </c>
      <c r="C342" s="1" t="e">
        <f ca="1">LEFT(Table3[[#This Row],[URL]],LEN(Table3[[#This Row],[URL]])-4)&amp;"raw=1"</f>
        <v>#NAME?</v>
      </c>
    </row>
    <row r="343" spans="1:3" x14ac:dyDescent="0.3">
      <c r="A343" s="1" t="s">
        <v>191</v>
      </c>
      <c r="B343" s="3" t="e">
        <f ca="1">geturl(Table3[[#This Row],[File]])</f>
        <v>#NAME?</v>
      </c>
      <c r="C343" s="1" t="e">
        <f ca="1">LEFT(Table3[[#This Row],[URL]],LEN(Table3[[#This Row],[URL]])-4)&amp;"raw=1"</f>
        <v>#NAME?</v>
      </c>
    </row>
    <row r="344" spans="1:3" x14ac:dyDescent="0.3">
      <c r="A344" s="1" t="s">
        <v>2301</v>
      </c>
      <c r="B344" s="3" t="e">
        <f ca="1">geturl(Table3[[#This Row],[File]])</f>
        <v>#NAME?</v>
      </c>
      <c r="C344" s="1" t="e">
        <f ca="1">LEFT(Table3[[#This Row],[URL]],LEN(Table3[[#This Row],[URL]])-4)&amp;"raw=1"</f>
        <v>#NAME?</v>
      </c>
    </row>
    <row r="345" spans="1:3" x14ac:dyDescent="0.3">
      <c r="A345" s="1" t="s">
        <v>2302</v>
      </c>
      <c r="B345" s="3" t="e">
        <f ca="1">geturl(Table3[[#This Row],[File]])</f>
        <v>#NAME?</v>
      </c>
      <c r="C345" s="1" t="e">
        <f ca="1">LEFT(Table3[[#This Row],[URL]],LEN(Table3[[#This Row],[URL]])-4)&amp;"raw=1"</f>
        <v>#NAME?</v>
      </c>
    </row>
    <row r="346" spans="1:3" x14ac:dyDescent="0.3">
      <c r="A346" s="1" t="s">
        <v>2303</v>
      </c>
      <c r="B346" s="3" t="e">
        <f ca="1">geturl(Table3[[#This Row],[File]])</f>
        <v>#NAME?</v>
      </c>
      <c r="C346" s="1" t="e">
        <f ca="1">LEFT(Table3[[#This Row],[URL]],LEN(Table3[[#This Row],[URL]])-4)&amp;"raw=1"</f>
        <v>#NAME?</v>
      </c>
    </row>
    <row r="347" spans="1:3" x14ac:dyDescent="0.3">
      <c r="A347" s="1" t="s">
        <v>2304</v>
      </c>
      <c r="B347" s="3" t="e">
        <f ca="1">geturl(Table3[[#This Row],[File]])</f>
        <v>#NAME?</v>
      </c>
      <c r="C347" s="1" t="e">
        <f ca="1">LEFT(Table3[[#This Row],[URL]],LEN(Table3[[#This Row],[URL]])-4)&amp;"raw=1"</f>
        <v>#NAME?</v>
      </c>
    </row>
    <row r="348" spans="1:3" x14ac:dyDescent="0.3">
      <c r="A348" s="1" t="s">
        <v>192</v>
      </c>
      <c r="B348" s="3" t="e">
        <f ca="1">geturl(Table3[[#This Row],[File]])</f>
        <v>#NAME?</v>
      </c>
      <c r="C348" s="1" t="e">
        <f ca="1">LEFT(Table3[[#This Row],[URL]],LEN(Table3[[#This Row],[URL]])-4)&amp;"raw=1"</f>
        <v>#NAME?</v>
      </c>
    </row>
    <row r="349" spans="1:3" x14ac:dyDescent="0.3">
      <c r="A349" s="1" t="s">
        <v>2305</v>
      </c>
      <c r="B349" s="3" t="e">
        <f ca="1">geturl(Table3[[#This Row],[File]])</f>
        <v>#NAME?</v>
      </c>
      <c r="C349" s="1" t="e">
        <f ca="1">LEFT(Table3[[#This Row],[URL]],LEN(Table3[[#This Row],[URL]])-4)&amp;"raw=1"</f>
        <v>#NAME?</v>
      </c>
    </row>
    <row r="350" spans="1:3" x14ac:dyDescent="0.3">
      <c r="A350" s="1" t="s">
        <v>193</v>
      </c>
      <c r="B350" s="3" t="e">
        <f ca="1">geturl(Table3[[#This Row],[File]])</f>
        <v>#NAME?</v>
      </c>
      <c r="C350" s="1" t="e">
        <f ca="1">LEFT(Table3[[#This Row],[URL]],LEN(Table3[[#This Row],[URL]])-4)&amp;"raw=1"</f>
        <v>#NAME?</v>
      </c>
    </row>
    <row r="351" spans="1:3" x14ac:dyDescent="0.3">
      <c r="A351" s="1" t="s">
        <v>2306</v>
      </c>
      <c r="B351" s="3" t="e">
        <f ca="1">geturl(Table3[[#This Row],[File]])</f>
        <v>#NAME?</v>
      </c>
      <c r="C351" s="1" t="e">
        <f ca="1">LEFT(Table3[[#This Row],[URL]],LEN(Table3[[#This Row],[URL]])-4)&amp;"raw=1"</f>
        <v>#NAME?</v>
      </c>
    </row>
    <row r="352" spans="1:3" x14ac:dyDescent="0.3">
      <c r="A352" s="1" t="s">
        <v>2307</v>
      </c>
      <c r="B352" s="3" t="e">
        <f ca="1">geturl(Table3[[#This Row],[File]])</f>
        <v>#NAME?</v>
      </c>
      <c r="C352" s="1" t="e">
        <f ca="1">LEFT(Table3[[#This Row],[URL]],LEN(Table3[[#This Row],[URL]])-4)&amp;"raw=1"</f>
        <v>#NAME?</v>
      </c>
    </row>
    <row r="353" spans="1:3" x14ac:dyDescent="0.3">
      <c r="A353" s="1" t="s">
        <v>2308</v>
      </c>
      <c r="B353" s="3" t="e">
        <f ca="1">geturl(Table3[[#This Row],[File]])</f>
        <v>#NAME?</v>
      </c>
      <c r="C353" s="1" t="e">
        <f ca="1">LEFT(Table3[[#This Row],[URL]],LEN(Table3[[#This Row],[URL]])-4)&amp;"raw=1"</f>
        <v>#NAME?</v>
      </c>
    </row>
    <row r="354" spans="1:3" x14ac:dyDescent="0.3">
      <c r="A354" s="1" t="s">
        <v>2309</v>
      </c>
      <c r="B354" s="3" t="e">
        <f ca="1">geturl(Table3[[#This Row],[File]])</f>
        <v>#NAME?</v>
      </c>
      <c r="C354" s="1" t="e">
        <f ca="1">LEFT(Table3[[#This Row],[URL]],LEN(Table3[[#This Row],[URL]])-4)&amp;"raw=1"</f>
        <v>#NAME?</v>
      </c>
    </row>
    <row r="355" spans="1:3" x14ac:dyDescent="0.3">
      <c r="A355" s="1" t="s">
        <v>2310</v>
      </c>
      <c r="B355" s="3" t="e">
        <f ca="1">geturl(Table3[[#This Row],[File]])</f>
        <v>#NAME?</v>
      </c>
      <c r="C355" s="1" t="e">
        <f ca="1">LEFT(Table3[[#This Row],[URL]],LEN(Table3[[#This Row],[URL]])-4)&amp;"raw=1"</f>
        <v>#NAME?</v>
      </c>
    </row>
    <row r="356" spans="1:3" x14ac:dyDescent="0.3">
      <c r="A356" s="1" t="s">
        <v>2311</v>
      </c>
      <c r="B356" s="3" t="e">
        <f ca="1">geturl(Table3[[#This Row],[File]])</f>
        <v>#NAME?</v>
      </c>
      <c r="C356" s="1" t="e">
        <f ca="1">LEFT(Table3[[#This Row],[URL]],LEN(Table3[[#This Row],[URL]])-4)&amp;"raw=1"</f>
        <v>#NAME?</v>
      </c>
    </row>
    <row r="357" spans="1:3" x14ac:dyDescent="0.3">
      <c r="A357" s="1" t="s">
        <v>2312</v>
      </c>
      <c r="B357" s="3" t="e">
        <f ca="1">geturl(Table3[[#This Row],[File]])</f>
        <v>#NAME?</v>
      </c>
      <c r="C357" s="1" t="e">
        <f ca="1">LEFT(Table3[[#This Row],[URL]],LEN(Table3[[#This Row],[URL]])-4)&amp;"raw=1"</f>
        <v>#NAME?</v>
      </c>
    </row>
    <row r="358" spans="1:3" x14ac:dyDescent="0.3">
      <c r="A358" s="1" t="s">
        <v>2313</v>
      </c>
      <c r="B358" s="3" t="e">
        <f ca="1">geturl(Table3[[#This Row],[File]])</f>
        <v>#NAME?</v>
      </c>
      <c r="C358" s="1" t="e">
        <f ca="1">LEFT(Table3[[#This Row],[URL]],LEN(Table3[[#This Row],[URL]])-4)&amp;"raw=1"</f>
        <v>#NAME?</v>
      </c>
    </row>
    <row r="359" spans="1:3" x14ac:dyDescent="0.3">
      <c r="A359" s="1" t="s">
        <v>2314</v>
      </c>
      <c r="B359" s="3" t="e">
        <f ca="1">geturl(Table3[[#This Row],[File]])</f>
        <v>#NAME?</v>
      </c>
      <c r="C359" s="1" t="e">
        <f ca="1">LEFT(Table3[[#This Row],[URL]],LEN(Table3[[#This Row],[URL]])-4)&amp;"raw=1"</f>
        <v>#NAME?</v>
      </c>
    </row>
    <row r="360" spans="1:3" x14ac:dyDescent="0.3">
      <c r="A360" s="1" t="s">
        <v>2315</v>
      </c>
      <c r="B360" s="3" t="e">
        <f ca="1">geturl(Table3[[#This Row],[File]])</f>
        <v>#NAME?</v>
      </c>
      <c r="C360" s="1" t="e">
        <f ca="1">LEFT(Table3[[#This Row],[URL]],LEN(Table3[[#This Row],[URL]])-4)&amp;"raw=1"</f>
        <v>#NAME?</v>
      </c>
    </row>
    <row r="361" spans="1:3" x14ac:dyDescent="0.3">
      <c r="A361" s="1" t="s">
        <v>2316</v>
      </c>
      <c r="B361" s="3" t="e">
        <f ca="1">geturl(Table3[[#This Row],[File]])</f>
        <v>#NAME?</v>
      </c>
      <c r="C361" s="1" t="e">
        <f ca="1">LEFT(Table3[[#This Row],[URL]],LEN(Table3[[#This Row],[URL]])-4)&amp;"raw=1"</f>
        <v>#NAME?</v>
      </c>
    </row>
    <row r="362" spans="1:3" x14ac:dyDescent="0.3">
      <c r="A362" s="1" t="s">
        <v>2317</v>
      </c>
      <c r="B362" s="3" t="e">
        <f ca="1">geturl(Table3[[#This Row],[File]])</f>
        <v>#NAME?</v>
      </c>
      <c r="C362" s="1" t="e">
        <f ca="1">LEFT(Table3[[#This Row],[URL]],LEN(Table3[[#This Row],[URL]])-4)&amp;"raw=1"</f>
        <v>#NAME?</v>
      </c>
    </row>
    <row r="363" spans="1:3" x14ac:dyDescent="0.3">
      <c r="A363" s="1" t="s">
        <v>2318</v>
      </c>
      <c r="B363" s="3" t="e">
        <f ca="1">geturl(Table3[[#This Row],[File]])</f>
        <v>#NAME?</v>
      </c>
      <c r="C363" s="1" t="e">
        <f ca="1">LEFT(Table3[[#This Row],[URL]],LEN(Table3[[#This Row],[URL]])-4)&amp;"raw=1"</f>
        <v>#NAME?</v>
      </c>
    </row>
    <row r="364" spans="1:3" x14ac:dyDescent="0.3">
      <c r="A364" s="1" t="s">
        <v>194</v>
      </c>
      <c r="B364" s="3" t="e">
        <f ca="1">geturl(Table3[[#This Row],[File]])</f>
        <v>#NAME?</v>
      </c>
      <c r="C364" s="1" t="e">
        <f ca="1">LEFT(Table3[[#This Row],[URL]],LEN(Table3[[#This Row],[URL]])-4)&amp;"raw=1"</f>
        <v>#NAME?</v>
      </c>
    </row>
    <row r="365" spans="1:3" x14ac:dyDescent="0.3">
      <c r="A365" s="1" t="s">
        <v>2319</v>
      </c>
      <c r="B365" s="3" t="e">
        <f ca="1">geturl(Table3[[#This Row],[File]])</f>
        <v>#NAME?</v>
      </c>
      <c r="C365" s="1" t="e">
        <f ca="1">LEFT(Table3[[#This Row],[URL]],LEN(Table3[[#This Row],[URL]])-4)&amp;"raw=1"</f>
        <v>#NAME?</v>
      </c>
    </row>
    <row r="366" spans="1:3" x14ac:dyDescent="0.3">
      <c r="A366" s="1" t="s">
        <v>2320</v>
      </c>
      <c r="B366" s="3" t="e">
        <f ca="1">geturl(Table3[[#This Row],[File]])</f>
        <v>#NAME?</v>
      </c>
      <c r="C366" s="1" t="e">
        <f ca="1">LEFT(Table3[[#This Row],[URL]],LEN(Table3[[#This Row],[URL]])-4)&amp;"raw=1"</f>
        <v>#NAME?</v>
      </c>
    </row>
    <row r="367" spans="1:3" x14ac:dyDescent="0.3">
      <c r="A367" s="1" t="s">
        <v>2321</v>
      </c>
      <c r="B367" s="3" t="e">
        <f ca="1">geturl(Table3[[#This Row],[File]])</f>
        <v>#NAME?</v>
      </c>
      <c r="C367" s="1" t="e">
        <f ca="1">LEFT(Table3[[#This Row],[URL]],LEN(Table3[[#This Row],[URL]])-4)&amp;"raw=1"</f>
        <v>#NAME?</v>
      </c>
    </row>
    <row r="368" spans="1:3" x14ac:dyDescent="0.3">
      <c r="A368" s="1" t="s">
        <v>2322</v>
      </c>
      <c r="B368" s="3" t="e">
        <f ca="1">geturl(Table3[[#This Row],[File]])</f>
        <v>#NAME?</v>
      </c>
      <c r="C368" s="1" t="e">
        <f ca="1">LEFT(Table3[[#This Row],[URL]],LEN(Table3[[#This Row],[URL]])-4)&amp;"raw=1"</f>
        <v>#NAME?</v>
      </c>
    </row>
    <row r="369" spans="1:3" x14ac:dyDescent="0.3">
      <c r="A369" s="1" t="s">
        <v>2323</v>
      </c>
      <c r="B369" s="3" t="e">
        <f ca="1">geturl(Table3[[#This Row],[File]])</f>
        <v>#NAME?</v>
      </c>
      <c r="C369" s="1" t="e">
        <f ca="1">LEFT(Table3[[#This Row],[URL]],LEN(Table3[[#This Row],[URL]])-4)&amp;"raw=1"</f>
        <v>#NAME?</v>
      </c>
    </row>
    <row r="370" spans="1:3" x14ac:dyDescent="0.3">
      <c r="A370" s="1" t="s">
        <v>2324</v>
      </c>
      <c r="B370" s="3" t="e">
        <f ca="1">geturl(Table3[[#This Row],[File]])</f>
        <v>#NAME?</v>
      </c>
      <c r="C370" s="1" t="e">
        <f ca="1">LEFT(Table3[[#This Row],[URL]],LEN(Table3[[#This Row],[URL]])-4)&amp;"raw=1"</f>
        <v>#NAME?</v>
      </c>
    </row>
    <row r="371" spans="1:3" x14ac:dyDescent="0.3">
      <c r="A371" s="1" t="s">
        <v>2325</v>
      </c>
      <c r="B371" s="3" t="e">
        <f ca="1">geturl(Table3[[#This Row],[File]])</f>
        <v>#NAME?</v>
      </c>
      <c r="C371" s="1" t="e">
        <f ca="1">LEFT(Table3[[#This Row],[URL]],LEN(Table3[[#This Row],[URL]])-4)&amp;"raw=1"</f>
        <v>#NAME?</v>
      </c>
    </row>
    <row r="372" spans="1:3" x14ac:dyDescent="0.3">
      <c r="A372" s="1" t="s">
        <v>2326</v>
      </c>
      <c r="B372" s="3" t="e">
        <f ca="1">geturl(Table3[[#This Row],[File]])</f>
        <v>#NAME?</v>
      </c>
      <c r="C372" s="1" t="e">
        <f ca="1">LEFT(Table3[[#This Row],[URL]],LEN(Table3[[#This Row],[URL]])-4)&amp;"raw=1"</f>
        <v>#NAME?</v>
      </c>
    </row>
    <row r="373" spans="1:3" x14ac:dyDescent="0.3">
      <c r="A373" s="1" t="s">
        <v>2327</v>
      </c>
      <c r="B373" s="3" t="e">
        <f ca="1">geturl(Table3[[#This Row],[File]])</f>
        <v>#NAME?</v>
      </c>
      <c r="C373" s="1" t="e">
        <f ca="1">LEFT(Table3[[#This Row],[URL]],LEN(Table3[[#This Row],[URL]])-4)&amp;"raw=1"</f>
        <v>#NAME?</v>
      </c>
    </row>
    <row r="374" spans="1:3" x14ac:dyDescent="0.3">
      <c r="A374" s="1" t="s">
        <v>2328</v>
      </c>
      <c r="B374" s="3" t="e">
        <f ca="1">geturl(Table3[[#This Row],[File]])</f>
        <v>#NAME?</v>
      </c>
      <c r="C374" s="1" t="e">
        <f ca="1">LEFT(Table3[[#This Row],[URL]],LEN(Table3[[#This Row],[URL]])-4)&amp;"raw=1"</f>
        <v>#NAME?</v>
      </c>
    </row>
    <row r="375" spans="1:3" x14ac:dyDescent="0.3">
      <c r="A375" s="1" t="s">
        <v>2329</v>
      </c>
      <c r="B375" s="3" t="e">
        <f ca="1">geturl(Table3[[#This Row],[File]])</f>
        <v>#NAME?</v>
      </c>
      <c r="C375" s="1" t="e">
        <f ca="1">LEFT(Table3[[#This Row],[URL]],LEN(Table3[[#This Row],[URL]])-4)&amp;"raw=1"</f>
        <v>#NAME?</v>
      </c>
    </row>
    <row r="376" spans="1:3" x14ac:dyDescent="0.3">
      <c r="A376" s="1" t="s">
        <v>2330</v>
      </c>
      <c r="B376" s="3" t="e">
        <f ca="1">geturl(Table3[[#This Row],[File]])</f>
        <v>#NAME?</v>
      </c>
      <c r="C376" s="1" t="e">
        <f ca="1">LEFT(Table3[[#This Row],[URL]],LEN(Table3[[#This Row],[URL]])-4)&amp;"raw=1"</f>
        <v>#NAME?</v>
      </c>
    </row>
    <row r="377" spans="1:3" x14ac:dyDescent="0.3">
      <c r="A377" s="1" t="s">
        <v>2331</v>
      </c>
      <c r="B377" s="3" t="e">
        <f ca="1">geturl(Table3[[#This Row],[File]])</f>
        <v>#NAME?</v>
      </c>
      <c r="C377" s="1" t="e">
        <f ca="1">LEFT(Table3[[#This Row],[URL]],LEN(Table3[[#This Row],[URL]])-4)&amp;"raw=1"</f>
        <v>#NAME?</v>
      </c>
    </row>
    <row r="378" spans="1:3" x14ac:dyDescent="0.3">
      <c r="A378" s="1" t="s">
        <v>2332</v>
      </c>
      <c r="B378" s="3" t="e">
        <f ca="1">geturl(Table3[[#This Row],[File]])</f>
        <v>#NAME?</v>
      </c>
      <c r="C378" s="1" t="e">
        <f ca="1">LEFT(Table3[[#This Row],[URL]],LEN(Table3[[#This Row],[URL]])-4)&amp;"raw=1"</f>
        <v>#NAME?</v>
      </c>
    </row>
    <row r="379" spans="1:3" x14ac:dyDescent="0.3">
      <c r="A379" s="1" t="s">
        <v>2333</v>
      </c>
      <c r="B379" s="3" t="e">
        <f ca="1">geturl(Table3[[#This Row],[File]])</f>
        <v>#NAME?</v>
      </c>
      <c r="C379" s="1" t="e">
        <f ca="1">LEFT(Table3[[#This Row],[URL]],LEN(Table3[[#This Row],[URL]])-4)&amp;"raw=1"</f>
        <v>#NAME?</v>
      </c>
    </row>
    <row r="380" spans="1:3" x14ac:dyDescent="0.3">
      <c r="A380" s="1" t="s">
        <v>2334</v>
      </c>
      <c r="B380" s="3" t="e">
        <f ca="1">geturl(Table3[[#This Row],[File]])</f>
        <v>#NAME?</v>
      </c>
      <c r="C380" s="1" t="e">
        <f ca="1">LEFT(Table3[[#This Row],[URL]],LEN(Table3[[#This Row],[URL]])-4)&amp;"raw=1"</f>
        <v>#NAME?</v>
      </c>
    </row>
    <row r="381" spans="1:3" x14ac:dyDescent="0.3">
      <c r="A381" s="1" t="s">
        <v>2335</v>
      </c>
      <c r="B381" s="3" t="e">
        <f ca="1">geturl(Table3[[#This Row],[File]])</f>
        <v>#NAME?</v>
      </c>
      <c r="C381" s="1" t="e">
        <f ca="1">LEFT(Table3[[#This Row],[URL]],LEN(Table3[[#This Row],[URL]])-4)&amp;"raw=1"</f>
        <v>#NAME?</v>
      </c>
    </row>
    <row r="382" spans="1:3" x14ac:dyDescent="0.3">
      <c r="A382" s="1" t="s">
        <v>2336</v>
      </c>
      <c r="B382" s="3" t="e">
        <f ca="1">geturl(Table3[[#This Row],[File]])</f>
        <v>#NAME?</v>
      </c>
      <c r="C382" s="1" t="e">
        <f ca="1">LEFT(Table3[[#This Row],[URL]],LEN(Table3[[#This Row],[URL]])-4)&amp;"raw=1"</f>
        <v>#NAME?</v>
      </c>
    </row>
    <row r="383" spans="1:3" x14ac:dyDescent="0.3">
      <c r="A383" s="1" t="s">
        <v>2337</v>
      </c>
      <c r="B383" s="3" t="e">
        <f ca="1">geturl(Table3[[#This Row],[File]])</f>
        <v>#NAME?</v>
      </c>
      <c r="C383" s="1" t="e">
        <f ca="1">LEFT(Table3[[#This Row],[URL]],LEN(Table3[[#This Row],[URL]])-4)&amp;"raw=1"</f>
        <v>#NAME?</v>
      </c>
    </row>
    <row r="384" spans="1:3" x14ac:dyDescent="0.3">
      <c r="A384" s="1" t="s">
        <v>2338</v>
      </c>
      <c r="B384" s="3" t="e">
        <f ca="1">geturl(Table3[[#This Row],[File]])</f>
        <v>#NAME?</v>
      </c>
      <c r="C384" s="1" t="e">
        <f ca="1">LEFT(Table3[[#This Row],[URL]],LEN(Table3[[#This Row],[URL]])-4)&amp;"raw=1"</f>
        <v>#NAME?</v>
      </c>
    </row>
    <row r="385" spans="1:3" x14ac:dyDescent="0.3">
      <c r="A385" s="1" t="s">
        <v>2339</v>
      </c>
      <c r="B385" s="3" t="e">
        <f ca="1">geturl(Table3[[#This Row],[File]])</f>
        <v>#NAME?</v>
      </c>
      <c r="C385" s="1" t="e">
        <f ca="1">LEFT(Table3[[#This Row],[URL]],LEN(Table3[[#This Row],[URL]])-4)&amp;"raw=1"</f>
        <v>#NAME?</v>
      </c>
    </row>
    <row r="386" spans="1:3" x14ac:dyDescent="0.3">
      <c r="A386" s="1" t="s">
        <v>2340</v>
      </c>
      <c r="B386" s="3" t="e">
        <f ca="1">geturl(Table3[[#This Row],[File]])</f>
        <v>#NAME?</v>
      </c>
      <c r="C386" s="1" t="e">
        <f ca="1">LEFT(Table3[[#This Row],[URL]],LEN(Table3[[#This Row],[URL]])-4)&amp;"raw=1"</f>
        <v>#NAME?</v>
      </c>
    </row>
    <row r="387" spans="1:3" x14ac:dyDescent="0.3">
      <c r="A387" s="1" t="s">
        <v>2341</v>
      </c>
      <c r="B387" s="3" t="e">
        <f ca="1">geturl(Table3[[#This Row],[File]])</f>
        <v>#NAME?</v>
      </c>
      <c r="C387" s="1" t="e">
        <f ca="1">LEFT(Table3[[#This Row],[URL]],LEN(Table3[[#This Row],[URL]])-4)&amp;"raw=1"</f>
        <v>#NAME?</v>
      </c>
    </row>
    <row r="388" spans="1:3" x14ac:dyDescent="0.3">
      <c r="A388" s="1" t="s">
        <v>2342</v>
      </c>
      <c r="B388" s="3" t="e">
        <f ca="1">geturl(Table3[[#This Row],[File]])</f>
        <v>#NAME?</v>
      </c>
      <c r="C388" s="1" t="e">
        <f ca="1">LEFT(Table3[[#This Row],[URL]],LEN(Table3[[#This Row],[URL]])-4)&amp;"raw=1"</f>
        <v>#NAME?</v>
      </c>
    </row>
    <row r="389" spans="1:3" x14ac:dyDescent="0.3">
      <c r="A389" s="1" t="s">
        <v>2343</v>
      </c>
      <c r="B389" s="3" t="e">
        <f ca="1">geturl(Table3[[#This Row],[File]])</f>
        <v>#NAME?</v>
      </c>
      <c r="C389" s="1" t="e">
        <f ca="1">LEFT(Table3[[#This Row],[URL]],LEN(Table3[[#This Row],[URL]])-4)&amp;"raw=1"</f>
        <v>#NAME?</v>
      </c>
    </row>
    <row r="390" spans="1:3" x14ac:dyDescent="0.3">
      <c r="A390" s="1" t="s">
        <v>2344</v>
      </c>
      <c r="B390" s="3" t="e">
        <f ca="1">geturl(Table3[[#This Row],[File]])</f>
        <v>#NAME?</v>
      </c>
      <c r="C390" s="1" t="e">
        <f ca="1">LEFT(Table3[[#This Row],[URL]],LEN(Table3[[#This Row],[URL]])-4)&amp;"raw=1"</f>
        <v>#NAME?</v>
      </c>
    </row>
    <row r="391" spans="1:3" x14ac:dyDescent="0.3">
      <c r="A391" s="1" t="s">
        <v>195</v>
      </c>
      <c r="B391" s="3" t="e">
        <f ca="1">geturl(Table3[[#This Row],[File]])</f>
        <v>#NAME?</v>
      </c>
      <c r="C391" s="1" t="e">
        <f ca="1">LEFT(Table3[[#This Row],[URL]],LEN(Table3[[#This Row],[URL]])-4)&amp;"raw=1"</f>
        <v>#NAME?</v>
      </c>
    </row>
    <row r="392" spans="1:3" x14ac:dyDescent="0.3">
      <c r="A392" s="1" t="s">
        <v>2345</v>
      </c>
      <c r="B392" s="3" t="e">
        <f ca="1">geturl(Table3[[#This Row],[File]])</f>
        <v>#NAME?</v>
      </c>
      <c r="C392" s="1" t="e">
        <f ca="1">LEFT(Table3[[#This Row],[URL]],LEN(Table3[[#This Row],[URL]])-4)&amp;"raw=1"</f>
        <v>#NAME?</v>
      </c>
    </row>
    <row r="393" spans="1:3" x14ac:dyDescent="0.3">
      <c r="A393" s="1" t="s">
        <v>196</v>
      </c>
      <c r="B393" s="3" t="e">
        <f ca="1">geturl(Table3[[#This Row],[File]])</f>
        <v>#NAME?</v>
      </c>
      <c r="C393" s="1" t="e">
        <f ca="1">LEFT(Table3[[#This Row],[URL]],LEN(Table3[[#This Row],[URL]])-4)&amp;"raw=1"</f>
        <v>#NAME?</v>
      </c>
    </row>
    <row r="394" spans="1:3" x14ac:dyDescent="0.3">
      <c r="A394" s="1" t="s">
        <v>2346</v>
      </c>
      <c r="B394" s="3" t="e">
        <f ca="1">geturl(Table3[[#This Row],[File]])</f>
        <v>#NAME?</v>
      </c>
      <c r="C394" s="1" t="e">
        <f ca="1">LEFT(Table3[[#This Row],[URL]],LEN(Table3[[#This Row],[URL]])-4)&amp;"raw=1"</f>
        <v>#NAME?</v>
      </c>
    </row>
    <row r="395" spans="1:3" x14ac:dyDescent="0.3">
      <c r="A395" s="1" t="s">
        <v>197</v>
      </c>
      <c r="B395" s="3" t="e">
        <f ca="1">geturl(Table3[[#This Row],[File]])</f>
        <v>#NAME?</v>
      </c>
      <c r="C395" s="1" t="e">
        <f ca="1">LEFT(Table3[[#This Row],[URL]],LEN(Table3[[#This Row],[URL]])-4)&amp;"raw=1"</f>
        <v>#NAME?</v>
      </c>
    </row>
    <row r="396" spans="1:3" x14ac:dyDescent="0.3">
      <c r="A396" s="1" t="s">
        <v>2347</v>
      </c>
      <c r="B396" s="3" t="e">
        <f ca="1">geturl(Table3[[#This Row],[File]])</f>
        <v>#NAME?</v>
      </c>
      <c r="C396" s="1" t="e">
        <f ca="1">LEFT(Table3[[#This Row],[URL]],LEN(Table3[[#This Row],[URL]])-4)&amp;"raw=1"</f>
        <v>#NAME?</v>
      </c>
    </row>
    <row r="397" spans="1:3" x14ac:dyDescent="0.3">
      <c r="A397" s="1" t="s">
        <v>198</v>
      </c>
      <c r="B397" s="3" t="e">
        <f ca="1">geturl(Table3[[#This Row],[File]])</f>
        <v>#NAME?</v>
      </c>
      <c r="C397" s="1" t="e">
        <f ca="1">LEFT(Table3[[#This Row],[URL]],LEN(Table3[[#This Row],[URL]])-4)&amp;"raw=1"</f>
        <v>#NAME?</v>
      </c>
    </row>
    <row r="398" spans="1:3" x14ac:dyDescent="0.3">
      <c r="A398" s="1" t="s">
        <v>2348</v>
      </c>
      <c r="B398" s="3" t="e">
        <f ca="1">geturl(Table3[[#This Row],[File]])</f>
        <v>#NAME?</v>
      </c>
      <c r="C398" s="1" t="e">
        <f ca="1">LEFT(Table3[[#This Row],[URL]],LEN(Table3[[#This Row],[URL]])-4)&amp;"raw=1"</f>
        <v>#NAME?</v>
      </c>
    </row>
    <row r="399" spans="1:3" x14ac:dyDescent="0.3">
      <c r="A399" s="1" t="s">
        <v>199</v>
      </c>
      <c r="B399" s="3" t="e">
        <f ca="1">geturl(Table3[[#This Row],[File]])</f>
        <v>#NAME?</v>
      </c>
      <c r="C399" s="1" t="e">
        <f ca="1">LEFT(Table3[[#This Row],[URL]],LEN(Table3[[#This Row],[URL]])-4)&amp;"raw=1"</f>
        <v>#NAME?</v>
      </c>
    </row>
    <row r="400" spans="1:3" x14ac:dyDescent="0.3">
      <c r="A400" s="1" t="s">
        <v>2349</v>
      </c>
      <c r="B400" s="3" t="e">
        <f ca="1">geturl(Table3[[#This Row],[File]])</f>
        <v>#NAME?</v>
      </c>
      <c r="C400" s="1" t="e">
        <f ca="1">LEFT(Table3[[#This Row],[URL]],LEN(Table3[[#This Row],[URL]])-4)&amp;"raw=1"</f>
        <v>#NAME?</v>
      </c>
    </row>
    <row r="401" spans="1:3" x14ac:dyDescent="0.3">
      <c r="A401" s="1" t="s">
        <v>200</v>
      </c>
      <c r="B401" s="3" t="e">
        <f ca="1">geturl(Table3[[#This Row],[File]])</f>
        <v>#NAME?</v>
      </c>
      <c r="C401" s="1" t="e">
        <f ca="1">LEFT(Table3[[#This Row],[URL]],LEN(Table3[[#This Row],[URL]])-4)&amp;"raw=1"</f>
        <v>#NAME?</v>
      </c>
    </row>
    <row r="402" spans="1:3" x14ac:dyDescent="0.3">
      <c r="A402" s="1" t="s">
        <v>2350</v>
      </c>
      <c r="B402" s="3" t="e">
        <f ca="1">geturl(Table3[[#This Row],[File]])</f>
        <v>#NAME?</v>
      </c>
      <c r="C402" s="1" t="e">
        <f ca="1">LEFT(Table3[[#This Row],[URL]],LEN(Table3[[#This Row],[URL]])-4)&amp;"raw=1"</f>
        <v>#NAME?</v>
      </c>
    </row>
    <row r="403" spans="1:3" x14ac:dyDescent="0.3">
      <c r="A403" s="1" t="s">
        <v>2351</v>
      </c>
      <c r="B403" s="3" t="e">
        <f ca="1">geturl(Table3[[#This Row],[File]])</f>
        <v>#NAME?</v>
      </c>
      <c r="C403" s="1" t="e">
        <f ca="1">LEFT(Table3[[#This Row],[URL]],LEN(Table3[[#This Row],[URL]])-4)&amp;"raw=1"</f>
        <v>#NAME?</v>
      </c>
    </row>
    <row r="404" spans="1:3" x14ac:dyDescent="0.3">
      <c r="A404" s="1" t="s">
        <v>2352</v>
      </c>
      <c r="B404" s="3" t="e">
        <f ca="1">geturl(Table3[[#This Row],[File]])</f>
        <v>#NAME?</v>
      </c>
      <c r="C404" s="1" t="e">
        <f ca="1">LEFT(Table3[[#This Row],[URL]],LEN(Table3[[#This Row],[URL]])-4)&amp;"raw=1"</f>
        <v>#NAME?</v>
      </c>
    </row>
    <row r="405" spans="1:3" x14ac:dyDescent="0.3">
      <c r="A405" s="1" t="s">
        <v>201</v>
      </c>
      <c r="B405" s="3" t="e">
        <f ca="1">geturl(Table3[[#This Row],[File]])</f>
        <v>#NAME?</v>
      </c>
      <c r="C405" s="1" t="e">
        <f ca="1">LEFT(Table3[[#This Row],[URL]],LEN(Table3[[#This Row],[URL]])-4)&amp;"raw=1"</f>
        <v>#NAME?</v>
      </c>
    </row>
    <row r="406" spans="1:3" x14ac:dyDescent="0.3">
      <c r="A406" s="1" t="s">
        <v>202</v>
      </c>
      <c r="B406" s="3" t="e">
        <f ca="1">geturl(Table3[[#This Row],[File]])</f>
        <v>#NAME?</v>
      </c>
      <c r="C406" s="1" t="e">
        <f ca="1">LEFT(Table3[[#This Row],[URL]],LEN(Table3[[#This Row],[URL]])-4)&amp;"raw=1"</f>
        <v>#NAME?</v>
      </c>
    </row>
    <row r="407" spans="1:3" x14ac:dyDescent="0.3">
      <c r="A407" s="1" t="s">
        <v>203</v>
      </c>
      <c r="B407" s="3" t="e">
        <f ca="1">geturl(Table3[[#This Row],[File]])</f>
        <v>#NAME?</v>
      </c>
      <c r="C407" s="1" t="e">
        <f ca="1">LEFT(Table3[[#This Row],[URL]],LEN(Table3[[#This Row],[URL]])-4)&amp;"raw=1"</f>
        <v>#NAME?</v>
      </c>
    </row>
    <row r="408" spans="1:3" x14ac:dyDescent="0.3">
      <c r="A408" s="1" t="s">
        <v>204</v>
      </c>
      <c r="B408" s="3" t="e">
        <f ca="1">geturl(Table3[[#This Row],[File]])</f>
        <v>#NAME?</v>
      </c>
      <c r="C408" s="1" t="e">
        <f ca="1">LEFT(Table3[[#This Row],[URL]],LEN(Table3[[#This Row],[URL]])-4)&amp;"raw=1"</f>
        <v>#NAME?</v>
      </c>
    </row>
    <row r="409" spans="1:3" x14ac:dyDescent="0.3">
      <c r="A409" s="1" t="s">
        <v>2353</v>
      </c>
      <c r="B409" s="3" t="e">
        <f ca="1">geturl(Table3[[#This Row],[File]])</f>
        <v>#NAME?</v>
      </c>
      <c r="C409" s="1" t="e">
        <f ca="1">LEFT(Table3[[#This Row],[URL]],LEN(Table3[[#This Row],[URL]])-4)&amp;"raw=1"</f>
        <v>#NAME?</v>
      </c>
    </row>
    <row r="410" spans="1:3" x14ac:dyDescent="0.3">
      <c r="A410" s="1" t="s">
        <v>205</v>
      </c>
      <c r="B410" s="3" t="e">
        <f ca="1">geturl(Table3[[#This Row],[File]])</f>
        <v>#NAME?</v>
      </c>
      <c r="C410" s="1" t="e">
        <f ca="1">LEFT(Table3[[#This Row],[URL]],LEN(Table3[[#This Row],[URL]])-4)&amp;"raw=1"</f>
        <v>#NAME?</v>
      </c>
    </row>
    <row r="411" spans="1:3" x14ac:dyDescent="0.3">
      <c r="A411" s="1" t="s">
        <v>2354</v>
      </c>
      <c r="B411" s="3" t="e">
        <f ca="1">geturl(Table3[[#This Row],[File]])</f>
        <v>#NAME?</v>
      </c>
      <c r="C411" s="1" t="e">
        <f ca="1">LEFT(Table3[[#This Row],[URL]],LEN(Table3[[#This Row],[URL]])-4)&amp;"raw=1"</f>
        <v>#NAME?</v>
      </c>
    </row>
    <row r="412" spans="1:3" x14ac:dyDescent="0.3">
      <c r="A412" s="1" t="s">
        <v>206</v>
      </c>
      <c r="B412" s="3" t="e">
        <f ca="1">geturl(Table3[[#This Row],[File]])</f>
        <v>#NAME?</v>
      </c>
      <c r="C412" s="1" t="e">
        <f ca="1">LEFT(Table3[[#This Row],[URL]],LEN(Table3[[#This Row],[URL]])-4)&amp;"raw=1"</f>
        <v>#NAME?</v>
      </c>
    </row>
    <row r="413" spans="1:3" x14ac:dyDescent="0.3">
      <c r="A413" s="1" t="s">
        <v>2355</v>
      </c>
      <c r="B413" s="3" t="e">
        <f ca="1">geturl(Table3[[#This Row],[File]])</f>
        <v>#NAME?</v>
      </c>
      <c r="C413" s="1" t="e">
        <f ca="1">LEFT(Table3[[#This Row],[URL]],LEN(Table3[[#This Row],[URL]])-4)&amp;"raw=1"</f>
        <v>#NAME?</v>
      </c>
    </row>
    <row r="414" spans="1:3" x14ac:dyDescent="0.3">
      <c r="A414" s="1" t="s">
        <v>207</v>
      </c>
      <c r="B414" s="3" t="e">
        <f ca="1">geturl(Table3[[#This Row],[File]])</f>
        <v>#NAME?</v>
      </c>
      <c r="C414" s="1" t="e">
        <f ca="1">LEFT(Table3[[#This Row],[URL]],LEN(Table3[[#This Row],[URL]])-4)&amp;"raw=1"</f>
        <v>#NAME?</v>
      </c>
    </row>
    <row r="415" spans="1:3" x14ac:dyDescent="0.3">
      <c r="A415" s="1" t="s">
        <v>2356</v>
      </c>
      <c r="B415" s="3" t="e">
        <f ca="1">geturl(Table3[[#This Row],[File]])</f>
        <v>#NAME?</v>
      </c>
      <c r="C415" s="1" t="e">
        <f ca="1">LEFT(Table3[[#This Row],[URL]],LEN(Table3[[#This Row],[URL]])-4)&amp;"raw=1"</f>
        <v>#NAME?</v>
      </c>
    </row>
    <row r="416" spans="1:3" x14ac:dyDescent="0.3">
      <c r="A416" s="1" t="s">
        <v>2357</v>
      </c>
      <c r="B416" s="3" t="e">
        <f ca="1">geturl(Table3[[#This Row],[File]])</f>
        <v>#NAME?</v>
      </c>
      <c r="C416" s="1" t="e">
        <f ca="1">LEFT(Table3[[#This Row],[URL]],LEN(Table3[[#This Row],[URL]])-4)&amp;"raw=1"</f>
        <v>#NAME?</v>
      </c>
    </row>
    <row r="417" spans="1:3" x14ac:dyDescent="0.3">
      <c r="A417" s="1" t="s">
        <v>2358</v>
      </c>
      <c r="B417" s="3" t="e">
        <f ca="1">geturl(Table3[[#This Row],[File]])</f>
        <v>#NAME?</v>
      </c>
      <c r="C417" s="1" t="e">
        <f ca="1">LEFT(Table3[[#This Row],[URL]],LEN(Table3[[#This Row],[URL]])-4)&amp;"raw=1"</f>
        <v>#NAME?</v>
      </c>
    </row>
    <row r="418" spans="1:3" x14ac:dyDescent="0.3">
      <c r="A418" s="1" t="s">
        <v>2359</v>
      </c>
      <c r="B418" s="3" t="e">
        <f ca="1">geturl(Table3[[#This Row],[File]])</f>
        <v>#NAME?</v>
      </c>
      <c r="C418" s="1" t="e">
        <f ca="1">LEFT(Table3[[#This Row],[URL]],LEN(Table3[[#This Row],[URL]])-4)&amp;"raw=1"</f>
        <v>#NAME?</v>
      </c>
    </row>
    <row r="419" spans="1:3" x14ac:dyDescent="0.3">
      <c r="A419" s="1" t="s">
        <v>2360</v>
      </c>
      <c r="B419" s="3" t="e">
        <f ca="1">geturl(Table3[[#This Row],[File]])</f>
        <v>#NAME?</v>
      </c>
      <c r="C419" s="1" t="e">
        <f ca="1">LEFT(Table3[[#This Row],[URL]],LEN(Table3[[#This Row],[URL]])-4)&amp;"raw=1"</f>
        <v>#NAME?</v>
      </c>
    </row>
    <row r="420" spans="1:3" x14ac:dyDescent="0.3">
      <c r="A420" s="1" t="s">
        <v>2361</v>
      </c>
      <c r="B420" s="3" t="e">
        <f ca="1">geturl(Table3[[#This Row],[File]])</f>
        <v>#NAME?</v>
      </c>
      <c r="C420" s="1" t="e">
        <f ca="1">LEFT(Table3[[#This Row],[URL]],LEN(Table3[[#This Row],[URL]])-4)&amp;"raw=1"</f>
        <v>#NAME?</v>
      </c>
    </row>
    <row r="421" spans="1:3" x14ac:dyDescent="0.3">
      <c r="A421" s="1" t="s">
        <v>208</v>
      </c>
      <c r="B421" s="3" t="e">
        <f ca="1">geturl(Table3[[#This Row],[File]])</f>
        <v>#NAME?</v>
      </c>
      <c r="C421" s="1" t="e">
        <f ca="1">LEFT(Table3[[#This Row],[URL]],LEN(Table3[[#This Row],[URL]])-4)&amp;"raw=1"</f>
        <v>#NAME?</v>
      </c>
    </row>
    <row r="422" spans="1:3" x14ac:dyDescent="0.3">
      <c r="A422" s="1" t="s">
        <v>2362</v>
      </c>
      <c r="B422" s="3" t="e">
        <f ca="1">geturl(Table3[[#This Row],[File]])</f>
        <v>#NAME?</v>
      </c>
      <c r="C422" s="1" t="e">
        <f ca="1">LEFT(Table3[[#This Row],[URL]],LEN(Table3[[#This Row],[URL]])-4)&amp;"raw=1"</f>
        <v>#NAME?</v>
      </c>
    </row>
    <row r="423" spans="1:3" x14ac:dyDescent="0.3">
      <c r="A423" s="1" t="s">
        <v>209</v>
      </c>
      <c r="B423" s="3" t="e">
        <f ca="1">geturl(Table3[[#This Row],[File]])</f>
        <v>#NAME?</v>
      </c>
      <c r="C423" s="1" t="e">
        <f ca="1">LEFT(Table3[[#This Row],[URL]],LEN(Table3[[#This Row],[URL]])-4)&amp;"raw=1"</f>
        <v>#NAME?</v>
      </c>
    </row>
    <row r="424" spans="1:3" x14ac:dyDescent="0.3">
      <c r="A424" s="1" t="s">
        <v>210</v>
      </c>
      <c r="B424" s="3" t="e">
        <f ca="1">geturl(Table3[[#This Row],[File]])</f>
        <v>#NAME?</v>
      </c>
      <c r="C424" s="1" t="e">
        <f ca="1">LEFT(Table3[[#This Row],[URL]],LEN(Table3[[#This Row],[URL]])-4)&amp;"raw=1"</f>
        <v>#NAME?</v>
      </c>
    </row>
    <row r="425" spans="1:3" x14ac:dyDescent="0.3">
      <c r="A425" s="1" t="s">
        <v>211</v>
      </c>
      <c r="B425" s="3" t="e">
        <f ca="1">geturl(Table3[[#This Row],[File]])</f>
        <v>#NAME?</v>
      </c>
      <c r="C425" s="1" t="e">
        <f ca="1">LEFT(Table3[[#This Row],[URL]],LEN(Table3[[#This Row],[URL]])-4)&amp;"raw=1"</f>
        <v>#NAME?</v>
      </c>
    </row>
    <row r="426" spans="1:3" x14ac:dyDescent="0.3">
      <c r="A426" s="1" t="s">
        <v>212</v>
      </c>
      <c r="B426" s="3" t="e">
        <f ca="1">geturl(Table3[[#This Row],[File]])</f>
        <v>#NAME?</v>
      </c>
      <c r="C426" s="1" t="e">
        <f ca="1">LEFT(Table3[[#This Row],[URL]],LEN(Table3[[#This Row],[URL]])-4)&amp;"raw=1"</f>
        <v>#NAME?</v>
      </c>
    </row>
    <row r="427" spans="1:3" x14ac:dyDescent="0.3">
      <c r="A427" s="1" t="s">
        <v>213</v>
      </c>
      <c r="B427" s="3" t="e">
        <f ca="1">geturl(Table3[[#This Row],[File]])</f>
        <v>#NAME?</v>
      </c>
      <c r="C427" s="1" t="e">
        <f ca="1">LEFT(Table3[[#This Row],[URL]],LEN(Table3[[#This Row],[URL]])-4)&amp;"raw=1"</f>
        <v>#NAME?</v>
      </c>
    </row>
    <row r="428" spans="1:3" x14ac:dyDescent="0.3">
      <c r="A428" s="1" t="s">
        <v>214</v>
      </c>
      <c r="B428" s="3" t="e">
        <f ca="1">geturl(Table3[[#This Row],[File]])</f>
        <v>#NAME?</v>
      </c>
      <c r="C428" s="1" t="e">
        <f ca="1">LEFT(Table3[[#This Row],[URL]],LEN(Table3[[#This Row],[URL]])-4)&amp;"raw=1"</f>
        <v>#NAME?</v>
      </c>
    </row>
    <row r="429" spans="1:3" x14ac:dyDescent="0.3">
      <c r="A429" s="1" t="s">
        <v>215</v>
      </c>
      <c r="B429" s="3" t="e">
        <f ca="1">geturl(Table3[[#This Row],[File]])</f>
        <v>#NAME?</v>
      </c>
      <c r="C429" s="1" t="e">
        <f ca="1">LEFT(Table3[[#This Row],[URL]],LEN(Table3[[#This Row],[URL]])-4)&amp;"raw=1"</f>
        <v>#NAME?</v>
      </c>
    </row>
    <row r="430" spans="1:3" x14ac:dyDescent="0.3">
      <c r="A430" s="1" t="s">
        <v>216</v>
      </c>
      <c r="B430" s="3" t="e">
        <f ca="1">geturl(Table3[[#This Row],[File]])</f>
        <v>#NAME?</v>
      </c>
      <c r="C430" s="1" t="e">
        <f ca="1">LEFT(Table3[[#This Row],[URL]],LEN(Table3[[#This Row],[URL]])-4)&amp;"raw=1"</f>
        <v>#NAME?</v>
      </c>
    </row>
    <row r="431" spans="1:3" x14ac:dyDescent="0.3">
      <c r="A431" s="1" t="s">
        <v>217</v>
      </c>
      <c r="B431" s="3" t="e">
        <f ca="1">geturl(Table3[[#This Row],[File]])</f>
        <v>#NAME?</v>
      </c>
      <c r="C431" s="1" t="e">
        <f ca="1">LEFT(Table3[[#This Row],[URL]],LEN(Table3[[#This Row],[URL]])-4)&amp;"raw=1"</f>
        <v>#NAME?</v>
      </c>
    </row>
    <row r="432" spans="1:3" x14ac:dyDescent="0.3">
      <c r="A432" s="1" t="s">
        <v>218</v>
      </c>
      <c r="B432" s="3" t="e">
        <f ca="1">geturl(Table3[[#This Row],[File]])</f>
        <v>#NAME?</v>
      </c>
      <c r="C432" s="1" t="e">
        <f ca="1">LEFT(Table3[[#This Row],[URL]],LEN(Table3[[#This Row],[URL]])-4)&amp;"raw=1"</f>
        <v>#NAME?</v>
      </c>
    </row>
    <row r="433" spans="1:3" x14ac:dyDescent="0.3">
      <c r="A433" s="1" t="s">
        <v>219</v>
      </c>
      <c r="B433" s="3" t="e">
        <f ca="1">geturl(Table3[[#This Row],[File]])</f>
        <v>#NAME?</v>
      </c>
      <c r="C433" s="1" t="e">
        <f ca="1">LEFT(Table3[[#This Row],[URL]],LEN(Table3[[#This Row],[URL]])-4)&amp;"raw=1"</f>
        <v>#NAME?</v>
      </c>
    </row>
    <row r="434" spans="1:3" x14ac:dyDescent="0.3">
      <c r="A434" s="1" t="s">
        <v>220</v>
      </c>
      <c r="B434" s="3" t="e">
        <f ca="1">geturl(Table3[[#This Row],[File]])</f>
        <v>#NAME?</v>
      </c>
      <c r="C434" s="1" t="e">
        <f ca="1">LEFT(Table3[[#This Row],[URL]],LEN(Table3[[#This Row],[URL]])-4)&amp;"raw=1"</f>
        <v>#NAME?</v>
      </c>
    </row>
    <row r="435" spans="1:3" x14ac:dyDescent="0.3">
      <c r="A435" s="1" t="s">
        <v>221</v>
      </c>
      <c r="B435" s="3" t="e">
        <f ca="1">geturl(Table3[[#This Row],[File]])</f>
        <v>#NAME?</v>
      </c>
      <c r="C435" s="1" t="e">
        <f ca="1">LEFT(Table3[[#This Row],[URL]],LEN(Table3[[#This Row],[URL]])-4)&amp;"raw=1"</f>
        <v>#NAME?</v>
      </c>
    </row>
    <row r="436" spans="1:3" x14ac:dyDescent="0.3">
      <c r="A436" s="1" t="s">
        <v>222</v>
      </c>
      <c r="B436" s="3" t="e">
        <f ca="1">geturl(Table3[[#This Row],[File]])</f>
        <v>#NAME?</v>
      </c>
      <c r="C436" s="1" t="e">
        <f ca="1">LEFT(Table3[[#This Row],[URL]],LEN(Table3[[#This Row],[URL]])-4)&amp;"raw=1"</f>
        <v>#NAME?</v>
      </c>
    </row>
    <row r="437" spans="1:3" x14ac:dyDescent="0.3">
      <c r="A437" s="1" t="s">
        <v>223</v>
      </c>
      <c r="B437" s="3" t="e">
        <f ca="1">geturl(Table3[[#This Row],[File]])</f>
        <v>#NAME?</v>
      </c>
      <c r="C437" s="1" t="e">
        <f ca="1">LEFT(Table3[[#This Row],[URL]],LEN(Table3[[#This Row],[URL]])-4)&amp;"raw=1"</f>
        <v>#NAME?</v>
      </c>
    </row>
    <row r="438" spans="1:3" x14ac:dyDescent="0.3">
      <c r="A438" s="1" t="s">
        <v>224</v>
      </c>
      <c r="B438" s="3" t="e">
        <f ca="1">geturl(Table3[[#This Row],[File]])</f>
        <v>#NAME?</v>
      </c>
      <c r="C438" s="1" t="e">
        <f ca="1">LEFT(Table3[[#This Row],[URL]],LEN(Table3[[#This Row],[URL]])-4)&amp;"raw=1"</f>
        <v>#NAME?</v>
      </c>
    </row>
    <row r="439" spans="1:3" x14ac:dyDescent="0.3">
      <c r="A439" s="1" t="s">
        <v>225</v>
      </c>
      <c r="B439" s="3" t="e">
        <f ca="1">geturl(Table3[[#This Row],[File]])</f>
        <v>#NAME?</v>
      </c>
      <c r="C439" s="1" t="e">
        <f ca="1">LEFT(Table3[[#This Row],[URL]],LEN(Table3[[#This Row],[URL]])-4)&amp;"raw=1"</f>
        <v>#NAME?</v>
      </c>
    </row>
    <row r="440" spans="1:3" x14ac:dyDescent="0.3">
      <c r="A440" s="1" t="s">
        <v>226</v>
      </c>
      <c r="B440" s="3" t="e">
        <f ca="1">geturl(Table3[[#This Row],[File]])</f>
        <v>#NAME?</v>
      </c>
      <c r="C440" s="1" t="e">
        <f ca="1">LEFT(Table3[[#This Row],[URL]],LEN(Table3[[#This Row],[URL]])-4)&amp;"raw=1"</f>
        <v>#NAME?</v>
      </c>
    </row>
    <row r="441" spans="1:3" x14ac:dyDescent="0.3">
      <c r="A441" s="1" t="s">
        <v>227</v>
      </c>
      <c r="B441" s="3" t="e">
        <f ca="1">geturl(Table3[[#This Row],[File]])</f>
        <v>#NAME?</v>
      </c>
      <c r="C441" s="1" t="e">
        <f ca="1">LEFT(Table3[[#This Row],[URL]],LEN(Table3[[#This Row],[URL]])-4)&amp;"raw=1"</f>
        <v>#NAME?</v>
      </c>
    </row>
    <row r="442" spans="1:3" x14ac:dyDescent="0.3">
      <c r="A442" s="1" t="s">
        <v>2363</v>
      </c>
      <c r="B442" s="3" t="e">
        <f ca="1">geturl(Table3[[#This Row],[File]])</f>
        <v>#NAME?</v>
      </c>
      <c r="C442" s="1" t="e">
        <f ca="1">LEFT(Table3[[#This Row],[URL]],LEN(Table3[[#This Row],[URL]])-4)&amp;"raw=1"</f>
        <v>#NAME?</v>
      </c>
    </row>
    <row r="443" spans="1:3" x14ac:dyDescent="0.3">
      <c r="A443" s="1" t="s">
        <v>228</v>
      </c>
      <c r="B443" s="3" t="e">
        <f ca="1">geturl(Table3[[#This Row],[File]])</f>
        <v>#NAME?</v>
      </c>
      <c r="C443" s="1" t="e">
        <f ca="1">LEFT(Table3[[#This Row],[URL]],LEN(Table3[[#This Row],[URL]])-4)&amp;"raw=1"</f>
        <v>#NAME?</v>
      </c>
    </row>
    <row r="444" spans="1:3" x14ac:dyDescent="0.3">
      <c r="A444" s="1" t="s">
        <v>229</v>
      </c>
      <c r="B444" s="3" t="e">
        <f ca="1">geturl(Table3[[#This Row],[File]])</f>
        <v>#NAME?</v>
      </c>
      <c r="C444" s="1" t="e">
        <f ca="1">LEFT(Table3[[#This Row],[URL]],LEN(Table3[[#This Row],[URL]])-4)&amp;"raw=1"</f>
        <v>#NAME?</v>
      </c>
    </row>
    <row r="445" spans="1:3" x14ac:dyDescent="0.3">
      <c r="A445" s="1" t="s">
        <v>2364</v>
      </c>
      <c r="B445" s="3" t="e">
        <f ca="1">geturl(Table3[[#This Row],[File]])</f>
        <v>#NAME?</v>
      </c>
      <c r="C445" s="1" t="e">
        <f ca="1">LEFT(Table3[[#This Row],[URL]],LEN(Table3[[#This Row],[URL]])-4)&amp;"raw=1"</f>
        <v>#NAME?</v>
      </c>
    </row>
    <row r="446" spans="1:3" x14ac:dyDescent="0.3">
      <c r="A446" s="1" t="s">
        <v>230</v>
      </c>
      <c r="B446" s="3" t="e">
        <f ca="1">geturl(Table3[[#This Row],[File]])</f>
        <v>#NAME?</v>
      </c>
      <c r="C446" s="1" t="e">
        <f ca="1">LEFT(Table3[[#This Row],[URL]],LEN(Table3[[#This Row],[URL]])-4)&amp;"raw=1"</f>
        <v>#NAME?</v>
      </c>
    </row>
    <row r="447" spans="1:3" x14ac:dyDescent="0.3">
      <c r="A447" s="1" t="s">
        <v>2365</v>
      </c>
      <c r="B447" s="3" t="e">
        <f ca="1">geturl(Table3[[#This Row],[File]])</f>
        <v>#NAME?</v>
      </c>
      <c r="C447" s="1" t="e">
        <f ca="1">LEFT(Table3[[#This Row],[URL]],LEN(Table3[[#This Row],[URL]])-4)&amp;"raw=1"</f>
        <v>#NAME?</v>
      </c>
    </row>
    <row r="448" spans="1:3" x14ac:dyDescent="0.3">
      <c r="A448" s="1" t="s">
        <v>231</v>
      </c>
      <c r="B448" s="3" t="e">
        <f ca="1">geturl(Table3[[#This Row],[File]])</f>
        <v>#NAME?</v>
      </c>
      <c r="C448" s="1" t="e">
        <f ca="1">LEFT(Table3[[#This Row],[URL]],LEN(Table3[[#This Row],[URL]])-4)&amp;"raw=1"</f>
        <v>#NAME?</v>
      </c>
    </row>
    <row r="449" spans="1:3" x14ac:dyDescent="0.3">
      <c r="A449" s="1" t="s">
        <v>232</v>
      </c>
      <c r="B449" s="3" t="e">
        <f ca="1">geturl(Table3[[#This Row],[File]])</f>
        <v>#NAME?</v>
      </c>
      <c r="C449" s="1" t="e">
        <f ca="1">LEFT(Table3[[#This Row],[URL]],LEN(Table3[[#This Row],[URL]])-4)&amp;"raw=1"</f>
        <v>#NAME?</v>
      </c>
    </row>
    <row r="450" spans="1:3" x14ac:dyDescent="0.3">
      <c r="A450" s="1" t="s">
        <v>2366</v>
      </c>
      <c r="B450" s="3" t="e">
        <f ca="1">geturl(Table3[[#This Row],[File]])</f>
        <v>#NAME?</v>
      </c>
      <c r="C450" s="1" t="e">
        <f ca="1">LEFT(Table3[[#This Row],[URL]],LEN(Table3[[#This Row],[URL]])-4)&amp;"raw=1"</f>
        <v>#NAME?</v>
      </c>
    </row>
    <row r="451" spans="1:3" x14ac:dyDescent="0.3">
      <c r="A451" s="1" t="s">
        <v>233</v>
      </c>
      <c r="B451" s="3" t="e">
        <f ca="1">geturl(Table3[[#This Row],[File]])</f>
        <v>#NAME?</v>
      </c>
      <c r="C451" s="1" t="e">
        <f ca="1">LEFT(Table3[[#This Row],[URL]],LEN(Table3[[#This Row],[URL]])-4)&amp;"raw=1"</f>
        <v>#NAME?</v>
      </c>
    </row>
    <row r="452" spans="1:3" x14ac:dyDescent="0.3">
      <c r="A452" s="1" t="s">
        <v>2367</v>
      </c>
      <c r="B452" s="3" t="e">
        <f ca="1">geturl(Table3[[#This Row],[File]])</f>
        <v>#NAME?</v>
      </c>
      <c r="C452" s="1" t="e">
        <f ca="1">LEFT(Table3[[#This Row],[URL]],LEN(Table3[[#This Row],[URL]])-4)&amp;"raw=1"</f>
        <v>#NAME?</v>
      </c>
    </row>
    <row r="453" spans="1:3" x14ac:dyDescent="0.3">
      <c r="A453" s="1" t="s">
        <v>234</v>
      </c>
      <c r="B453" s="3" t="e">
        <f ca="1">geturl(Table3[[#This Row],[File]])</f>
        <v>#NAME?</v>
      </c>
      <c r="C453" s="1" t="e">
        <f ca="1">LEFT(Table3[[#This Row],[URL]],LEN(Table3[[#This Row],[URL]])-4)&amp;"raw=1"</f>
        <v>#NAME?</v>
      </c>
    </row>
    <row r="454" spans="1:3" x14ac:dyDescent="0.3">
      <c r="A454" s="1" t="s">
        <v>2368</v>
      </c>
      <c r="B454" s="3" t="e">
        <f ca="1">geturl(Table3[[#This Row],[File]])</f>
        <v>#NAME?</v>
      </c>
      <c r="C454" s="1" t="e">
        <f ca="1">LEFT(Table3[[#This Row],[URL]],LEN(Table3[[#This Row],[URL]])-4)&amp;"raw=1"</f>
        <v>#NAME?</v>
      </c>
    </row>
    <row r="455" spans="1:3" x14ac:dyDescent="0.3">
      <c r="A455" s="1" t="s">
        <v>235</v>
      </c>
      <c r="B455" s="3" t="e">
        <f ca="1">geturl(Table3[[#This Row],[File]])</f>
        <v>#NAME?</v>
      </c>
      <c r="C455" s="1" t="e">
        <f ca="1">LEFT(Table3[[#This Row],[URL]],LEN(Table3[[#This Row],[URL]])-4)&amp;"raw=1"</f>
        <v>#NAME?</v>
      </c>
    </row>
    <row r="456" spans="1:3" x14ac:dyDescent="0.3">
      <c r="A456" s="1" t="s">
        <v>2369</v>
      </c>
      <c r="B456" s="3" t="e">
        <f ca="1">geturl(Table3[[#This Row],[File]])</f>
        <v>#NAME?</v>
      </c>
      <c r="C456" s="1" t="e">
        <f ca="1">LEFT(Table3[[#This Row],[URL]],LEN(Table3[[#This Row],[URL]])-4)&amp;"raw=1"</f>
        <v>#NAME?</v>
      </c>
    </row>
    <row r="457" spans="1:3" x14ac:dyDescent="0.3">
      <c r="A457" s="1" t="s">
        <v>2370</v>
      </c>
      <c r="B457" s="3" t="e">
        <f ca="1">geturl(Table3[[#This Row],[File]])</f>
        <v>#NAME?</v>
      </c>
      <c r="C457" s="1" t="e">
        <f ca="1">LEFT(Table3[[#This Row],[URL]],LEN(Table3[[#This Row],[URL]])-4)&amp;"raw=1"</f>
        <v>#NAME?</v>
      </c>
    </row>
    <row r="458" spans="1:3" x14ac:dyDescent="0.3">
      <c r="A458" s="1" t="s">
        <v>2371</v>
      </c>
      <c r="B458" s="3" t="e">
        <f ca="1">geturl(Table3[[#This Row],[File]])</f>
        <v>#NAME?</v>
      </c>
      <c r="C458" s="1" t="e">
        <f ca="1">LEFT(Table3[[#This Row],[URL]],LEN(Table3[[#This Row],[URL]])-4)&amp;"raw=1"</f>
        <v>#NAME?</v>
      </c>
    </row>
    <row r="459" spans="1:3" x14ac:dyDescent="0.3">
      <c r="A459" s="1" t="s">
        <v>2372</v>
      </c>
      <c r="B459" s="3" t="e">
        <f ca="1">geturl(Table3[[#This Row],[File]])</f>
        <v>#NAME?</v>
      </c>
      <c r="C459" s="1" t="e">
        <f ca="1">LEFT(Table3[[#This Row],[URL]],LEN(Table3[[#This Row],[URL]])-4)&amp;"raw=1"</f>
        <v>#NAME?</v>
      </c>
    </row>
    <row r="460" spans="1:3" x14ac:dyDescent="0.3">
      <c r="A460" s="1" t="s">
        <v>2373</v>
      </c>
      <c r="B460" s="3" t="e">
        <f ca="1">geturl(Table3[[#This Row],[File]])</f>
        <v>#NAME?</v>
      </c>
      <c r="C460" s="1" t="e">
        <f ca="1">LEFT(Table3[[#This Row],[URL]],LEN(Table3[[#This Row],[URL]])-4)&amp;"raw=1"</f>
        <v>#NAME?</v>
      </c>
    </row>
    <row r="461" spans="1:3" x14ac:dyDescent="0.3">
      <c r="A461" s="1" t="s">
        <v>2374</v>
      </c>
      <c r="B461" s="3" t="e">
        <f ca="1">geturl(Table3[[#This Row],[File]])</f>
        <v>#NAME?</v>
      </c>
      <c r="C461" s="1" t="e">
        <f ca="1">LEFT(Table3[[#This Row],[URL]],LEN(Table3[[#This Row],[URL]])-4)&amp;"raw=1"</f>
        <v>#NAME?</v>
      </c>
    </row>
    <row r="462" spans="1:3" x14ac:dyDescent="0.3">
      <c r="A462" s="1" t="s">
        <v>2375</v>
      </c>
      <c r="B462" s="3" t="e">
        <f ca="1">geturl(Table3[[#This Row],[File]])</f>
        <v>#NAME?</v>
      </c>
      <c r="C462" s="1" t="e">
        <f ca="1">LEFT(Table3[[#This Row],[URL]],LEN(Table3[[#This Row],[URL]])-4)&amp;"raw=1"</f>
        <v>#NAME?</v>
      </c>
    </row>
    <row r="463" spans="1:3" x14ac:dyDescent="0.3">
      <c r="A463" s="1" t="s">
        <v>2376</v>
      </c>
      <c r="B463" s="3" t="e">
        <f ca="1">geturl(Table3[[#This Row],[File]])</f>
        <v>#NAME?</v>
      </c>
      <c r="C463" s="1" t="e">
        <f ca="1">LEFT(Table3[[#This Row],[URL]],LEN(Table3[[#This Row],[URL]])-4)&amp;"raw=1"</f>
        <v>#NAME?</v>
      </c>
    </row>
    <row r="464" spans="1:3" x14ac:dyDescent="0.3">
      <c r="A464" s="1" t="s">
        <v>2377</v>
      </c>
      <c r="B464" s="3" t="e">
        <f ca="1">geturl(Table3[[#This Row],[File]])</f>
        <v>#NAME?</v>
      </c>
      <c r="C464" s="1" t="e">
        <f ca="1">LEFT(Table3[[#This Row],[URL]],LEN(Table3[[#This Row],[URL]])-4)&amp;"raw=1"</f>
        <v>#NAME?</v>
      </c>
    </row>
    <row r="465" spans="1:3" x14ac:dyDescent="0.3">
      <c r="A465" s="1" t="s">
        <v>2378</v>
      </c>
      <c r="B465" s="3" t="e">
        <f ca="1">geturl(Table3[[#This Row],[File]])</f>
        <v>#NAME?</v>
      </c>
      <c r="C465" s="1" t="e">
        <f ca="1">LEFT(Table3[[#This Row],[URL]],LEN(Table3[[#This Row],[URL]])-4)&amp;"raw=1"</f>
        <v>#NAME?</v>
      </c>
    </row>
    <row r="466" spans="1:3" x14ac:dyDescent="0.3">
      <c r="A466" s="1" t="s">
        <v>2379</v>
      </c>
      <c r="B466" s="3" t="e">
        <f ca="1">geturl(Table3[[#This Row],[File]])</f>
        <v>#NAME?</v>
      </c>
      <c r="C466" s="1" t="e">
        <f ca="1">LEFT(Table3[[#This Row],[URL]],LEN(Table3[[#This Row],[URL]])-4)&amp;"raw=1"</f>
        <v>#NAME?</v>
      </c>
    </row>
    <row r="467" spans="1:3" x14ac:dyDescent="0.3">
      <c r="A467" s="1" t="s">
        <v>236</v>
      </c>
      <c r="B467" s="3" t="e">
        <f ca="1">geturl(Table3[[#This Row],[File]])</f>
        <v>#NAME?</v>
      </c>
      <c r="C467" s="1" t="e">
        <f ca="1">LEFT(Table3[[#This Row],[URL]],LEN(Table3[[#This Row],[URL]])-4)&amp;"raw=1"</f>
        <v>#NAME?</v>
      </c>
    </row>
    <row r="468" spans="1:3" x14ac:dyDescent="0.3">
      <c r="A468" s="1" t="s">
        <v>2380</v>
      </c>
      <c r="B468" s="3" t="e">
        <f ca="1">geturl(Table3[[#This Row],[File]])</f>
        <v>#NAME?</v>
      </c>
      <c r="C468" s="1" t="e">
        <f ca="1">LEFT(Table3[[#This Row],[URL]],LEN(Table3[[#This Row],[URL]])-4)&amp;"raw=1"</f>
        <v>#NAME?</v>
      </c>
    </row>
    <row r="469" spans="1:3" x14ac:dyDescent="0.3">
      <c r="A469" s="1" t="s">
        <v>237</v>
      </c>
      <c r="B469" s="3" t="e">
        <f ca="1">geturl(Table3[[#This Row],[File]])</f>
        <v>#NAME?</v>
      </c>
      <c r="C469" s="1" t="e">
        <f ca="1">LEFT(Table3[[#This Row],[URL]],LEN(Table3[[#This Row],[URL]])-4)&amp;"raw=1"</f>
        <v>#NAME?</v>
      </c>
    </row>
    <row r="470" spans="1:3" x14ac:dyDescent="0.3">
      <c r="A470" s="1" t="s">
        <v>2381</v>
      </c>
      <c r="B470" s="3" t="e">
        <f ca="1">geturl(Table3[[#This Row],[File]])</f>
        <v>#NAME?</v>
      </c>
      <c r="C470" s="1" t="e">
        <f ca="1">LEFT(Table3[[#This Row],[URL]],LEN(Table3[[#This Row],[URL]])-4)&amp;"raw=1"</f>
        <v>#NAME?</v>
      </c>
    </row>
    <row r="471" spans="1:3" x14ac:dyDescent="0.3">
      <c r="A471" s="1" t="s">
        <v>238</v>
      </c>
      <c r="B471" s="3" t="e">
        <f ca="1">geturl(Table3[[#This Row],[File]])</f>
        <v>#NAME?</v>
      </c>
      <c r="C471" s="1" t="e">
        <f ca="1">LEFT(Table3[[#This Row],[URL]],LEN(Table3[[#This Row],[URL]])-4)&amp;"raw=1"</f>
        <v>#NAME?</v>
      </c>
    </row>
    <row r="472" spans="1:3" x14ac:dyDescent="0.3">
      <c r="A472" s="1" t="s">
        <v>2382</v>
      </c>
      <c r="B472" s="3" t="e">
        <f ca="1">geturl(Table3[[#This Row],[File]])</f>
        <v>#NAME?</v>
      </c>
      <c r="C472" s="1" t="e">
        <f ca="1">LEFT(Table3[[#This Row],[URL]],LEN(Table3[[#This Row],[URL]])-4)&amp;"raw=1"</f>
        <v>#NAME?</v>
      </c>
    </row>
    <row r="473" spans="1:3" x14ac:dyDescent="0.3">
      <c r="A473" s="1" t="s">
        <v>239</v>
      </c>
      <c r="B473" s="3" t="e">
        <f ca="1">geturl(Table3[[#This Row],[File]])</f>
        <v>#NAME?</v>
      </c>
      <c r="C473" s="1" t="e">
        <f ca="1">LEFT(Table3[[#This Row],[URL]],LEN(Table3[[#This Row],[URL]])-4)&amp;"raw=1"</f>
        <v>#NAME?</v>
      </c>
    </row>
    <row r="474" spans="1:3" x14ac:dyDescent="0.3">
      <c r="A474" s="1" t="s">
        <v>2383</v>
      </c>
      <c r="B474" s="3" t="e">
        <f ca="1">geturl(Table3[[#This Row],[File]])</f>
        <v>#NAME?</v>
      </c>
      <c r="C474" s="1" t="e">
        <f ca="1">LEFT(Table3[[#This Row],[URL]],LEN(Table3[[#This Row],[URL]])-4)&amp;"raw=1"</f>
        <v>#NAME?</v>
      </c>
    </row>
    <row r="475" spans="1:3" x14ac:dyDescent="0.3">
      <c r="A475" s="1" t="s">
        <v>2384</v>
      </c>
      <c r="B475" s="3" t="e">
        <f ca="1">geturl(Table3[[#This Row],[File]])</f>
        <v>#NAME?</v>
      </c>
      <c r="C475" s="1" t="e">
        <f ca="1">LEFT(Table3[[#This Row],[URL]],LEN(Table3[[#This Row],[URL]])-4)&amp;"raw=1"</f>
        <v>#NAME?</v>
      </c>
    </row>
    <row r="476" spans="1:3" x14ac:dyDescent="0.3">
      <c r="A476" s="1" t="s">
        <v>2385</v>
      </c>
      <c r="B476" s="3" t="e">
        <f ca="1">geturl(Table3[[#This Row],[File]])</f>
        <v>#NAME?</v>
      </c>
      <c r="C476" s="1" t="e">
        <f ca="1">LEFT(Table3[[#This Row],[URL]],LEN(Table3[[#This Row],[URL]])-4)&amp;"raw=1"</f>
        <v>#NAME?</v>
      </c>
    </row>
    <row r="477" spans="1:3" x14ac:dyDescent="0.3">
      <c r="A477" s="1" t="s">
        <v>2386</v>
      </c>
      <c r="B477" s="3" t="e">
        <f ca="1">geturl(Table3[[#This Row],[File]])</f>
        <v>#NAME?</v>
      </c>
      <c r="C477" s="1" t="e">
        <f ca="1">LEFT(Table3[[#This Row],[URL]],LEN(Table3[[#This Row],[URL]])-4)&amp;"raw=1"</f>
        <v>#NAME?</v>
      </c>
    </row>
    <row r="478" spans="1:3" x14ac:dyDescent="0.3">
      <c r="A478" s="1" t="s">
        <v>2387</v>
      </c>
      <c r="B478" s="3" t="e">
        <f ca="1">geturl(Table3[[#This Row],[File]])</f>
        <v>#NAME?</v>
      </c>
      <c r="C478" s="1" t="e">
        <f ca="1">LEFT(Table3[[#This Row],[URL]],LEN(Table3[[#This Row],[URL]])-4)&amp;"raw=1"</f>
        <v>#NAME?</v>
      </c>
    </row>
    <row r="479" spans="1:3" x14ac:dyDescent="0.3">
      <c r="A479" s="1" t="s">
        <v>2388</v>
      </c>
      <c r="B479" s="3" t="e">
        <f ca="1">geturl(Table3[[#This Row],[File]])</f>
        <v>#NAME?</v>
      </c>
      <c r="C479" s="1" t="e">
        <f ca="1">LEFT(Table3[[#This Row],[URL]],LEN(Table3[[#This Row],[URL]])-4)&amp;"raw=1"</f>
        <v>#NAME?</v>
      </c>
    </row>
    <row r="480" spans="1:3" x14ac:dyDescent="0.3">
      <c r="A480" s="1" t="s">
        <v>2389</v>
      </c>
      <c r="B480" s="3" t="e">
        <f ca="1">geturl(Table3[[#This Row],[File]])</f>
        <v>#NAME?</v>
      </c>
      <c r="C480" s="1" t="e">
        <f ca="1">LEFT(Table3[[#This Row],[URL]],LEN(Table3[[#This Row],[URL]])-4)&amp;"raw=1"</f>
        <v>#NAME?</v>
      </c>
    </row>
    <row r="481" spans="1:3" x14ac:dyDescent="0.3">
      <c r="A481" s="1" t="s">
        <v>2390</v>
      </c>
      <c r="B481" s="3" t="e">
        <f ca="1">geturl(Table3[[#This Row],[File]])</f>
        <v>#NAME?</v>
      </c>
      <c r="C481" s="1" t="e">
        <f ca="1">LEFT(Table3[[#This Row],[URL]],LEN(Table3[[#This Row],[URL]])-4)&amp;"raw=1"</f>
        <v>#NAME?</v>
      </c>
    </row>
    <row r="482" spans="1:3" x14ac:dyDescent="0.3">
      <c r="A482" s="1" t="s">
        <v>2391</v>
      </c>
      <c r="B482" s="3" t="e">
        <f ca="1">geturl(Table3[[#This Row],[File]])</f>
        <v>#NAME?</v>
      </c>
      <c r="C482" s="1" t="e">
        <f ca="1">LEFT(Table3[[#This Row],[URL]],LEN(Table3[[#This Row],[URL]])-4)&amp;"raw=1"</f>
        <v>#NAME?</v>
      </c>
    </row>
    <row r="483" spans="1:3" x14ac:dyDescent="0.3">
      <c r="A483" s="1" t="s">
        <v>2392</v>
      </c>
      <c r="B483" s="3" t="e">
        <f ca="1">geturl(Table3[[#This Row],[File]])</f>
        <v>#NAME?</v>
      </c>
      <c r="C483" s="1" t="e">
        <f ca="1">LEFT(Table3[[#This Row],[URL]],LEN(Table3[[#This Row],[URL]])-4)&amp;"raw=1"</f>
        <v>#NAME?</v>
      </c>
    </row>
    <row r="484" spans="1:3" x14ac:dyDescent="0.3">
      <c r="A484" s="1" t="s">
        <v>2393</v>
      </c>
      <c r="B484" s="3" t="e">
        <f ca="1">geturl(Table3[[#This Row],[File]])</f>
        <v>#NAME?</v>
      </c>
      <c r="C484" s="1" t="e">
        <f ca="1">LEFT(Table3[[#This Row],[URL]],LEN(Table3[[#This Row],[URL]])-4)&amp;"raw=1"</f>
        <v>#NAME?</v>
      </c>
    </row>
    <row r="485" spans="1:3" x14ac:dyDescent="0.3">
      <c r="A485" s="1" t="s">
        <v>2394</v>
      </c>
      <c r="B485" s="3" t="e">
        <f ca="1">geturl(Table3[[#This Row],[File]])</f>
        <v>#NAME?</v>
      </c>
      <c r="C485" s="1" t="e">
        <f ca="1">LEFT(Table3[[#This Row],[URL]],LEN(Table3[[#This Row],[URL]])-4)&amp;"raw=1"</f>
        <v>#NAME?</v>
      </c>
    </row>
    <row r="486" spans="1:3" x14ac:dyDescent="0.3">
      <c r="A486" s="1" t="s">
        <v>2395</v>
      </c>
      <c r="B486" s="3" t="e">
        <f ca="1">geturl(Table3[[#This Row],[File]])</f>
        <v>#NAME?</v>
      </c>
      <c r="C486" s="1" t="e">
        <f ca="1">LEFT(Table3[[#This Row],[URL]],LEN(Table3[[#This Row],[URL]])-4)&amp;"raw=1"</f>
        <v>#NAME?</v>
      </c>
    </row>
    <row r="487" spans="1:3" x14ac:dyDescent="0.3">
      <c r="A487" s="1" t="s">
        <v>2396</v>
      </c>
      <c r="B487" s="3" t="e">
        <f ca="1">geturl(Table3[[#This Row],[File]])</f>
        <v>#NAME?</v>
      </c>
      <c r="C487" s="1" t="e">
        <f ca="1">LEFT(Table3[[#This Row],[URL]],LEN(Table3[[#This Row],[URL]])-4)&amp;"raw=1"</f>
        <v>#NAME?</v>
      </c>
    </row>
    <row r="488" spans="1:3" x14ac:dyDescent="0.3">
      <c r="A488" s="1" t="s">
        <v>2397</v>
      </c>
      <c r="B488" s="3" t="e">
        <f ca="1">geturl(Table3[[#This Row],[File]])</f>
        <v>#NAME?</v>
      </c>
      <c r="C488" s="1" t="e">
        <f ca="1">LEFT(Table3[[#This Row],[URL]],LEN(Table3[[#This Row],[URL]])-4)&amp;"raw=1"</f>
        <v>#NAME?</v>
      </c>
    </row>
    <row r="489" spans="1:3" x14ac:dyDescent="0.3">
      <c r="A489" s="1" t="s">
        <v>240</v>
      </c>
      <c r="B489" s="3" t="e">
        <f ca="1">geturl(Table3[[#This Row],[File]])</f>
        <v>#NAME?</v>
      </c>
      <c r="C489" s="1" t="e">
        <f ca="1">LEFT(Table3[[#This Row],[URL]],LEN(Table3[[#This Row],[URL]])-4)&amp;"raw=1"</f>
        <v>#NAME?</v>
      </c>
    </row>
    <row r="490" spans="1:3" x14ac:dyDescent="0.3">
      <c r="A490" s="1" t="s">
        <v>2398</v>
      </c>
      <c r="B490" s="3" t="e">
        <f ca="1">geturl(Table3[[#This Row],[File]])</f>
        <v>#NAME?</v>
      </c>
      <c r="C490" s="1" t="e">
        <f ca="1">LEFT(Table3[[#This Row],[URL]],LEN(Table3[[#This Row],[URL]])-4)&amp;"raw=1"</f>
        <v>#NAME?</v>
      </c>
    </row>
    <row r="491" spans="1:3" x14ac:dyDescent="0.3">
      <c r="A491" s="1" t="s">
        <v>2399</v>
      </c>
      <c r="B491" s="3" t="e">
        <f ca="1">geturl(Table3[[#This Row],[File]])</f>
        <v>#NAME?</v>
      </c>
      <c r="C491" s="1" t="e">
        <f ca="1">LEFT(Table3[[#This Row],[URL]],LEN(Table3[[#This Row],[URL]])-4)&amp;"raw=1"</f>
        <v>#NAME?</v>
      </c>
    </row>
    <row r="492" spans="1:3" x14ac:dyDescent="0.3">
      <c r="A492" s="1" t="s">
        <v>2400</v>
      </c>
      <c r="B492" s="3" t="e">
        <f ca="1">geturl(Table3[[#This Row],[File]])</f>
        <v>#NAME?</v>
      </c>
      <c r="C492" s="1" t="e">
        <f ca="1">LEFT(Table3[[#This Row],[URL]],LEN(Table3[[#This Row],[URL]])-4)&amp;"raw=1"</f>
        <v>#NAME?</v>
      </c>
    </row>
    <row r="493" spans="1:3" x14ac:dyDescent="0.3">
      <c r="A493" s="1" t="s">
        <v>2401</v>
      </c>
      <c r="B493" s="3" t="e">
        <f ca="1">geturl(Table3[[#This Row],[File]])</f>
        <v>#NAME?</v>
      </c>
      <c r="C493" s="1" t="e">
        <f ca="1">LEFT(Table3[[#This Row],[URL]],LEN(Table3[[#This Row],[URL]])-4)&amp;"raw=1"</f>
        <v>#NAME?</v>
      </c>
    </row>
    <row r="494" spans="1:3" x14ac:dyDescent="0.3">
      <c r="A494" s="1" t="s">
        <v>2402</v>
      </c>
      <c r="B494" s="3" t="e">
        <f ca="1">geturl(Table3[[#This Row],[File]])</f>
        <v>#NAME?</v>
      </c>
      <c r="C494" s="1" t="e">
        <f ca="1">LEFT(Table3[[#This Row],[URL]],LEN(Table3[[#This Row],[URL]])-4)&amp;"raw=1"</f>
        <v>#NAME?</v>
      </c>
    </row>
    <row r="495" spans="1:3" x14ac:dyDescent="0.3">
      <c r="A495" s="1" t="s">
        <v>2403</v>
      </c>
      <c r="B495" s="3" t="e">
        <f ca="1">geturl(Table3[[#This Row],[File]])</f>
        <v>#NAME?</v>
      </c>
      <c r="C495" s="1" t="e">
        <f ca="1">LEFT(Table3[[#This Row],[URL]],LEN(Table3[[#This Row],[URL]])-4)&amp;"raw=1"</f>
        <v>#NAME?</v>
      </c>
    </row>
    <row r="496" spans="1:3" x14ac:dyDescent="0.3">
      <c r="A496" s="1" t="s">
        <v>2404</v>
      </c>
      <c r="B496" s="3" t="e">
        <f ca="1">geturl(Table3[[#This Row],[File]])</f>
        <v>#NAME?</v>
      </c>
      <c r="C496" s="1" t="e">
        <f ca="1">LEFT(Table3[[#This Row],[URL]],LEN(Table3[[#This Row],[URL]])-4)&amp;"raw=1"</f>
        <v>#NAME?</v>
      </c>
    </row>
    <row r="497" spans="1:3" x14ac:dyDescent="0.3">
      <c r="A497" s="1" t="s">
        <v>2405</v>
      </c>
      <c r="B497" s="3" t="e">
        <f ca="1">geturl(Table3[[#This Row],[File]])</f>
        <v>#NAME?</v>
      </c>
      <c r="C497" s="1" t="e">
        <f ca="1">LEFT(Table3[[#This Row],[URL]],LEN(Table3[[#This Row],[URL]])-4)&amp;"raw=1"</f>
        <v>#NAME?</v>
      </c>
    </row>
    <row r="498" spans="1:3" x14ac:dyDescent="0.3">
      <c r="A498" s="1" t="s">
        <v>2406</v>
      </c>
      <c r="B498" s="3" t="e">
        <f ca="1">geturl(Table3[[#This Row],[File]])</f>
        <v>#NAME?</v>
      </c>
      <c r="C498" s="1" t="e">
        <f ca="1">LEFT(Table3[[#This Row],[URL]],LEN(Table3[[#This Row],[URL]])-4)&amp;"raw=1"</f>
        <v>#NAME?</v>
      </c>
    </row>
    <row r="499" spans="1:3" x14ac:dyDescent="0.3">
      <c r="A499" s="1" t="s">
        <v>2407</v>
      </c>
      <c r="B499" s="3" t="e">
        <f ca="1">geturl(Table3[[#This Row],[File]])</f>
        <v>#NAME?</v>
      </c>
      <c r="C499" s="1" t="e">
        <f ca="1">LEFT(Table3[[#This Row],[URL]],LEN(Table3[[#This Row],[URL]])-4)&amp;"raw=1"</f>
        <v>#NAME?</v>
      </c>
    </row>
    <row r="500" spans="1:3" x14ac:dyDescent="0.3">
      <c r="A500" s="1" t="s">
        <v>2408</v>
      </c>
      <c r="B500" s="3" t="e">
        <f ca="1">geturl(Table3[[#This Row],[File]])</f>
        <v>#NAME?</v>
      </c>
      <c r="C500" s="1" t="e">
        <f ca="1">LEFT(Table3[[#This Row],[URL]],LEN(Table3[[#This Row],[URL]])-4)&amp;"raw=1"</f>
        <v>#NAME?</v>
      </c>
    </row>
    <row r="501" spans="1:3" x14ac:dyDescent="0.3">
      <c r="A501" s="1" t="s">
        <v>2409</v>
      </c>
      <c r="B501" s="3" t="e">
        <f ca="1">geturl(Table3[[#This Row],[File]])</f>
        <v>#NAME?</v>
      </c>
      <c r="C501" s="1" t="e">
        <f ca="1">LEFT(Table3[[#This Row],[URL]],LEN(Table3[[#This Row],[URL]])-4)&amp;"raw=1"</f>
        <v>#NAME?</v>
      </c>
    </row>
    <row r="502" spans="1:3" x14ac:dyDescent="0.3">
      <c r="A502" s="1" t="s">
        <v>2410</v>
      </c>
      <c r="B502" s="3" t="e">
        <f ca="1">geturl(Table3[[#This Row],[File]])</f>
        <v>#NAME?</v>
      </c>
      <c r="C502" s="1" t="e">
        <f ca="1">LEFT(Table3[[#This Row],[URL]],LEN(Table3[[#This Row],[URL]])-4)&amp;"raw=1"</f>
        <v>#NAME?</v>
      </c>
    </row>
    <row r="503" spans="1:3" x14ac:dyDescent="0.3">
      <c r="A503" s="1" t="s">
        <v>2411</v>
      </c>
      <c r="B503" s="3" t="e">
        <f ca="1">geturl(Table3[[#This Row],[File]])</f>
        <v>#NAME?</v>
      </c>
      <c r="C503" s="1" t="e">
        <f ca="1">LEFT(Table3[[#This Row],[URL]],LEN(Table3[[#This Row],[URL]])-4)&amp;"raw=1"</f>
        <v>#NAME?</v>
      </c>
    </row>
    <row r="504" spans="1:3" x14ac:dyDescent="0.3">
      <c r="A504" s="1" t="s">
        <v>2412</v>
      </c>
      <c r="B504" s="3" t="e">
        <f ca="1">geturl(Table3[[#This Row],[File]])</f>
        <v>#NAME?</v>
      </c>
      <c r="C504" s="1" t="e">
        <f ca="1">LEFT(Table3[[#This Row],[URL]],LEN(Table3[[#This Row],[URL]])-4)&amp;"raw=1"</f>
        <v>#NAME?</v>
      </c>
    </row>
    <row r="505" spans="1:3" x14ac:dyDescent="0.3">
      <c r="A505" s="1" t="s">
        <v>241</v>
      </c>
      <c r="B505" s="3" t="e">
        <f ca="1">geturl(Table3[[#This Row],[File]])</f>
        <v>#NAME?</v>
      </c>
      <c r="C505" s="1" t="e">
        <f ca="1">LEFT(Table3[[#This Row],[URL]],LEN(Table3[[#This Row],[URL]])-4)&amp;"raw=1"</f>
        <v>#NAME?</v>
      </c>
    </row>
    <row r="506" spans="1:3" x14ac:dyDescent="0.3">
      <c r="A506" s="1" t="s">
        <v>2413</v>
      </c>
      <c r="B506" s="3" t="e">
        <f ca="1">geturl(Table3[[#This Row],[File]])</f>
        <v>#NAME?</v>
      </c>
      <c r="C506" s="1" t="e">
        <f ca="1">LEFT(Table3[[#This Row],[URL]],LEN(Table3[[#This Row],[URL]])-4)&amp;"raw=1"</f>
        <v>#NAME?</v>
      </c>
    </row>
    <row r="507" spans="1:3" x14ac:dyDescent="0.3">
      <c r="A507" s="1" t="s">
        <v>242</v>
      </c>
      <c r="B507" s="3" t="e">
        <f ca="1">geturl(Table3[[#This Row],[File]])</f>
        <v>#NAME?</v>
      </c>
      <c r="C507" s="1" t="e">
        <f ca="1">LEFT(Table3[[#This Row],[URL]],LEN(Table3[[#This Row],[URL]])-4)&amp;"raw=1"</f>
        <v>#NAME?</v>
      </c>
    </row>
    <row r="508" spans="1:3" x14ac:dyDescent="0.3">
      <c r="A508" s="1" t="s">
        <v>2414</v>
      </c>
      <c r="B508" s="3" t="e">
        <f ca="1">geturl(Table3[[#This Row],[File]])</f>
        <v>#NAME?</v>
      </c>
      <c r="C508" s="1" t="e">
        <f ca="1">LEFT(Table3[[#This Row],[URL]],LEN(Table3[[#This Row],[URL]])-4)&amp;"raw=1"</f>
        <v>#NAME?</v>
      </c>
    </row>
    <row r="509" spans="1:3" x14ac:dyDescent="0.3">
      <c r="A509" s="1" t="s">
        <v>2415</v>
      </c>
      <c r="B509" s="3" t="e">
        <f ca="1">geturl(Table3[[#This Row],[File]])</f>
        <v>#NAME?</v>
      </c>
      <c r="C509" s="1" t="e">
        <f ca="1">LEFT(Table3[[#This Row],[URL]],LEN(Table3[[#This Row],[URL]])-4)&amp;"raw=1"</f>
        <v>#NAME?</v>
      </c>
    </row>
    <row r="510" spans="1:3" x14ac:dyDescent="0.3">
      <c r="A510" s="1" t="s">
        <v>2416</v>
      </c>
      <c r="B510" s="3" t="e">
        <f ca="1">geturl(Table3[[#This Row],[File]])</f>
        <v>#NAME?</v>
      </c>
      <c r="C510" s="1" t="e">
        <f ca="1">LEFT(Table3[[#This Row],[URL]],LEN(Table3[[#This Row],[URL]])-4)&amp;"raw=1"</f>
        <v>#NAME?</v>
      </c>
    </row>
    <row r="511" spans="1:3" x14ac:dyDescent="0.3">
      <c r="A511" s="1" t="s">
        <v>2417</v>
      </c>
      <c r="B511" s="3" t="e">
        <f ca="1">geturl(Table3[[#This Row],[File]])</f>
        <v>#NAME?</v>
      </c>
      <c r="C511" s="1" t="e">
        <f ca="1">LEFT(Table3[[#This Row],[URL]],LEN(Table3[[#This Row],[URL]])-4)&amp;"raw=1"</f>
        <v>#NAME?</v>
      </c>
    </row>
    <row r="512" spans="1:3" x14ac:dyDescent="0.3">
      <c r="A512" s="1" t="s">
        <v>2418</v>
      </c>
      <c r="B512" s="3" t="e">
        <f ca="1">geturl(Table3[[#This Row],[File]])</f>
        <v>#NAME?</v>
      </c>
      <c r="C512" s="1" t="e">
        <f ca="1">LEFT(Table3[[#This Row],[URL]],LEN(Table3[[#This Row],[URL]])-4)&amp;"raw=1"</f>
        <v>#NAME?</v>
      </c>
    </row>
    <row r="513" spans="1:3" x14ac:dyDescent="0.3">
      <c r="A513" s="1" t="s">
        <v>2419</v>
      </c>
      <c r="B513" s="3" t="e">
        <f ca="1">geturl(Table3[[#This Row],[File]])</f>
        <v>#NAME?</v>
      </c>
      <c r="C513" s="1" t="e">
        <f ca="1">LEFT(Table3[[#This Row],[URL]],LEN(Table3[[#This Row],[URL]])-4)&amp;"raw=1"</f>
        <v>#NAME?</v>
      </c>
    </row>
    <row r="514" spans="1:3" x14ac:dyDescent="0.3">
      <c r="A514" s="1" t="s">
        <v>2420</v>
      </c>
      <c r="B514" s="3" t="e">
        <f ca="1">geturl(Table3[[#This Row],[File]])</f>
        <v>#NAME?</v>
      </c>
      <c r="C514" s="1" t="e">
        <f ca="1">LEFT(Table3[[#This Row],[URL]],LEN(Table3[[#This Row],[URL]])-4)&amp;"raw=1"</f>
        <v>#NAME?</v>
      </c>
    </row>
    <row r="515" spans="1:3" x14ac:dyDescent="0.3">
      <c r="A515" s="1" t="s">
        <v>243</v>
      </c>
      <c r="B515" s="3" t="e">
        <f ca="1">geturl(Table3[[#This Row],[File]])</f>
        <v>#NAME?</v>
      </c>
      <c r="C515" s="1" t="e">
        <f ca="1">LEFT(Table3[[#This Row],[URL]],LEN(Table3[[#This Row],[URL]])-4)&amp;"raw=1"</f>
        <v>#NAME?</v>
      </c>
    </row>
    <row r="516" spans="1:3" x14ac:dyDescent="0.3">
      <c r="A516" s="1" t="s">
        <v>2421</v>
      </c>
      <c r="B516" s="3" t="e">
        <f ca="1">geturl(Table3[[#This Row],[File]])</f>
        <v>#NAME?</v>
      </c>
      <c r="C516" s="1" t="e">
        <f ca="1">LEFT(Table3[[#This Row],[URL]],LEN(Table3[[#This Row],[URL]])-4)&amp;"raw=1"</f>
        <v>#NAME?</v>
      </c>
    </row>
    <row r="517" spans="1:3" x14ac:dyDescent="0.3">
      <c r="A517" s="1" t="s">
        <v>244</v>
      </c>
      <c r="B517" s="3" t="e">
        <f ca="1">geturl(Table3[[#This Row],[File]])</f>
        <v>#NAME?</v>
      </c>
      <c r="C517" s="1" t="e">
        <f ca="1">LEFT(Table3[[#This Row],[URL]],LEN(Table3[[#This Row],[URL]])-4)&amp;"raw=1"</f>
        <v>#NAME?</v>
      </c>
    </row>
    <row r="518" spans="1:3" x14ac:dyDescent="0.3">
      <c r="A518" s="1" t="s">
        <v>2422</v>
      </c>
      <c r="B518" s="3" t="e">
        <f ca="1">geturl(Table3[[#This Row],[File]])</f>
        <v>#NAME?</v>
      </c>
      <c r="C518" s="1" t="e">
        <f ca="1">LEFT(Table3[[#This Row],[URL]],LEN(Table3[[#This Row],[URL]])-4)&amp;"raw=1"</f>
        <v>#NAME?</v>
      </c>
    </row>
    <row r="519" spans="1:3" x14ac:dyDescent="0.3">
      <c r="A519" s="1" t="s">
        <v>2423</v>
      </c>
      <c r="B519" s="3" t="e">
        <f ca="1">geturl(Table3[[#This Row],[File]])</f>
        <v>#NAME?</v>
      </c>
      <c r="C519" s="1" t="e">
        <f ca="1">LEFT(Table3[[#This Row],[URL]],LEN(Table3[[#This Row],[URL]])-4)&amp;"raw=1"</f>
        <v>#NAME?</v>
      </c>
    </row>
    <row r="520" spans="1:3" x14ac:dyDescent="0.3">
      <c r="A520" s="1" t="s">
        <v>245</v>
      </c>
      <c r="B520" s="3" t="e">
        <f ca="1">geturl(Table3[[#This Row],[File]])</f>
        <v>#NAME?</v>
      </c>
      <c r="C520" s="1" t="e">
        <f ca="1">LEFT(Table3[[#This Row],[URL]],LEN(Table3[[#This Row],[URL]])-4)&amp;"raw=1"</f>
        <v>#NAME?</v>
      </c>
    </row>
    <row r="521" spans="1:3" x14ac:dyDescent="0.3">
      <c r="A521" s="1" t="s">
        <v>2424</v>
      </c>
      <c r="B521" s="3" t="e">
        <f ca="1">geturl(Table3[[#This Row],[File]])</f>
        <v>#NAME?</v>
      </c>
      <c r="C521" s="1" t="e">
        <f ca="1">LEFT(Table3[[#This Row],[URL]],LEN(Table3[[#This Row],[URL]])-4)&amp;"raw=1"</f>
        <v>#NAME?</v>
      </c>
    </row>
    <row r="522" spans="1:3" x14ac:dyDescent="0.3">
      <c r="A522" s="1" t="s">
        <v>246</v>
      </c>
      <c r="B522" s="3" t="e">
        <f ca="1">geturl(Table3[[#This Row],[File]])</f>
        <v>#NAME?</v>
      </c>
      <c r="C522" s="1" t="e">
        <f ca="1">LEFT(Table3[[#This Row],[URL]],LEN(Table3[[#This Row],[URL]])-4)&amp;"raw=1"</f>
        <v>#NAME?</v>
      </c>
    </row>
    <row r="523" spans="1:3" x14ac:dyDescent="0.3">
      <c r="A523" s="1" t="s">
        <v>2425</v>
      </c>
      <c r="B523" s="3" t="e">
        <f ca="1">geturl(Table3[[#This Row],[File]])</f>
        <v>#NAME?</v>
      </c>
      <c r="C523" s="1" t="e">
        <f ca="1">LEFT(Table3[[#This Row],[URL]],LEN(Table3[[#This Row],[URL]])-4)&amp;"raw=1"</f>
        <v>#NAME?</v>
      </c>
    </row>
    <row r="524" spans="1:3" x14ac:dyDescent="0.3">
      <c r="A524" s="1" t="s">
        <v>247</v>
      </c>
      <c r="B524" s="3" t="e">
        <f ca="1">geturl(Table3[[#This Row],[File]])</f>
        <v>#NAME?</v>
      </c>
      <c r="C524" s="1" t="e">
        <f ca="1">LEFT(Table3[[#This Row],[URL]],LEN(Table3[[#This Row],[URL]])-4)&amp;"raw=1"</f>
        <v>#NAME?</v>
      </c>
    </row>
    <row r="525" spans="1:3" x14ac:dyDescent="0.3">
      <c r="A525" s="1" t="s">
        <v>2426</v>
      </c>
      <c r="B525" s="3" t="e">
        <f ca="1">geturl(Table3[[#This Row],[File]])</f>
        <v>#NAME?</v>
      </c>
      <c r="C525" s="1" t="e">
        <f ca="1">LEFT(Table3[[#This Row],[URL]],LEN(Table3[[#This Row],[URL]])-4)&amp;"raw=1"</f>
        <v>#NAME?</v>
      </c>
    </row>
    <row r="526" spans="1:3" x14ac:dyDescent="0.3">
      <c r="A526" s="1" t="s">
        <v>2427</v>
      </c>
      <c r="B526" s="3" t="e">
        <f ca="1">geturl(Table3[[#This Row],[File]])</f>
        <v>#NAME?</v>
      </c>
      <c r="C526" s="1" t="e">
        <f ca="1">LEFT(Table3[[#This Row],[URL]],LEN(Table3[[#This Row],[URL]])-4)&amp;"raw=1"</f>
        <v>#NAME?</v>
      </c>
    </row>
    <row r="527" spans="1:3" x14ac:dyDescent="0.3">
      <c r="A527" s="1" t="s">
        <v>2428</v>
      </c>
      <c r="B527" s="3" t="e">
        <f ca="1">geturl(Table3[[#This Row],[File]])</f>
        <v>#NAME?</v>
      </c>
      <c r="C527" s="1" t="e">
        <f ca="1">LEFT(Table3[[#This Row],[URL]],LEN(Table3[[#This Row],[URL]])-4)&amp;"raw=1"</f>
        <v>#NAME?</v>
      </c>
    </row>
    <row r="528" spans="1:3" x14ac:dyDescent="0.3">
      <c r="A528" s="1" t="s">
        <v>248</v>
      </c>
      <c r="B528" s="3" t="e">
        <f ca="1">geturl(Table3[[#This Row],[File]])</f>
        <v>#NAME?</v>
      </c>
      <c r="C528" s="1" t="e">
        <f ca="1">LEFT(Table3[[#This Row],[URL]],LEN(Table3[[#This Row],[URL]])-4)&amp;"raw=1"</f>
        <v>#NAME?</v>
      </c>
    </row>
    <row r="529" spans="1:3" x14ac:dyDescent="0.3">
      <c r="A529" s="1" t="s">
        <v>2429</v>
      </c>
      <c r="B529" s="3" t="e">
        <f ca="1">geturl(Table3[[#This Row],[File]])</f>
        <v>#NAME?</v>
      </c>
      <c r="C529" s="1" t="e">
        <f ca="1">LEFT(Table3[[#This Row],[URL]],LEN(Table3[[#This Row],[URL]])-4)&amp;"raw=1"</f>
        <v>#NAME?</v>
      </c>
    </row>
    <row r="530" spans="1:3" x14ac:dyDescent="0.3">
      <c r="A530" s="1" t="s">
        <v>249</v>
      </c>
      <c r="B530" s="3" t="e">
        <f ca="1">geturl(Table3[[#This Row],[File]])</f>
        <v>#NAME?</v>
      </c>
      <c r="C530" s="1" t="e">
        <f ca="1">LEFT(Table3[[#This Row],[URL]],LEN(Table3[[#This Row],[URL]])-4)&amp;"raw=1"</f>
        <v>#NAME?</v>
      </c>
    </row>
    <row r="531" spans="1:3" x14ac:dyDescent="0.3">
      <c r="A531" s="1" t="s">
        <v>250</v>
      </c>
      <c r="B531" s="3" t="e">
        <f ca="1">geturl(Table3[[#This Row],[File]])</f>
        <v>#NAME?</v>
      </c>
      <c r="C531" s="1" t="e">
        <f ca="1">LEFT(Table3[[#This Row],[URL]],LEN(Table3[[#This Row],[URL]])-4)&amp;"raw=1"</f>
        <v>#NAME?</v>
      </c>
    </row>
    <row r="532" spans="1:3" x14ac:dyDescent="0.3">
      <c r="A532" s="1" t="s">
        <v>2430</v>
      </c>
      <c r="B532" s="3" t="e">
        <f ca="1">geturl(Table3[[#This Row],[File]])</f>
        <v>#NAME?</v>
      </c>
      <c r="C532" s="1" t="e">
        <f ca="1">LEFT(Table3[[#This Row],[URL]],LEN(Table3[[#This Row],[URL]])-4)&amp;"raw=1"</f>
        <v>#NAME?</v>
      </c>
    </row>
    <row r="533" spans="1:3" x14ac:dyDescent="0.3">
      <c r="A533" s="1" t="s">
        <v>2431</v>
      </c>
      <c r="B533" s="3" t="e">
        <f ca="1">geturl(Table3[[#This Row],[File]])</f>
        <v>#NAME?</v>
      </c>
      <c r="C533" s="1" t="e">
        <f ca="1">LEFT(Table3[[#This Row],[URL]],LEN(Table3[[#This Row],[URL]])-4)&amp;"raw=1"</f>
        <v>#NAME?</v>
      </c>
    </row>
    <row r="534" spans="1:3" x14ac:dyDescent="0.3">
      <c r="A534" s="1" t="s">
        <v>2432</v>
      </c>
      <c r="B534" s="3" t="e">
        <f ca="1">geturl(Table3[[#This Row],[File]])</f>
        <v>#NAME?</v>
      </c>
      <c r="C534" s="1" t="e">
        <f ca="1">LEFT(Table3[[#This Row],[URL]],LEN(Table3[[#This Row],[URL]])-4)&amp;"raw=1"</f>
        <v>#NAME?</v>
      </c>
    </row>
    <row r="535" spans="1:3" x14ac:dyDescent="0.3">
      <c r="A535" s="1" t="s">
        <v>251</v>
      </c>
      <c r="B535" s="3" t="e">
        <f ca="1">geturl(Table3[[#This Row],[File]])</f>
        <v>#NAME?</v>
      </c>
      <c r="C535" s="1" t="e">
        <f ca="1">LEFT(Table3[[#This Row],[URL]],LEN(Table3[[#This Row],[URL]])-4)&amp;"raw=1"</f>
        <v>#NAME?</v>
      </c>
    </row>
    <row r="536" spans="1:3" x14ac:dyDescent="0.3">
      <c r="A536" s="1" t="s">
        <v>2433</v>
      </c>
      <c r="B536" s="3" t="e">
        <f ca="1">geturl(Table3[[#This Row],[File]])</f>
        <v>#NAME?</v>
      </c>
      <c r="C536" s="1" t="e">
        <f ca="1">LEFT(Table3[[#This Row],[URL]],LEN(Table3[[#This Row],[URL]])-4)&amp;"raw=1"</f>
        <v>#NAME?</v>
      </c>
    </row>
    <row r="537" spans="1:3" x14ac:dyDescent="0.3">
      <c r="A537" s="1" t="s">
        <v>2434</v>
      </c>
      <c r="B537" s="3" t="e">
        <f ca="1">geturl(Table3[[#This Row],[File]])</f>
        <v>#NAME?</v>
      </c>
      <c r="C537" s="1" t="e">
        <f ca="1">LEFT(Table3[[#This Row],[URL]],LEN(Table3[[#This Row],[URL]])-4)&amp;"raw=1"</f>
        <v>#NAME?</v>
      </c>
    </row>
    <row r="538" spans="1:3" x14ac:dyDescent="0.3">
      <c r="A538" s="1" t="s">
        <v>2435</v>
      </c>
      <c r="B538" s="3" t="e">
        <f ca="1">geturl(Table3[[#This Row],[File]])</f>
        <v>#NAME?</v>
      </c>
      <c r="C538" s="1" t="e">
        <f ca="1">LEFT(Table3[[#This Row],[URL]],LEN(Table3[[#This Row],[URL]])-4)&amp;"raw=1"</f>
        <v>#NAME?</v>
      </c>
    </row>
    <row r="539" spans="1:3" x14ac:dyDescent="0.3">
      <c r="A539" s="1" t="s">
        <v>2436</v>
      </c>
      <c r="B539" s="3" t="e">
        <f ca="1">geturl(Table3[[#This Row],[File]])</f>
        <v>#NAME?</v>
      </c>
      <c r="C539" s="1" t="e">
        <f ca="1">LEFT(Table3[[#This Row],[URL]],LEN(Table3[[#This Row],[URL]])-4)&amp;"raw=1"</f>
        <v>#NAME?</v>
      </c>
    </row>
    <row r="540" spans="1:3" x14ac:dyDescent="0.3">
      <c r="A540" s="1" t="s">
        <v>2437</v>
      </c>
      <c r="B540" s="3" t="e">
        <f ca="1">geturl(Table3[[#This Row],[File]])</f>
        <v>#NAME?</v>
      </c>
      <c r="C540" s="1" t="e">
        <f ca="1">LEFT(Table3[[#This Row],[URL]],LEN(Table3[[#This Row],[URL]])-4)&amp;"raw=1"</f>
        <v>#NAME?</v>
      </c>
    </row>
    <row r="541" spans="1:3" x14ac:dyDescent="0.3">
      <c r="A541" s="1" t="s">
        <v>2438</v>
      </c>
      <c r="B541" s="3" t="e">
        <f ca="1">geturl(Table3[[#This Row],[File]])</f>
        <v>#NAME?</v>
      </c>
      <c r="C541" s="1" t="e">
        <f ca="1">LEFT(Table3[[#This Row],[URL]],LEN(Table3[[#This Row],[URL]])-4)&amp;"raw=1"</f>
        <v>#NAME?</v>
      </c>
    </row>
    <row r="542" spans="1:3" x14ac:dyDescent="0.3">
      <c r="A542" s="1" t="s">
        <v>252</v>
      </c>
      <c r="B542" s="3" t="e">
        <f ca="1">geturl(Table3[[#This Row],[File]])</f>
        <v>#NAME?</v>
      </c>
      <c r="C542" s="1" t="e">
        <f ca="1">LEFT(Table3[[#This Row],[URL]],LEN(Table3[[#This Row],[URL]])-4)&amp;"raw=1"</f>
        <v>#NAME?</v>
      </c>
    </row>
    <row r="543" spans="1:3" x14ac:dyDescent="0.3">
      <c r="A543" s="1" t="s">
        <v>2439</v>
      </c>
      <c r="B543" s="3" t="e">
        <f ca="1">geturl(Table3[[#This Row],[File]])</f>
        <v>#NAME?</v>
      </c>
      <c r="C543" s="1" t="e">
        <f ca="1">LEFT(Table3[[#This Row],[URL]],LEN(Table3[[#This Row],[URL]])-4)&amp;"raw=1"</f>
        <v>#NAME?</v>
      </c>
    </row>
    <row r="544" spans="1:3" x14ac:dyDescent="0.3">
      <c r="A544" s="1" t="s">
        <v>253</v>
      </c>
      <c r="B544" s="3" t="e">
        <f ca="1">geturl(Table3[[#This Row],[File]])</f>
        <v>#NAME?</v>
      </c>
      <c r="C544" s="1" t="e">
        <f ca="1">LEFT(Table3[[#This Row],[URL]],LEN(Table3[[#This Row],[URL]])-4)&amp;"raw=1"</f>
        <v>#NAME?</v>
      </c>
    </row>
    <row r="545" spans="1:3" x14ac:dyDescent="0.3">
      <c r="A545" s="1" t="s">
        <v>2440</v>
      </c>
      <c r="B545" s="3" t="e">
        <f ca="1">geturl(Table3[[#This Row],[File]])</f>
        <v>#NAME?</v>
      </c>
      <c r="C545" s="1" t="e">
        <f ca="1">LEFT(Table3[[#This Row],[URL]],LEN(Table3[[#This Row],[URL]])-4)&amp;"raw=1"</f>
        <v>#NAME?</v>
      </c>
    </row>
    <row r="546" spans="1:3" x14ac:dyDescent="0.3">
      <c r="A546" s="1" t="s">
        <v>254</v>
      </c>
      <c r="B546" s="3" t="e">
        <f ca="1">geturl(Table3[[#This Row],[File]])</f>
        <v>#NAME?</v>
      </c>
      <c r="C546" s="1" t="e">
        <f ca="1">LEFT(Table3[[#This Row],[URL]],LEN(Table3[[#This Row],[URL]])-4)&amp;"raw=1"</f>
        <v>#NAME?</v>
      </c>
    </row>
    <row r="547" spans="1:3" x14ac:dyDescent="0.3">
      <c r="A547" s="1" t="s">
        <v>2441</v>
      </c>
      <c r="B547" s="3" t="e">
        <f ca="1">geturl(Table3[[#This Row],[File]])</f>
        <v>#NAME?</v>
      </c>
      <c r="C547" s="1" t="e">
        <f ca="1">LEFT(Table3[[#This Row],[URL]],LEN(Table3[[#This Row],[URL]])-4)&amp;"raw=1"</f>
        <v>#NAME?</v>
      </c>
    </row>
    <row r="548" spans="1:3" x14ac:dyDescent="0.3">
      <c r="A548" s="1" t="s">
        <v>2442</v>
      </c>
      <c r="B548" s="3" t="e">
        <f ca="1">geturl(Table3[[#This Row],[File]])</f>
        <v>#NAME?</v>
      </c>
      <c r="C548" s="1" t="e">
        <f ca="1">LEFT(Table3[[#This Row],[URL]],LEN(Table3[[#This Row],[URL]])-4)&amp;"raw=1"</f>
        <v>#NAME?</v>
      </c>
    </row>
    <row r="549" spans="1:3" x14ac:dyDescent="0.3">
      <c r="A549" s="1" t="s">
        <v>2443</v>
      </c>
      <c r="B549" s="3" t="e">
        <f ca="1">geturl(Table3[[#This Row],[File]])</f>
        <v>#NAME?</v>
      </c>
      <c r="C549" s="1" t="e">
        <f ca="1">LEFT(Table3[[#This Row],[URL]],LEN(Table3[[#This Row],[URL]])-4)&amp;"raw=1"</f>
        <v>#NAME?</v>
      </c>
    </row>
    <row r="550" spans="1:3" x14ac:dyDescent="0.3">
      <c r="A550" s="1" t="s">
        <v>2444</v>
      </c>
      <c r="B550" s="3" t="e">
        <f ca="1">geturl(Table3[[#This Row],[File]])</f>
        <v>#NAME?</v>
      </c>
      <c r="C550" s="1" t="e">
        <f ca="1">LEFT(Table3[[#This Row],[URL]],LEN(Table3[[#This Row],[URL]])-4)&amp;"raw=1"</f>
        <v>#NAME?</v>
      </c>
    </row>
    <row r="551" spans="1:3" x14ac:dyDescent="0.3">
      <c r="A551" s="1" t="s">
        <v>2445</v>
      </c>
      <c r="B551" s="3" t="e">
        <f ca="1">geturl(Table3[[#This Row],[File]])</f>
        <v>#NAME?</v>
      </c>
      <c r="C551" s="1" t="e">
        <f ca="1">LEFT(Table3[[#This Row],[URL]],LEN(Table3[[#This Row],[URL]])-4)&amp;"raw=1"</f>
        <v>#NAME?</v>
      </c>
    </row>
    <row r="552" spans="1:3" x14ac:dyDescent="0.3">
      <c r="A552" s="1" t="s">
        <v>2446</v>
      </c>
      <c r="B552" s="3" t="e">
        <f ca="1">geturl(Table3[[#This Row],[File]])</f>
        <v>#NAME?</v>
      </c>
      <c r="C552" s="1" t="e">
        <f ca="1">LEFT(Table3[[#This Row],[URL]],LEN(Table3[[#This Row],[URL]])-4)&amp;"raw=1"</f>
        <v>#NAME?</v>
      </c>
    </row>
    <row r="553" spans="1:3" x14ac:dyDescent="0.3">
      <c r="A553" s="1" t="s">
        <v>2447</v>
      </c>
      <c r="B553" s="3" t="e">
        <f ca="1">geturl(Table3[[#This Row],[File]])</f>
        <v>#NAME?</v>
      </c>
      <c r="C553" s="1" t="e">
        <f ca="1">LEFT(Table3[[#This Row],[URL]],LEN(Table3[[#This Row],[URL]])-4)&amp;"raw=1"</f>
        <v>#NAME?</v>
      </c>
    </row>
    <row r="554" spans="1:3" x14ac:dyDescent="0.3">
      <c r="A554" s="1" t="s">
        <v>2448</v>
      </c>
      <c r="B554" s="3" t="e">
        <f ca="1">geturl(Table3[[#This Row],[File]])</f>
        <v>#NAME?</v>
      </c>
      <c r="C554" s="1" t="e">
        <f ca="1">LEFT(Table3[[#This Row],[URL]],LEN(Table3[[#This Row],[URL]])-4)&amp;"raw=1"</f>
        <v>#NAME?</v>
      </c>
    </row>
    <row r="555" spans="1:3" x14ac:dyDescent="0.3">
      <c r="A555" s="1" t="s">
        <v>2449</v>
      </c>
      <c r="B555" s="3" t="e">
        <f ca="1">geturl(Table3[[#This Row],[File]])</f>
        <v>#NAME?</v>
      </c>
      <c r="C555" s="1" t="e">
        <f ca="1">LEFT(Table3[[#This Row],[URL]],LEN(Table3[[#This Row],[URL]])-4)&amp;"raw=1"</f>
        <v>#NAME?</v>
      </c>
    </row>
    <row r="556" spans="1:3" x14ac:dyDescent="0.3">
      <c r="A556" s="1" t="s">
        <v>2450</v>
      </c>
      <c r="B556" s="3" t="e">
        <f ca="1">geturl(Table3[[#This Row],[File]])</f>
        <v>#NAME?</v>
      </c>
      <c r="C556" s="1" t="e">
        <f ca="1">LEFT(Table3[[#This Row],[URL]],LEN(Table3[[#This Row],[URL]])-4)&amp;"raw=1"</f>
        <v>#NAME?</v>
      </c>
    </row>
    <row r="557" spans="1:3" x14ac:dyDescent="0.3">
      <c r="A557" s="1" t="s">
        <v>2451</v>
      </c>
      <c r="B557" s="3" t="e">
        <f ca="1">geturl(Table3[[#This Row],[File]])</f>
        <v>#NAME?</v>
      </c>
      <c r="C557" s="1" t="e">
        <f ca="1">LEFT(Table3[[#This Row],[URL]],LEN(Table3[[#This Row],[URL]])-4)&amp;"raw=1"</f>
        <v>#NAME?</v>
      </c>
    </row>
    <row r="558" spans="1:3" x14ac:dyDescent="0.3">
      <c r="A558" s="1" t="s">
        <v>255</v>
      </c>
      <c r="B558" s="3" t="e">
        <f ca="1">geturl(Table3[[#This Row],[File]])</f>
        <v>#NAME?</v>
      </c>
      <c r="C558" s="1" t="e">
        <f ca="1">LEFT(Table3[[#This Row],[URL]],LEN(Table3[[#This Row],[URL]])-4)&amp;"raw=1"</f>
        <v>#NAME?</v>
      </c>
    </row>
    <row r="559" spans="1:3" x14ac:dyDescent="0.3">
      <c r="A559" s="1" t="s">
        <v>2452</v>
      </c>
      <c r="B559" s="3" t="e">
        <f ca="1">geturl(Table3[[#This Row],[File]])</f>
        <v>#NAME?</v>
      </c>
      <c r="C559" s="1" t="e">
        <f ca="1">LEFT(Table3[[#This Row],[URL]],LEN(Table3[[#This Row],[URL]])-4)&amp;"raw=1"</f>
        <v>#NAME?</v>
      </c>
    </row>
    <row r="560" spans="1:3" x14ac:dyDescent="0.3">
      <c r="A560" s="1" t="s">
        <v>256</v>
      </c>
      <c r="B560" s="3" t="e">
        <f ca="1">geturl(Table3[[#This Row],[File]])</f>
        <v>#NAME?</v>
      </c>
      <c r="C560" s="1" t="e">
        <f ca="1">LEFT(Table3[[#This Row],[URL]],LEN(Table3[[#This Row],[URL]])-4)&amp;"raw=1"</f>
        <v>#NAME?</v>
      </c>
    </row>
    <row r="561" spans="1:3" x14ac:dyDescent="0.3">
      <c r="A561" s="1" t="s">
        <v>2453</v>
      </c>
      <c r="B561" s="3" t="e">
        <f ca="1">geturl(Table3[[#This Row],[File]])</f>
        <v>#NAME?</v>
      </c>
      <c r="C561" s="1" t="e">
        <f ca="1">LEFT(Table3[[#This Row],[URL]],LEN(Table3[[#This Row],[URL]])-4)&amp;"raw=1"</f>
        <v>#NAME?</v>
      </c>
    </row>
    <row r="562" spans="1:3" x14ac:dyDescent="0.3">
      <c r="A562" s="1" t="s">
        <v>257</v>
      </c>
      <c r="B562" s="3" t="e">
        <f ca="1">geturl(Table3[[#This Row],[File]])</f>
        <v>#NAME?</v>
      </c>
      <c r="C562" s="1" t="e">
        <f ca="1">LEFT(Table3[[#This Row],[URL]],LEN(Table3[[#This Row],[URL]])-4)&amp;"raw=1"</f>
        <v>#NAME?</v>
      </c>
    </row>
    <row r="563" spans="1:3" x14ac:dyDescent="0.3">
      <c r="A563" s="1" t="s">
        <v>2454</v>
      </c>
      <c r="B563" s="3" t="e">
        <f ca="1">geturl(Table3[[#This Row],[File]])</f>
        <v>#NAME?</v>
      </c>
      <c r="C563" s="1" t="e">
        <f ca="1">LEFT(Table3[[#This Row],[URL]],LEN(Table3[[#This Row],[URL]])-4)&amp;"raw=1"</f>
        <v>#NAME?</v>
      </c>
    </row>
    <row r="564" spans="1:3" x14ac:dyDescent="0.3">
      <c r="A564" s="1" t="s">
        <v>258</v>
      </c>
      <c r="B564" s="3" t="e">
        <f ca="1">geturl(Table3[[#This Row],[File]])</f>
        <v>#NAME?</v>
      </c>
      <c r="C564" s="1" t="e">
        <f ca="1">LEFT(Table3[[#This Row],[URL]],LEN(Table3[[#This Row],[URL]])-4)&amp;"raw=1"</f>
        <v>#NAME?</v>
      </c>
    </row>
    <row r="565" spans="1:3" x14ac:dyDescent="0.3">
      <c r="A565" s="1" t="s">
        <v>2455</v>
      </c>
      <c r="B565" s="3" t="e">
        <f ca="1">geturl(Table3[[#This Row],[File]])</f>
        <v>#NAME?</v>
      </c>
      <c r="C565" s="1" t="e">
        <f ca="1">LEFT(Table3[[#This Row],[URL]],LEN(Table3[[#This Row],[URL]])-4)&amp;"raw=1"</f>
        <v>#NAME?</v>
      </c>
    </row>
    <row r="566" spans="1:3" x14ac:dyDescent="0.3">
      <c r="A566" s="1" t="s">
        <v>259</v>
      </c>
      <c r="B566" s="3" t="e">
        <f ca="1">geturl(Table3[[#This Row],[File]])</f>
        <v>#NAME?</v>
      </c>
      <c r="C566" s="1" t="e">
        <f ca="1">LEFT(Table3[[#This Row],[URL]],LEN(Table3[[#This Row],[URL]])-4)&amp;"raw=1"</f>
        <v>#NAME?</v>
      </c>
    </row>
    <row r="567" spans="1:3" x14ac:dyDescent="0.3">
      <c r="A567" s="1" t="s">
        <v>2456</v>
      </c>
      <c r="B567" s="3" t="e">
        <f ca="1">geturl(Table3[[#This Row],[File]])</f>
        <v>#NAME?</v>
      </c>
      <c r="C567" s="1" t="e">
        <f ca="1">LEFT(Table3[[#This Row],[URL]],LEN(Table3[[#This Row],[URL]])-4)&amp;"raw=1"</f>
        <v>#NAME?</v>
      </c>
    </row>
    <row r="568" spans="1:3" x14ac:dyDescent="0.3">
      <c r="A568" s="1" t="s">
        <v>260</v>
      </c>
      <c r="B568" s="3" t="e">
        <f ca="1">geturl(Table3[[#This Row],[File]])</f>
        <v>#NAME?</v>
      </c>
      <c r="C568" s="1" t="e">
        <f ca="1">LEFT(Table3[[#This Row],[URL]],LEN(Table3[[#This Row],[URL]])-4)&amp;"raw=1"</f>
        <v>#NAME?</v>
      </c>
    </row>
    <row r="569" spans="1:3" x14ac:dyDescent="0.3">
      <c r="A569" s="1" t="s">
        <v>2457</v>
      </c>
      <c r="B569" s="3" t="e">
        <f ca="1">geturl(Table3[[#This Row],[File]])</f>
        <v>#NAME?</v>
      </c>
      <c r="C569" s="1" t="e">
        <f ca="1">LEFT(Table3[[#This Row],[URL]],LEN(Table3[[#This Row],[URL]])-4)&amp;"raw=1"</f>
        <v>#NAME?</v>
      </c>
    </row>
    <row r="570" spans="1:3" x14ac:dyDescent="0.3">
      <c r="A570" s="1" t="s">
        <v>261</v>
      </c>
      <c r="B570" s="3" t="e">
        <f ca="1">geturl(Table3[[#This Row],[File]])</f>
        <v>#NAME?</v>
      </c>
      <c r="C570" s="1" t="e">
        <f ca="1">LEFT(Table3[[#This Row],[URL]],LEN(Table3[[#This Row],[URL]])-4)&amp;"raw=1"</f>
        <v>#NAME?</v>
      </c>
    </row>
    <row r="571" spans="1:3" x14ac:dyDescent="0.3">
      <c r="A571" s="1" t="s">
        <v>2458</v>
      </c>
      <c r="B571" s="3" t="e">
        <f ca="1">geturl(Table3[[#This Row],[File]])</f>
        <v>#NAME?</v>
      </c>
      <c r="C571" s="1" t="e">
        <f ca="1">LEFT(Table3[[#This Row],[URL]],LEN(Table3[[#This Row],[URL]])-4)&amp;"raw=1"</f>
        <v>#NAME?</v>
      </c>
    </row>
    <row r="572" spans="1:3" x14ac:dyDescent="0.3">
      <c r="A572" s="1" t="s">
        <v>262</v>
      </c>
      <c r="B572" s="3" t="e">
        <f ca="1">geturl(Table3[[#This Row],[File]])</f>
        <v>#NAME?</v>
      </c>
      <c r="C572" s="1" t="e">
        <f ca="1">LEFT(Table3[[#This Row],[URL]],LEN(Table3[[#This Row],[URL]])-4)&amp;"raw=1"</f>
        <v>#NAME?</v>
      </c>
    </row>
    <row r="573" spans="1:3" x14ac:dyDescent="0.3">
      <c r="A573" s="1" t="s">
        <v>2459</v>
      </c>
      <c r="B573" s="3" t="e">
        <f ca="1">geturl(Table3[[#This Row],[File]])</f>
        <v>#NAME?</v>
      </c>
      <c r="C573" s="1" t="e">
        <f ca="1">LEFT(Table3[[#This Row],[URL]],LEN(Table3[[#This Row],[URL]])-4)&amp;"raw=1"</f>
        <v>#NAME?</v>
      </c>
    </row>
    <row r="574" spans="1:3" x14ac:dyDescent="0.3">
      <c r="A574" s="1" t="s">
        <v>263</v>
      </c>
      <c r="B574" s="3" t="e">
        <f ca="1">geturl(Table3[[#This Row],[File]])</f>
        <v>#NAME?</v>
      </c>
      <c r="C574" s="1" t="e">
        <f ca="1">LEFT(Table3[[#This Row],[URL]],LEN(Table3[[#This Row],[URL]])-4)&amp;"raw=1"</f>
        <v>#NAME?</v>
      </c>
    </row>
    <row r="575" spans="1:3" x14ac:dyDescent="0.3">
      <c r="A575" s="1" t="s">
        <v>2460</v>
      </c>
      <c r="B575" s="3" t="e">
        <f ca="1">geturl(Table3[[#This Row],[File]])</f>
        <v>#NAME?</v>
      </c>
      <c r="C575" s="1" t="e">
        <f ca="1">LEFT(Table3[[#This Row],[URL]],LEN(Table3[[#This Row],[URL]])-4)&amp;"raw=1"</f>
        <v>#NAME?</v>
      </c>
    </row>
    <row r="576" spans="1:3" x14ac:dyDescent="0.3">
      <c r="A576" s="1" t="s">
        <v>2461</v>
      </c>
      <c r="B576" s="3" t="e">
        <f ca="1">geturl(Table3[[#This Row],[File]])</f>
        <v>#NAME?</v>
      </c>
      <c r="C576" s="1" t="e">
        <f ca="1">LEFT(Table3[[#This Row],[URL]],LEN(Table3[[#This Row],[URL]])-4)&amp;"raw=1"</f>
        <v>#NAME?</v>
      </c>
    </row>
    <row r="577" spans="1:3" x14ac:dyDescent="0.3">
      <c r="A577" s="1" t="s">
        <v>2462</v>
      </c>
      <c r="B577" s="3" t="e">
        <f ca="1">geturl(Table3[[#This Row],[File]])</f>
        <v>#NAME?</v>
      </c>
      <c r="C577" s="1" t="e">
        <f ca="1">LEFT(Table3[[#This Row],[URL]],LEN(Table3[[#This Row],[URL]])-4)&amp;"raw=1"</f>
        <v>#NAME?</v>
      </c>
    </row>
    <row r="578" spans="1:3" x14ac:dyDescent="0.3">
      <c r="A578" s="1" t="s">
        <v>2463</v>
      </c>
      <c r="B578" s="3" t="e">
        <f ca="1">geturl(Table3[[#This Row],[File]])</f>
        <v>#NAME?</v>
      </c>
      <c r="C578" s="1" t="e">
        <f ca="1">LEFT(Table3[[#This Row],[URL]],LEN(Table3[[#This Row],[URL]])-4)&amp;"raw=1"</f>
        <v>#NAME?</v>
      </c>
    </row>
    <row r="579" spans="1:3" x14ac:dyDescent="0.3">
      <c r="A579" s="1" t="s">
        <v>264</v>
      </c>
      <c r="B579" s="3" t="e">
        <f ca="1">geturl(Table3[[#This Row],[File]])</f>
        <v>#NAME?</v>
      </c>
      <c r="C579" s="1" t="e">
        <f ca="1">LEFT(Table3[[#This Row],[URL]],LEN(Table3[[#This Row],[URL]])-4)&amp;"raw=1"</f>
        <v>#NAME?</v>
      </c>
    </row>
    <row r="580" spans="1:3" x14ac:dyDescent="0.3">
      <c r="A580" s="1" t="s">
        <v>2464</v>
      </c>
      <c r="B580" s="3" t="e">
        <f ca="1">geturl(Table3[[#This Row],[File]])</f>
        <v>#NAME?</v>
      </c>
      <c r="C580" s="1" t="e">
        <f ca="1">LEFT(Table3[[#This Row],[URL]],LEN(Table3[[#This Row],[URL]])-4)&amp;"raw=1"</f>
        <v>#NAME?</v>
      </c>
    </row>
    <row r="581" spans="1:3" x14ac:dyDescent="0.3">
      <c r="A581" s="1" t="s">
        <v>2465</v>
      </c>
      <c r="B581" s="3" t="e">
        <f ca="1">geturl(Table3[[#This Row],[File]])</f>
        <v>#NAME?</v>
      </c>
      <c r="C581" s="1" t="e">
        <f ca="1">LEFT(Table3[[#This Row],[URL]],LEN(Table3[[#This Row],[URL]])-4)&amp;"raw=1"</f>
        <v>#NAME?</v>
      </c>
    </row>
    <row r="582" spans="1:3" x14ac:dyDescent="0.3">
      <c r="A582" s="1" t="s">
        <v>2466</v>
      </c>
      <c r="B582" s="3" t="e">
        <f ca="1">geturl(Table3[[#This Row],[File]])</f>
        <v>#NAME?</v>
      </c>
      <c r="C582" s="1" t="e">
        <f ca="1">LEFT(Table3[[#This Row],[URL]],LEN(Table3[[#This Row],[URL]])-4)&amp;"raw=1"</f>
        <v>#NAME?</v>
      </c>
    </row>
    <row r="583" spans="1:3" x14ac:dyDescent="0.3">
      <c r="A583" s="1" t="s">
        <v>2467</v>
      </c>
      <c r="B583" s="3" t="e">
        <f ca="1">geturl(Table3[[#This Row],[File]])</f>
        <v>#NAME?</v>
      </c>
      <c r="C583" s="1" t="e">
        <f ca="1">LEFT(Table3[[#This Row],[URL]],LEN(Table3[[#This Row],[URL]])-4)&amp;"raw=1"</f>
        <v>#NAME?</v>
      </c>
    </row>
    <row r="584" spans="1:3" x14ac:dyDescent="0.3">
      <c r="A584" s="1" t="s">
        <v>2468</v>
      </c>
      <c r="B584" s="3" t="e">
        <f ca="1">geturl(Table3[[#This Row],[File]])</f>
        <v>#NAME?</v>
      </c>
      <c r="C584" s="1" t="e">
        <f ca="1">LEFT(Table3[[#This Row],[URL]],LEN(Table3[[#This Row],[URL]])-4)&amp;"raw=1"</f>
        <v>#NAME?</v>
      </c>
    </row>
    <row r="585" spans="1:3" x14ac:dyDescent="0.3">
      <c r="A585" s="1" t="s">
        <v>2469</v>
      </c>
      <c r="B585" s="3" t="e">
        <f ca="1">geturl(Table3[[#This Row],[File]])</f>
        <v>#NAME?</v>
      </c>
      <c r="C585" s="1" t="e">
        <f ca="1">LEFT(Table3[[#This Row],[URL]],LEN(Table3[[#This Row],[URL]])-4)&amp;"raw=1"</f>
        <v>#NAME?</v>
      </c>
    </row>
    <row r="586" spans="1:3" x14ac:dyDescent="0.3">
      <c r="A586" s="1" t="s">
        <v>2470</v>
      </c>
      <c r="B586" s="3" t="e">
        <f ca="1">geturl(Table3[[#This Row],[File]])</f>
        <v>#NAME?</v>
      </c>
      <c r="C586" s="1" t="e">
        <f ca="1">LEFT(Table3[[#This Row],[URL]],LEN(Table3[[#This Row],[URL]])-4)&amp;"raw=1"</f>
        <v>#NAME?</v>
      </c>
    </row>
    <row r="587" spans="1:3" x14ac:dyDescent="0.3">
      <c r="A587" s="1" t="s">
        <v>265</v>
      </c>
      <c r="B587" s="3" t="e">
        <f ca="1">geturl(Table3[[#This Row],[File]])</f>
        <v>#NAME?</v>
      </c>
      <c r="C587" s="1" t="e">
        <f ca="1">LEFT(Table3[[#This Row],[URL]],LEN(Table3[[#This Row],[URL]])-4)&amp;"raw=1"</f>
        <v>#NAME?</v>
      </c>
    </row>
    <row r="588" spans="1:3" x14ac:dyDescent="0.3">
      <c r="A588" s="1" t="s">
        <v>266</v>
      </c>
      <c r="B588" s="3" t="e">
        <f ca="1">geturl(Table3[[#This Row],[File]])</f>
        <v>#NAME?</v>
      </c>
      <c r="C588" s="1" t="e">
        <f ca="1">LEFT(Table3[[#This Row],[URL]],LEN(Table3[[#This Row],[URL]])-4)&amp;"raw=1"</f>
        <v>#NAME?</v>
      </c>
    </row>
    <row r="589" spans="1:3" x14ac:dyDescent="0.3">
      <c r="A589" s="1" t="s">
        <v>2471</v>
      </c>
      <c r="B589" s="3" t="e">
        <f ca="1">geturl(Table3[[#This Row],[File]])</f>
        <v>#NAME?</v>
      </c>
      <c r="C589" s="1" t="e">
        <f ca="1">LEFT(Table3[[#This Row],[URL]],LEN(Table3[[#This Row],[URL]])-4)&amp;"raw=1"</f>
        <v>#NAME?</v>
      </c>
    </row>
    <row r="590" spans="1:3" x14ac:dyDescent="0.3">
      <c r="A590" s="1" t="s">
        <v>267</v>
      </c>
      <c r="B590" s="3" t="e">
        <f ca="1">geturl(Table3[[#This Row],[File]])</f>
        <v>#NAME?</v>
      </c>
      <c r="C590" s="1" t="e">
        <f ca="1">LEFT(Table3[[#This Row],[URL]],LEN(Table3[[#This Row],[URL]])-4)&amp;"raw=1"</f>
        <v>#NAME?</v>
      </c>
    </row>
    <row r="591" spans="1:3" x14ac:dyDescent="0.3">
      <c r="A591" s="1" t="s">
        <v>268</v>
      </c>
      <c r="B591" s="3" t="e">
        <f ca="1">geturl(Table3[[#This Row],[File]])</f>
        <v>#NAME?</v>
      </c>
      <c r="C591" s="1" t="e">
        <f ca="1">LEFT(Table3[[#This Row],[URL]],LEN(Table3[[#This Row],[URL]])-4)&amp;"raw=1"</f>
        <v>#NAME?</v>
      </c>
    </row>
    <row r="592" spans="1:3" x14ac:dyDescent="0.3">
      <c r="A592" s="1" t="s">
        <v>269</v>
      </c>
      <c r="B592" s="3" t="e">
        <f ca="1">geturl(Table3[[#This Row],[File]])</f>
        <v>#NAME?</v>
      </c>
      <c r="C592" s="1" t="e">
        <f ca="1">LEFT(Table3[[#This Row],[URL]],LEN(Table3[[#This Row],[URL]])-4)&amp;"raw=1"</f>
        <v>#NAME?</v>
      </c>
    </row>
    <row r="593" spans="1:3" x14ac:dyDescent="0.3">
      <c r="A593" s="1" t="s">
        <v>270</v>
      </c>
      <c r="B593" s="3" t="e">
        <f ca="1">geturl(Table3[[#This Row],[File]])</f>
        <v>#NAME?</v>
      </c>
      <c r="C593" s="1" t="e">
        <f ca="1">LEFT(Table3[[#This Row],[URL]],LEN(Table3[[#This Row],[URL]])-4)&amp;"raw=1"</f>
        <v>#NAME?</v>
      </c>
    </row>
    <row r="594" spans="1:3" x14ac:dyDescent="0.3">
      <c r="A594" s="1" t="s">
        <v>271</v>
      </c>
      <c r="B594" s="3" t="e">
        <f ca="1">geturl(Table3[[#This Row],[File]])</f>
        <v>#NAME?</v>
      </c>
      <c r="C594" s="1" t="e">
        <f ca="1">LEFT(Table3[[#This Row],[URL]],LEN(Table3[[#This Row],[URL]])-4)&amp;"raw=1"</f>
        <v>#NAME?</v>
      </c>
    </row>
    <row r="595" spans="1:3" x14ac:dyDescent="0.3">
      <c r="A595" s="1" t="s">
        <v>272</v>
      </c>
      <c r="B595" s="3" t="e">
        <f ca="1">geturl(Table3[[#This Row],[File]])</f>
        <v>#NAME?</v>
      </c>
      <c r="C595" s="1" t="e">
        <f ca="1">LEFT(Table3[[#This Row],[URL]],LEN(Table3[[#This Row],[URL]])-4)&amp;"raw=1"</f>
        <v>#NAME?</v>
      </c>
    </row>
    <row r="596" spans="1:3" x14ac:dyDescent="0.3">
      <c r="A596" s="1" t="s">
        <v>273</v>
      </c>
      <c r="B596" s="3" t="e">
        <f ca="1">geturl(Table3[[#This Row],[File]])</f>
        <v>#NAME?</v>
      </c>
      <c r="C596" s="1" t="e">
        <f ca="1">LEFT(Table3[[#This Row],[URL]],LEN(Table3[[#This Row],[URL]])-4)&amp;"raw=1"</f>
        <v>#NAME?</v>
      </c>
    </row>
    <row r="597" spans="1:3" x14ac:dyDescent="0.3">
      <c r="A597" s="1" t="s">
        <v>274</v>
      </c>
      <c r="B597" s="3" t="e">
        <f ca="1">geturl(Table3[[#This Row],[File]])</f>
        <v>#NAME?</v>
      </c>
      <c r="C597" s="1" t="e">
        <f ca="1">LEFT(Table3[[#This Row],[URL]],LEN(Table3[[#This Row],[URL]])-4)&amp;"raw=1"</f>
        <v>#NAME?</v>
      </c>
    </row>
    <row r="598" spans="1:3" x14ac:dyDescent="0.3">
      <c r="A598" s="1" t="s">
        <v>275</v>
      </c>
      <c r="B598" s="3" t="e">
        <f ca="1">geturl(Table3[[#This Row],[File]])</f>
        <v>#NAME?</v>
      </c>
      <c r="C598" s="1" t="e">
        <f ca="1">LEFT(Table3[[#This Row],[URL]],LEN(Table3[[#This Row],[URL]])-4)&amp;"raw=1"</f>
        <v>#NAME?</v>
      </c>
    </row>
    <row r="599" spans="1:3" x14ac:dyDescent="0.3">
      <c r="A599" s="1" t="s">
        <v>276</v>
      </c>
      <c r="B599" s="3" t="e">
        <f ca="1">geturl(Table3[[#This Row],[File]])</f>
        <v>#NAME?</v>
      </c>
      <c r="C599" s="1" t="e">
        <f ca="1">LEFT(Table3[[#This Row],[URL]],LEN(Table3[[#This Row],[URL]])-4)&amp;"raw=1"</f>
        <v>#NAME?</v>
      </c>
    </row>
    <row r="600" spans="1:3" x14ac:dyDescent="0.3">
      <c r="A600" s="1" t="s">
        <v>277</v>
      </c>
      <c r="B600" s="3" t="e">
        <f ca="1">geturl(Table3[[#This Row],[File]])</f>
        <v>#NAME?</v>
      </c>
      <c r="C600" s="1" t="e">
        <f ca="1">LEFT(Table3[[#This Row],[URL]],LEN(Table3[[#This Row],[URL]])-4)&amp;"raw=1"</f>
        <v>#NAME?</v>
      </c>
    </row>
    <row r="601" spans="1:3" x14ac:dyDescent="0.3">
      <c r="A601" s="1" t="s">
        <v>278</v>
      </c>
      <c r="B601" s="3" t="e">
        <f ca="1">geturl(Table3[[#This Row],[File]])</f>
        <v>#NAME?</v>
      </c>
      <c r="C601" s="1" t="e">
        <f ca="1">LEFT(Table3[[#This Row],[URL]],LEN(Table3[[#This Row],[URL]])-4)&amp;"raw=1"</f>
        <v>#NAME?</v>
      </c>
    </row>
    <row r="602" spans="1:3" x14ac:dyDescent="0.3">
      <c r="A602" s="1" t="s">
        <v>279</v>
      </c>
      <c r="B602" s="3" t="e">
        <f ca="1">geturl(Table3[[#This Row],[File]])</f>
        <v>#NAME?</v>
      </c>
      <c r="C602" s="1" t="e">
        <f ca="1">LEFT(Table3[[#This Row],[URL]],LEN(Table3[[#This Row],[URL]])-4)&amp;"raw=1"</f>
        <v>#NAME?</v>
      </c>
    </row>
    <row r="603" spans="1:3" x14ac:dyDescent="0.3">
      <c r="A603" s="1" t="s">
        <v>280</v>
      </c>
      <c r="B603" s="3" t="e">
        <f ca="1">geturl(Table3[[#This Row],[File]])</f>
        <v>#NAME?</v>
      </c>
      <c r="C603" s="1" t="e">
        <f ca="1">LEFT(Table3[[#This Row],[URL]],LEN(Table3[[#This Row],[URL]])-4)&amp;"raw=1"</f>
        <v>#NAME?</v>
      </c>
    </row>
    <row r="604" spans="1:3" x14ac:dyDescent="0.3">
      <c r="A604" s="1" t="s">
        <v>2472</v>
      </c>
      <c r="B604" s="3" t="e">
        <f ca="1">geturl(Table3[[#This Row],[File]])</f>
        <v>#NAME?</v>
      </c>
      <c r="C604" s="1" t="e">
        <f ca="1">LEFT(Table3[[#This Row],[URL]],LEN(Table3[[#This Row],[URL]])-4)&amp;"raw=1"</f>
        <v>#NAME?</v>
      </c>
    </row>
    <row r="605" spans="1:3" x14ac:dyDescent="0.3">
      <c r="A605" s="1" t="s">
        <v>281</v>
      </c>
      <c r="B605" s="3" t="e">
        <f ca="1">geturl(Table3[[#This Row],[File]])</f>
        <v>#NAME?</v>
      </c>
      <c r="C605" s="1" t="e">
        <f ca="1">LEFT(Table3[[#This Row],[URL]],LEN(Table3[[#This Row],[URL]])-4)&amp;"raw=1"</f>
        <v>#NAME?</v>
      </c>
    </row>
    <row r="606" spans="1:3" x14ac:dyDescent="0.3">
      <c r="A606" s="1" t="s">
        <v>2473</v>
      </c>
      <c r="B606" s="3" t="e">
        <f ca="1">geturl(Table3[[#This Row],[File]])</f>
        <v>#NAME?</v>
      </c>
      <c r="C606" s="1" t="e">
        <f ca="1">LEFT(Table3[[#This Row],[URL]],LEN(Table3[[#This Row],[URL]])-4)&amp;"raw=1"</f>
        <v>#NAME?</v>
      </c>
    </row>
    <row r="607" spans="1:3" x14ac:dyDescent="0.3">
      <c r="A607" s="1" t="s">
        <v>282</v>
      </c>
      <c r="B607" s="3" t="e">
        <f ca="1">geturl(Table3[[#This Row],[File]])</f>
        <v>#NAME?</v>
      </c>
      <c r="C607" s="1" t="e">
        <f ca="1">LEFT(Table3[[#This Row],[URL]],LEN(Table3[[#This Row],[URL]])-4)&amp;"raw=1"</f>
        <v>#NAME?</v>
      </c>
    </row>
    <row r="608" spans="1:3" x14ac:dyDescent="0.3">
      <c r="A608" s="1" t="s">
        <v>283</v>
      </c>
      <c r="B608" s="3" t="e">
        <f ca="1">geturl(Table3[[#This Row],[File]])</f>
        <v>#NAME?</v>
      </c>
      <c r="C608" s="1" t="e">
        <f ca="1">LEFT(Table3[[#This Row],[URL]],LEN(Table3[[#This Row],[URL]])-4)&amp;"raw=1"</f>
        <v>#NAME?</v>
      </c>
    </row>
    <row r="609" spans="1:3" x14ac:dyDescent="0.3">
      <c r="A609" s="1" t="s">
        <v>284</v>
      </c>
      <c r="B609" s="3" t="e">
        <f ca="1">geturl(Table3[[#This Row],[File]])</f>
        <v>#NAME?</v>
      </c>
      <c r="C609" s="1" t="e">
        <f ca="1">LEFT(Table3[[#This Row],[URL]],LEN(Table3[[#This Row],[URL]])-4)&amp;"raw=1"</f>
        <v>#NAME?</v>
      </c>
    </row>
    <row r="610" spans="1:3" x14ac:dyDescent="0.3">
      <c r="A610" s="1" t="s">
        <v>2474</v>
      </c>
      <c r="B610" s="3" t="e">
        <f ca="1">geturl(Table3[[#This Row],[File]])</f>
        <v>#NAME?</v>
      </c>
      <c r="C610" s="1" t="e">
        <f ca="1">LEFT(Table3[[#This Row],[URL]],LEN(Table3[[#This Row],[URL]])-4)&amp;"raw=1"</f>
        <v>#NAME?</v>
      </c>
    </row>
    <row r="611" spans="1:3" x14ac:dyDescent="0.3">
      <c r="A611" s="1" t="s">
        <v>285</v>
      </c>
      <c r="B611" s="3" t="e">
        <f ca="1">geturl(Table3[[#This Row],[File]])</f>
        <v>#NAME?</v>
      </c>
      <c r="C611" s="1" t="e">
        <f ca="1">LEFT(Table3[[#This Row],[URL]],LEN(Table3[[#This Row],[URL]])-4)&amp;"raw=1"</f>
        <v>#NAME?</v>
      </c>
    </row>
    <row r="612" spans="1:3" x14ac:dyDescent="0.3">
      <c r="A612" s="1" t="s">
        <v>286</v>
      </c>
      <c r="B612" s="3" t="e">
        <f ca="1">geturl(Table3[[#This Row],[File]])</f>
        <v>#NAME?</v>
      </c>
      <c r="C612" s="1" t="e">
        <f ca="1">LEFT(Table3[[#This Row],[URL]],LEN(Table3[[#This Row],[URL]])-4)&amp;"raw=1"</f>
        <v>#NAME?</v>
      </c>
    </row>
    <row r="613" spans="1:3" x14ac:dyDescent="0.3">
      <c r="A613" s="1" t="s">
        <v>287</v>
      </c>
      <c r="B613" s="3" t="e">
        <f ca="1">geturl(Table3[[#This Row],[File]])</f>
        <v>#NAME?</v>
      </c>
      <c r="C613" s="1" t="e">
        <f ca="1">LEFT(Table3[[#This Row],[URL]],LEN(Table3[[#This Row],[URL]])-4)&amp;"raw=1"</f>
        <v>#NAME?</v>
      </c>
    </row>
    <row r="614" spans="1:3" x14ac:dyDescent="0.3">
      <c r="A614" s="1" t="s">
        <v>288</v>
      </c>
      <c r="B614" s="3" t="e">
        <f ca="1">geturl(Table3[[#This Row],[File]])</f>
        <v>#NAME?</v>
      </c>
      <c r="C614" s="1" t="e">
        <f ca="1">LEFT(Table3[[#This Row],[URL]],LEN(Table3[[#This Row],[URL]])-4)&amp;"raw=1"</f>
        <v>#NAME?</v>
      </c>
    </row>
    <row r="615" spans="1:3" x14ac:dyDescent="0.3">
      <c r="A615" s="1" t="s">
        <v>289</v>
      </c>
      <c r="B615" s="3" t="e">
        <f ca="1">geturl(Table3[[#This Row],[File]])</f>
        <v>#NAME?</v>
      </c>
      <c r="C615" s="1" t="e">
        <f ca="1">LEFT(Table3[[#This Row],[URL]],LEN(Table3[[#This Row],[URL]])-4)&amp;"raw=1"</f>
        <v>#NAME?</v>
      </c>
    </row>
    <row r="616" spans="1:3" x14ac:dyDescent="0.3">
      <c r="A616" s="1" t="s">
        <v>290</v>
      </c>
      <c r="B616" s="3" t="e">
        <f ca="1">geturl(Table3[[#This Row],[File]])</f>
        <v>#NAME?</v>
      </c>
      <c r="C616" s="1" t="e">
        <f ca="1">LEFT(Table3[[#This Row],[URL]],LEN(Table3[[#This Row],[URL]])-4)&amp;"raw=1"</f>
        <v>#NAME?</v>
      </c>
    </row>
    <row r="617" spans="1:3" x14ac:dyDescent="0.3">
      <c r="A617" s="1" t="s">
        <v>2475</v>
      </c>
      <c r="B617" s="3" t="e">
        <f ca="1">geturl(Table3[[#This Row],[File]])</f>
        <v>#NAME?</v>
      </c>
      <c r="C617" s="1" t="e">
        <f ca="1">LEFT(Table3[[#This Row],[URL]],LEN(Table3[[#This Row],[URL]])-4)&amp;"raw=1"</f>
        <v>#NAME?</v>
      </c>
    </row>
    <row r="618" spans="1:3" x14ac:dyDescent="0.3">
      <c r="A618" s="1" t="s">
        <v>2476</v>
      </c>
      <c r="B618" s="3" t="e">
        <f ca="1">geturl(Table3[[#This Row],[File]])</f>
        <v>#NAME?</v>
      </c>
      <c r="C618" s="1" t="e">
        <f ca="1">LEFT(Table3[[#This Row],[URL]],LEN(Table3[[#This Row],[URL]])-4)&amp;"raw=1"</f>
        <v>#NAME?</v>
      </c>
    </row>
    <row r="619" spans="1:3" x14ac:dyDescent="0.3">
      <c r="A619" s="1" t="s">
        <v>291</v>
      </c>
      <c r="B619" s="3" t="e">
        <f ca="1">geturl(Table3[[#This Row],[File]])</f>
        <v>#NAME?</v>
      </c>
      <c r="C619" s="1" t="e">
        <f ca="1">LEFT(Table3[[#This Row],[URL]],LEN(Table3[[#This Row],[URL]])-4)&amp;"raw=1"</f>
        <v>#NAME?</v>
      </c>
    </row>
    <row r="620" spans="1:3" x14ac:dyDescent="0.3">
      <c r="A620" s="1" t="s">
        <v>292</v>
      </c>
      <c r="B620" s="3" t="e">
        <f ca="1">geturl(Table3[[#This Row],[File]])</f>
        <v>#NAME?</v>
      </c>
      <c r="C620" s="1" t="e">
        <f ca="1">LEFT(Table3[[#This Row],[URL]],LEN(Table3[[#This Row],[URL]])-4)&amp;"raw=1"</f>
        <v>#NAME?</v>
      </c>
    </row>
    <row r="621" spans="1:3" x14ac:dyDescent="0.3">
      <c r="A621" s="1" t="s">
        <v>2477</v>
      </c>
      <c r="B621" s="3" t="e">
        <f ca="1">geturl(Table3[[#This Row],[File]])</f>
        <v>#NAME?</v>
      </c>
      <c r="C621" s="1" t="e">
        <f ca="1">LEFT(Table3[[#This Row],[URL]],LEN(Table3[[#This Row],[URL]])-4)&amp;"raw=1"</f>
        <v>#NAME?</v>
      </c>
    </row>
    <row r="622" spans="1:3" x14ac:dyDescent="0.3">
      <c r="A622" s="1" t="s">
        <v>2478</v>
      </c>
      <c r="B622" s="3" t="e">
        <f ca="1">geturl(Table3[[#This Row],[File]])</f>
        <v>#NAME?</v>
      </c>
      <c r="C622" s="1" t="e">
        <f ca="1">LEFT(Table3[[#This Row],[URL]],LEN(Table3[[#This Row],[URL]])-4)&amp;"raw=1"</f>
        <v>#NAME?</v>
      </c>
    </row>
    <row r="623" spans="1:3" x14ac:dyDescent="0.3">
      <c r="A623" s="1" t="s">
        <v>2479</v>
      </c>
      <c r="B623" s="3" t="e">
        <f ca="1">geturl(Table3[[#This Row],[File]])</f>
        <v>#NAME?</v>
      </c>
      <c r="C623" s="1" t="e">
        <f ca="1">LEFT(Table3[[#This Row],[URL]],LEN(Table3[[#This Row],[URL]])-4)&amp;"raw=1"</f>
        <v>#NAME?</v>
      </c>
    </row>
    <row r="624" spans="1:3" x14ac:dyDescent="0.3">
      <c r="A624" s="1" t="s">
        <v>2480</v>
      </c>
      <c r="B624" s="3" t="e">
        <f ca="1">geturl(Table3[[#This Row],[File]])</f>
        <v>#NAME?</v>
      </c>
      <c r="C624" s="1" t="e">
        <f ca="1">LEFT(Table3[[#This Row],[URL]],LEN(Table3[[#This Row],[URL]])-4)&amp;"raw=1"</f>
        <v>#NAME?</v>
      </c>
    </row>
    <row r="625" spans="1:3" x14ac:dyDescent="0.3">
      <c r="A625" s="1" t="s">
        <v>2481</v>
      </c>
      <c r="B625" s="3" t="e">
        <f ca="1">geturl(Table3[[#This Row],[File]])</f>
        <v>#NAME?</v>
      </c>
      <c r="C625" s="1" t="e">
        <f ca="1">LEFT(Table3[[#This Row],[URL]],LEN(Table3[[#This Row],[URL]])-4)&amp;"raw=1"</f>
        <v>#NAME?</v>
      </c>
    </row>
    <row r="626" spans="1:3" x14ac:dyDescent="0.3">
      <c r="A626" s="1" t="s">
        <v>2482</v>
      </c>
      <c r="B626" s="3" t="e">
        <f ca="1">geturl(Table3[[#This Row],[File]])</f>
        <v>#NAME?</v>
      </c>
      <c r="C626" s="1" t="e">
        <f ca="1">LEFT(Table3[[#This Row],[URL]],LEN(Table3[[#This Row],[URL]])-4)&amp;"raw=1"</f>
        <v>#NAME?</v>
      </c>
    </row>
    <row r="627" spans="1:3" x14ac:dyDescent="0.3">
      <c r="A627" s="1" t="s">
        <v>2483</v>
      </c>
      <c r="B627" s="3" t="e">
        <f ca="1">geturl(Table3[[#This Row],[File]])</f>
        <v>#NAME?</v>
      </c>
      <c r="C627" s="1" t="e">
        <f ca="1">LEFT(Table3[[#This Row],[URL]],LEN(Table3[[#This Row],[URL]])-4)&amp;"raw=1"</f>
        <v>#NAME?</v>
      </c>
    </row>
    <row r="628" spans="1:3" x14ac:dyDescent="0.3">
      <c r="A628" s="1" t="s">
        <v>2484</v>
      </c>
      <c r="B628" s="3" t="e">
        <f ca="1">geturl(Table3[[#This Row],[File]])</f>
        <v>#NAME?</v>
      </c>
      <c r="C628" s="1" t="e">
        <f ca="1">LEFT(Table3[[#This Row],[URL]],LEN(Table3[[#This Row],[URL]])-4)&amp;"raw=1"</f>
        <v>#NAME?</v>
      </c>
    </row>
    <row r="629" spans="1:3" x14ac:dyDescent="0.3">
      <c r="A629" s="1" t="s">
        <v>2485</v>
      </c>
      <c r="B629" s="3" t="e">
        <f ca="1">geturl(Table3[[#This Row],[File]])</f>
        <v>#NAME?</v>
      </c>
      <c r="C629" s="1" t="e">
        <f ca="1">LEFT(Table3[[#This Row],[URL]],LEN(Table3[[#This Row],[URL]])-4)&amp;"raw=1"</f>
        <v>#NAME?</v>
      </c>
    </row>
    <row r="630" spans="1:3" x14ac:dyDescent="0.3">
      <c r="A630" s="1" t="s">
        <v>2486</v>
      </c>
      <c r="B630" s="3" t="e">
        <f ca="1">geturl(Table3[[#This Row],[File]])</f>
        <v>#NAME?</v>
      </c>
      <c r="C630" s="1" t="e">
        <f ca="1">LEFT(Table3[[#This Row],[URL]],LEN(Table3[[#This Row],[URL]])-4)&amp;"raw=1"</f>
        <v>#NAME?</v>
      </c>
    </row>
    <row r="631" spans="1:3" x14ac:dyDescent="0.3">
      <c r="A631" s="1" t="s">
        <v>2487</v>
      </c>
      <c r="B631" s="3" t="e">
        <f ca="1">geturl(Table3[[#This Row],[File]])</f>
        <v>#NAME?</v>
      </c>
      <c r="C631" s="1" t="e">
        <f ca="1">LEFT(Table3[[#This Row],[URL]],LEN(Table3[[#This Row],[URL]])-4)&amp;"raw=1"</f>
        <v>#NAME?</v>
      </c>
    </row>
    <row r="632" spans="1:3" x14ac:dyDescent="0.3">
      <c r="A632" s="1" t="s">
        <v>2488</v>
      </c>
      <c r="B632" s="3" t="e">
        <f ca="1">geturl(Table3[[#This Row],[File]])</f>
        <v>#NAME?</v>
      </c>
      <c r="C632" s="1" t="e">
        <f ca="1">LEFT(Table3[[#This Row],[URL]],LEN(Table3[[#This Row],[URL]])-4)&amp;"raw=1"</f>
        <v>#NAME?</v>
      </c>
    </row>
    <row r="633" spans="1:3" x14ac:dyDescent="0.3">
      <c r="A633" s="1" t="s">
        <v>2489</v>
      </c>
      <c r="B633" s="3" t="e">
        <f ca="1">geturl(Table3[[#This Row],[File]])</f>
        <v>#NAME?</v>
      </c>
      <c r="C633" s="1" t="e">
        <f ca="1">LEFT(Table3[[#This Row],[URL]],LEN(Table3[[#This Row],[URL]])-4)&amp;"raw=1"</f>
        <v>#NAME?</v>
      </c>
    </row>
    <row r="634" spans="1:3" x14ac:dyDescent="0.3">
      <c r="A634" s="1" t="s">
        <v>2490</v>
      </c>
      <c r="B634" s="3" t="e">
        <f ca="1">geturl(Table3[[#This Row],[File]])</f>
        <v>#NAME?</v>
      </c>
      <c r="C634" s="1" t="e">
        <f ca="1">LEFT(Table3[[#This Row],[URL]],LEN(Table3[[#This Row],[URL]])-4)&amp;"raw=1"</f>
        <v>#NAME?</v>
      </c>
    </row>
    <row r="635" spans="1:3" x14ac:dyDescent="0.3">
      <c r="A635" s="1" t="s">
        <v>2491</v>
      </c>
      <c r="B635" s="3" t="e">
        <f ca="1">geturl(Table3[[#This Row],[File]])</f>
        <v>#NAME?</v>
      </c>
      <c r="C635" s="1" t="e">
        <f ca="1">LEFT(Table3[[#This Row],[URL]],LEN(Table3[[#This Row],[URL]])-4)&amp;"raw=1"</f>
        <v>#NAME?</v>
      </c>
    </row>
    <row r="636" spans="1:3" x14ac:dyDescent="0.3">
      <c r="A636" s="1" t="s">
        <v>2492</v>
      </c>
      <c r="B636" s="3" t="e">
        <f ca="1">geturl(Table3[[#This Row],[File]])</f>
        <v>#NAME?</v>
      </c>
      <c r="C636" s="1" t="e">
        <f ca="1">LEFT(Table3[[#This Row],[URL]],LEN(Table3[[#This Row],[URL]])-4)&amp;"raw=1"</f>
        <v>#NAME?</v>
      </c>
    </row>
    <row r="637" spans="1:3" x14ac:dyDescent="0.3">
      <c r="A637" s="1" t="s">
        <v>2493</v>
      </c>
      <c r="B637" s="3" t="e">
        <f ca="1">geturl(Table3[[#This Row],[File]])</f>
        <v>#NAME?</v>
      </c>
      <c r="C637" s="1" t="e">
        <f ca="1">LEFT(Table3[[#This Row],[URL]],LEN(Table3[[#This Row],[URL]])-4)&amp;"raw=1"</f>
        <v>#NAME?</v>
      </c>
    </row>
    <row r="638" spans="1:3" x14ac:dyDescent="0.3">
      <c r="A638" s="1" t="s">
        <v>2494</v>
      </c>
      <c r="B638" s="3" t="e">
        <f ca="1">geturl(Table3[[#This Row],[File]])</f>
        <v>#NAME?</v>
      </c>
      <c r="C638" s="1" t="e">
        <f ca="1">LEFT(Table3[[#This Row],[URL]],LEN(Table3[[#This Row],[URL]])-4)&amp;"raw=1"</f>
        <v>#NAME?</v>
      </c>
    </row>
    <row r="639" spans="1:3" x14ac:dyDescent="0.3">
      <c r="A639" s="1" t="s">
        <v>2495</v>
      </c>
      <c r="B639" s="3" t="e">
        <f ca="1">geturl(Table3[[#This Row],[File]])</f>
        <v>#NAME?</v>
      </c>
      <c r="C639" s="1" t="e">
        <f ca="1">LEFT(Table3[[#This Row],[URL]],LEN(Table3[[#This Row],[URL]])-4)&amp;"raw=1"</f>
        <v>#NAME?</v>
      </c>
    </row>
    <row r="640" spans="1:3" x14ac:dyDescent="0.3">
      <c r="A640" s="1" t="s">
        <v>2496</v>
      </c>
      <c r="B640" s="3" t="e">
        <f ca="1">geturl(Table3[[#This Row],[File]])</f>
        <v>#NAME?</v>
      </c>
      <c r="C640" s="1" t="e">
        <f ca="1">LEFT(Table3[[#This Row],[URL]],LEN(Table3[[#This Row],[URL]])-4)&amp;"raw=1"</f>
        <v>#NAME?</v>
      </c>
    </row>
    <row r="641" spans="1:3" x14ac:dyDescent="0.3">
      <c r="A641" s="1" t="s">
        <v>2497</v>
      </c>
      <c r="B641" s="3" t="e">
        <f ca="1">geturl(Table3[[#This Row],[File]])</f>
        <v>#NAME?</v>
      </c>
      <c r="C641" s="1" t="e">
        <f ca="1">LEFT(Table3[[#This Row],[URL]],LEN(Table3[[#This Row],[URL]])-4)&amp;"raw=1"</f>
        <v>#NAME?</v>
      </c>
    </row>
    <row r="642" spans="1:3" x14ac:dyDescent="0.3">
      <c r="A642" s="1" t="s">
        <v>2498</v>
      </c>
      <c r="B642" s="3" t="e">
        <f ca="1">geturl(Table3[[#This Row],[File]])</f>
        <v>#NAME?</v>
      </c>
      <c r="C642" s="1" t="e">
        <f ca="1">LEFT(Table3[[#This Row],[URL]],LEN(Table3[[#This Row],[URL]])-4)&amp;"raw=1"</f>
        <v>#NAME?</v>
      </c>
    </row>
    <row r="643" spans="1:3" x14ac:dyDescent="0.3">
      <c r="A643" s="1" t="s">
        <v>2499</v>
      </c>
      <c r="B643" s="3" t="e">
        <f ca="1">geturl(Table3[[#This Row],[File]])</f>
        <v>#NAME?</v>
      </c>
      <c r="C643" s="1" t="e">
        <f ca="1">LEFT(Table3[[#This Row],[URL]],LEN(Table3[[#This Row],[URL]])-4)&amp;"raw=1"</f>
        <v>#NAME?</v>
      </c>
    </row>
    <row r="644" spans="1:3" x14ac:dyDescent="0.3">
      <c r="A644" s="1" t="s">
        <v>2500</v>
      </c>
      <c r="B644" s="3" t="e">
        <f ca="1">geturl(Table3[[#This Row],[File]])</f>
        <v>#NAME?</v>
      </c>
      <c r="C644" s="1" t="e">
        <f ca="1">LEFT(Table3[[#This Row],[URL]],LEN(Table3[[#This Row],[URL]])-4)&amp;"raw=1"</f>
        <v>#NAME?</v>
      </c>
    </row>
    <row r="645" spans="1:3" x14ac:dyDescent="0.3">
      <c r="A645" s="1" t="s">
        <v>2501</v>
      </c>
      <c r="B645" s="3" t="e">
        <f ca="1">geturl(Table3[[#This Row],[File]])</f>
        <v>#NAME?</v>
      </c>
      <c r="C645" s="1" t="e">
        <f ca="1">LEFT(Table3[[#This Row],[URL]],LEN(Table3[[#This Row],[URL]])-4)&amp;"raw=1"</f>
        <v>#NAME?</v>
      </c>
    </row>
    <row r="646" spans="1:3" x14ac:dyDescent="0.3">
      <c r="A646" s="1" t="s">
        <v>2502</v>
      </c>
      <c r="B646" s="3" t="e">
        <f ca="1">geturl(Table3[[#This Row],[File]])</f>
        <v>#NAME?</v>
      </c>
      <c r="C646" s="1" t="e">
        <f ca="1">LEFT(Table3[[#This Row],[URL]],LEN(Table3[[#This Row],[URL]])-4)&amp;"raw=1"</f>
        <v>#NAME?</v>
      </c>
    </row>
    <row r="647" spans="1:3" x14ac:dyDescent="0.3">
      <c r="A647" s="1" t="s">
        <v>2503</v>
      </c>
      <c r="B647" s="3" t="e">
        <f ca="1">geturl(Table3[[#This Row],[File]])</f>
        <v>#NAME?</v>
      </c>
      <c r="C647" s="1" t="e">
        <f ca="1">LEFT(Table3[[#This Row],[URL]],LEN(Table3[[#This Row],[URL]])-4)&amp;"raw=1"</f>
        <v>#NAME?</v>
      </c>
    </row>
    <row r="648" spans="1:3" x14ac:dyDescent="0.3">
      <c r="A648" s="1" t="s">
        <v>2504</v>
      </c>
      <c r="B648" s="3" t="e">
        <f ca="1">geturl(Table3[[#This Row],[File]])</f>
        <v>#NAME?</v>
      </c>
      <c r="C648" s="1" t="e">
        <f ca="1">LEFT(Table3[[#This Row],[URL]],LEN(Table3[[#This Row],[URL]])-4)&amp;"raw=1"</f>
        <v>#NAME?</v>
      </c>
    </row>
    <row r="649" spans="1:3" x14ac:dyDescent="0.3">
      <c r="A649" s="1" t="s">
        <v>2505</v>
      </c>
      <c r="B649" s="3" t="e">
        <f ca="1">geturl(Table3[[#This Row],[File]])</f>
        <v>#NAME?</v>
      </c>
      <c r="C649" s="1" t="e">
        <f ca="1">LEFT(Table3[[#This Row],[URL]],LEN(Table3[[#This Row],[URL]])-4)&amp;"raw=1"</f>
        <v>#NAME?</v>
      </c>
    </row>
    <row r="650" spans="1:3" x14ac:dyDescent="0.3">
      <c r="A650" s="1" t="s">
        <v>2506</v>
      </c>
      <c r="B650" s="3" t="e">
        <f ca="1">geturl(Table3[[#This Row],[File]])</f>
        <v>#NAME?</v>
      </c>
      <c r="C650" s="1" t="e">
        <f ca="1">LEFT(Table3[[#This Row],[URL]],LEN(Table3[[#This Row],[URL]])-4)&amp;"raw=1"</f>
        <v>#NAME?</v>
      </c>
    </row>
    <row r="651" spans="1:3" x14ac:dyDescent="0.3">
      <c r="A651" s="1" t="s">
        <v>2507</v>
      </c>
      <c r="B651" s="3" t="e">
        <f ca="1">geturl(Table3[[#This Row],[File]])</f>
        <v>#NAME?</v>
      </c>
      <c r="C651" s="1" t="e">
        <f ca="1">LEFT(Table3[[#This Row],[URL]],LEN(Table3[[#This Row],[URL]])-4)&amp;"raw=1"</f>
        <v>#NAME?</v>
      </c>
    </row>
    <row r="652" spans="1:3" x14ac:dyDescent="0.3">
      <c r="A652" s="1" t="s">
        <v>2508</v>
      </c>
      <c r="B652" s="3" t="e">
        <f ca="1">geturl(Table3[[#This Row],[File]])</f>
        <v>#NAME?</v>
      </c>
      <c r="C652" s="1" t="e">
        <f ca="1">LEFT(Table3[[#This Row],[URL]],LEN(Table3[[#This Row],[URL]])-4)&amp;"raw=1"</f>
        <v>#NAME?</v>
      </c>
    </row>
    <row r="653" spans="1:3" x14ac:dyDescent="0.3">
      <c r="A653" s="1" t="s">
        <v>2509</v>
      </c>
      <c r="B653" s="3" t="e">
        <f ca="1">geturl(Table3[[#This Row],[File]])</f>
        <v>#NAME?</v>
      </c>
      <c r="C653" s="1" t="e">
        <f ca="1">LEFT(Table3[[#This Row],[URL]],LEN(Table3[[#This Row],[URL]])-4)&amp;"raw=1"</f>
        <v>#NAME?</v>
      </c>
    </row>
    <row r="654" spans="1:3" x14ac:dyDescent="0.3">
      <c r="A654" s="1" t="s">
        <v>2510</v>
      </c>
      <c r="B654" s="3" t="e">
        <f ca="1">geturl(Table3[[#This Row],[File]])</f>
        <v>#NAME?</v>
      </c>
      <c r="C654" s="1" t="e">
        <f ca="1">LEFT(Table3[[#This Row],[URL]],LEN(Table3[[#This Row],[URL]])-4)&amp;"raw=1"</f>
        <v>#NAME?</v>
      </c>
    </row>
    <row r="655" spans="1:3" x14ac:dyDescent="0.3">
      <c r="A655" s="1" t="s">
        <v>2511</v>
      </c>
      <c r="B655" s="3" t="e">
        <f ca="1">geturl(Table3[[#This Row],[File]])</f>
        <v>#NAME?</v>
      </c>
      <c r="C655" s="1" t="e">
        <f ca="1">LEFT(Table3[[#This Row],[URL]],LEN(Table3[[#This Row],[URL]])-4)&amp;"raw=1"</f>
        <v>#NAME?</v>
      </c>
    </row>
    <row r="656" spans="1:3" x14ac:dyDescent="0.3">
      <c r="A656" s="1" t="s">
        <v>2512</v>
      </c>
      <c r="B656" s="3" t="e">
        <f ca="1">geturl(Table3[[#This Row],[File]])</f>
        <v>#NAME?</v>
      </c>
      <c r="C656" s="1" t="e">
        <f ca="1">LEFT(Table3[[#This Row],[URL]],LEN(Table3[[#This Row],[URL]])-4)&amp;"raw=1"</f>
        <v>#NAME?</v>
      </c>
    </row>
    <row r="657" spans="1:3" x14ac:dyDescent="0.3">
      <c r="A657" s="1" t="s">
        <v>2513</v>
      </c>
      <c r="B657" s="3" t="e">
        <f ca="1">geturl(Table3[[#This Row],[File]])</f>
        <v>#NAME?</v>
      </c>
      <c r="C657" s="1" t="e">
        <f ca="1">LEFT(Table3[[#This Row],[URL]],LEN(Table3[[#This Row],[URL]])-4)&amp;"raw=1"</f>
        <v>#NAME?</v>
      </c>
    </row>
    <row r="658" spans="1:3" x14ac:dyDescent="0.3">
      <c r="A658" s="1" t="s">
        <v>2514</v>
      </c>
      <c r="B658" s="3" t="e">
        <f ca="1">geturl(Table3[[#This Row],[File]])</f>
        <v>#NAME?</v>
      </c>
      <c r="C658" s="1" t="e">
        <f ca="1">LEFT(Table3[[#This Row],[URL]],LEN(Table3[[#This Row],[URL]])-4)&amp;"raw=1"</f>
        <v>#NAME?</v>
      </c>
    </row>
    <row r="659" spans="1:3" x14ac:dyDescent="0.3">
      <c r="A659" s="1" t="s">
        <v>2515</v>
      </c>
      <c r="B659" s="3" t="e">
        <f ca="1">geturl(Table3[[#This Row],[File]])</f>
        <v>#NAME?</v>
      </c>
      <c r="C659" s="1" t="e">
        <f ca="1">LEFT(Table3[[#This Row],[URL]],LEN(Table3[[#This Row],[URL]])-4)&amp;"raw=1"</f>
        <v>#NAME?</v>
      </c>
    </row>
    <row r="660" spans="1:3" x14ac:dyDescent="0.3">
      <c r="A660" s="1" t="s">
        <v>2516</v>
      </c>
      <c r="B660" s="3" t="e">
        <f ca="1">geturl(Table3[[#This Row],[File]])</f>
        <v>#NAME?</v>
      </c>
      <c r="C660" s="1" t="e">
        <f ca="1">LEFT(Table3[[#This Row],[URL]],LEN(Table3[[#This Row],[URL]])-4)&amp;"raw=1"</f>
        <v>#NAME?</v>
      </c>
    </row>
    <row r="661" spans="1:3" x14ac:dyDescent="0.3">
      <c r="A661" s="1" t="s">
        <v>2517</v>
      </c>
      <c r="B661" s="3" t="e">
        <f ca="1">geturl(Table3[[#This Row],[File]])</f>
        <v>#NAME?</v>
      </c>
      <c r="C661" s="1" t="e">
        <f ca="1">LEFT(Table3[[#This Row],[URL]],LEN(Table3[[#This Row],[URL]])-4)&amp;"raw=1"</f>
        <v>#NAME?</v>
      </c>
    </row>
    <row r="662" spans="1:3" x14ac:dyDescent="0.3">
      <c r="A662" s="1" t="s">
        <v>2518</v>
      </c>
      <c r="B662" s="3" t="e">
        <f ca="1">geturl(Table3[[#This Row],[File]])</f>
        <v>#NAME?</v>
      </c>
      <c r="C662" s="1" t="e">
        <f ca="1">LEFT(Table3[[#This Row],[URL]],LEN(Table3[[#This Row],[URL]])-4)&amp;"raw=1"</f>
        <v>#NAME?</v>
      </c>
    </row>
    <row r="663" spans="1:3" x14ac:dyDescent="0.3">
      <c r="A663" s="1" t="s">
        <v>2519</v>
      </c>
      <c r="B663" s="3" t="e">
        <f ca="1">geturl(Table3[[#This Row],[File]])</f>
        <v>#NAME?</v>
      </c>
      <c r="C663" s="1" t="e">
        <f ca="1">LEFT(Table3[[#This Row],[URL]],LEN(Table3[[#This Row],[URL]])-4)&amp;"raw=1"</f>
        <v>#NAME?</v>
      </c>
    </row>
    <row r="664" spans="1:3" x14ac:dyDescent="0.3">
      <c r="A664" s="1" t="s">
        <v>2520</v>
      </c>
      <c r="B664" s="3" t="e">
        <f ca="1">geturl(Table3[[#This Row],[File]])</f>
        <v>#NAME?</v>
      </c>
      <c r="C664" s="1" t="e">
        <f ca="1">LEFT(Table3[[#This Row],[URL]],LEN(Table3[[#This Row],[URL]])-4)&amp;"raw=1"</f>
        <v>#NAME?</v>
      </c>
    </row>
    <row r="665" spans="1:3" x14ac:dyDescent="0.3">
      <c r="A665" s="1" t="s">
        <v>2521</v>
      </c>
      <c r="B665" s="3" t="e">
        <f ca="1">geturl(Table3[[#This Row],[File]])</f>
        <v>#NAME?</v>
      </c>
      <c r="C665" s="1" t="e">
        <f ca="1">LEFT(Table3[[#This Row],[URL]],LEN(Table3[[#This Row],[URL]])-4)&amp;"raw=1"</f>
        <v>#NAME?</v>
      </c>
    </row>
    <row r="666" spans="1:3" x14ac:dyDescent="0.3">
      <c r="A666" s="1" t="s">
        <v>2522</v>
      </c>
      <c r="B666" s="3" t="e">
        <f ca="1">geturl(Table3[[#This Row],[File]])</f>
        <v>#NAME?</v>
      </c>
      <c r="C666" s="1" t="e">
        <f ca="1">LEFT(Table3[[#This Row],[URL]],LEN(Table3[[#This Row],[URL]])-4)&amp;"raw=1"</f>
        <v>#NAME?</v>
      </c>
    </row>
    <row r="667" spans="1:3" x14ac:dyDescent="0.3">
      <c r="A667" s="1" t="s">
        <v>2523</v>
      </c>
      <c r="B667" s="3" t="e">
        <f ca="1">geturl(Table3[[#This Row],[File]])</f>
        <v>#NAME?</v>
      </c>
      <c r="C667" s="1" t="e">
        <f ca="1">LEFT(Table3[[#This Row],[URL]],LEN(Table3[[#This Row],[URL]])-4)&amp;"raw=1"</f>
        <v>#NAME?</v>
      </c>
    </row>
    <row r="668" spans="1:3" x14ac:dyDescent="0.3">
      <c r="A668" s="1" t="s">
        <v>2524</v>
      </c>
      <c r="B668" s="3" t="e">
        <f ca="1">geturl(Table3[[#This Row],[File]])</f>
        <v>#NAME?</v>
      </c>
      <c r="C668" s="1" t="e">
        <f ca="1">LEFT(Table3[[#This Row],[URL]],LEN(Table3[[#This Row],[URL]])-4)&amp;"raw=1"</f>
        <v>#NAME?</v>
      </c>
    </row>
    <row r="669" spans="1:3" x14ac:dyDescent="0.3">
      <c r="A669" s="1" t="s">
        <v>293</v>
      </c>
      <c r="B669" s="3" t="e">
        <f ca="1">geturl(Table3[[#This Row],[File]])</f>
        <v>#NAME?</v>
      </c>
      <c r="C669" s="1" t="e">
        <f ca="1">LEFT(Table3[[#This Row],[URL]],LEN(Table3[[#This Row],[URL]])-4)&amp;"raw=1"</f>
        <v>#NAME?</v>
      </c>
    </row>
    <row r="670" spans="1:3" x14ac:dyDescent="0.3">
      <c r="A670" s="1" t="s">
        <v>294</v>
      </c>
      <c r="B670" s="3" t="e">
        <f ca="1">geturl(Table3[[#This Row],[File]])</f>
        <v>#NAME?</v>
      </c>
      <c r="C670" s="1" t="e">
        <f ca="1">LEFT(Table3[[#This Row],[URL]],LEN(Table3[[#This Row],[URL]])-4)&amp;"raw=1"</f>
        <v>#NAME?</v>
      </c>
    </row>
    <row r="671" spans="1:3" x14ac:dyDescent="0.3">
      <c r="A671" s="1" t="s">
        <v>295</v>
      </c>
      <c r="B671" s="3" t="e">
        <f ca="1">geturl(Table3[[#This Row],[File]])</f>
        <v>#NAME?</v>
      </c>
      <c r="C671" s="1" t="e">
        <f ca="1">LEFT(Table3[[#This Row],[URL]],LEN(Table3[[#This Row],[URL]])-4)&amp;"raw=1"</f>
        <v>#NAME?</v>
      </c>
    </row>
    <row r="672" spans="1:3" x14ac:dyDescent="0.3">
      <c r="A672" s="1" t="s">
        <v>296</v>
      </c>
      <c r="B672" s="3" t="e">
        <f ca="1">geturl(Table3[[#This Row],[File]])</f>
        <v>#NAME?</v>
      </c>
      <c r="C672" s="1" t="e">
        <f ca="1">LEFT(Table3[[#This Row],[URL]],LEN(Table3[[#This Row],[URL]])-4)&amp;"raw=1"</f>
        <v>#NAME?</v>
      </c>
    </row>
    <row r="673" spans="1:3" x14ac:dyDescent="0.3">
      <c r="A673" s="1" t="s">
        <v>2525</v>
      </c>
      <c r="B673" s="3" t="e">
        <f ca="1">geturl(Table3[[#This Row],[File]])</f>
        <v>#NAME?</v>
      </c>
      <c r="C673" s="1" t="e">
        <f ca="1">LEFT(Table3[[#This Row],[URL]],LEN(Table3[[#This Row],[URL]])-4)&amp;"raw=1"</f>
        <v>#NAME?</v>
      </c>
    </row>
    <row r="674" spans="1:3" x14ac:dyDescent="0.3">
      <c r="A674" s="1" t="s">
        <v>2526</v>
      </c>
      <c r="B674" s="3" t="e">
        <f ca="1">geturl(Table3[[#This Row],[File]])</f>
        <v>#NAME?</v>
      </c>
      <c r="C674" s="1" t="e">
        <f ca="1">LEFT(Table3[[#This Row],[URL]],LEN(Table3[[#This Row],[URL]])-4)&amp;"raw=1"</f>
        <v>#NAME?</v>
      </c>
    </row>
    <row r="675" spans="1:3" x14ac:dyDescent="0.3">
      <c r="A675" s="1" t="s">
        <v>2527</v>
      </c>
      <c r="B675" s="3" t="e">
        <f ca="1">geturl(Table3[[#This Row],[File]])</f>
        <v>#NAME?</v>
      </c>
      <c r="C675" s="1" t="e">
        <f ca="1">LEFT(Table3[[#This Row],[URL]],LEN(Table3[[#This Row],[URL]])-4)&amp;"raw=1"</f>
        <v>#NAME?</v>
      </c>
    </row>
    <row r="676" spans="1:3" x14ac:dyDescent="0.3">
      <c r="A676" s="1" t="s">
        <v>297</v>
      </c>
      <c r="B676" s="3" t="e">
        <f ca="1">geturl(Table3[[#This Row],[File]])</f>
        <v>#NAME?</v>
      </c>
      <c r="C676" s="1" t="e">
        <f ca="1">LEFT(Table3[[#This Row],[URL]],LEN(Table3[[#This Row],[URL]])-4)&amp;"raw=1"</f>
        <v>#NAME?</v>
      </c>
    </row>
    <row r="677" spans="1:3" x14ac:dyDescent="0.3">
      <c r="A677" s="1" t="s">
        <v>298</v>
      </c>
      <c r="B677" s="3" t="e">
        <f ca="1">geturl(Table3[[#This Row],[File]])</f>
        <v>#NAME?</v>
      </c>
      <c r="C677" s="1" t="e">
        <f ca="1">LEFT(Table3[[#This Row],[URL]],LEN(Table3[[#This Row],[URL]])-4)&amp;"raw=1"</f>
        <v>#NAME?</v>
      </c>
    </row>
    <row r="678" spans="1:3" x14ac:dyDescent="0.3">
      <c r="A678" s="1" t="s">
        <v>299</v>
      </c>
      <c r="B678" s="3" t="e">
        <f ca="1">geturl(Table3[[#This Row],[File]])</f>
        <v>#NAME?</v>
      </c>
      <c r="C678" s="1" t="e">
        <f ca="1">LEFT(Table3[[#This Row],[URL]],LEN(Table3[[#This Row],[URL]])-4)&amp;"raw=1"</f>
        <v>#NAME?</v>
      </c>
    </row>
    <row r="679" spans="1:3" x14ac:dyDescent="0.3">
      <c r="A679" s="1" t="s">
        <v>300</v>
      </c>
      <c r="B679" s="3" t="e">
        <f ca="1">geturl(Table3[[#This Row],[File]])</f>
        <v>#NAME?</v>
      </c>
      <c r="C679" s="1" t="e">
        <f ca="1">LEFT(Table3[[#This Row],[URL]],LEN(Table3[[#This Row],[URL]])-4)&amp;"raw=1"</f>
        <v>#NAME?</v>
      </c>
    </row>
    <row r="680" spans="1:3" x14ac:dyDescent="0.3">
      <c r="A680" s="1" t="s">
        <v>301</v>
      </c>
      <c r="B680" s="3" t="e">
        <f ca="1">geturl(Table3[[#This Row],[File]])</f>
        <v>#NAME?</v>
      </c>
      <c r="C680" s="1" t="e">
        <f ca="1">LEFT(Table3[[#This Row],[URL]],LEN(Table3[[#This Row],[URL]])-4)&amp;"raw=1"</f>
        <v>#NAME?</v>
      </c>
    </row>
    <row r="681" spans="1:3" x14ac:dyDescent="0.3">
      <c r="A681" s="1" t="s">
        <v>302</v>
      </c>
      <c r="B681" s="3" t="e">
        <f ca="1">geturl(Table3[[#This Row],[File]])</f>
        <v>#NAME?</v>
      </c>
      <c r="C681" s="1" t="e">
        <f ca="1">LEFT(Table3[[#This Row],[URL]],LEN(Table3[[#This Row],[URL]])-4)&amp;"raw=1"</f>
        <v>#NAME?</v>
      </c>
    </row>
    <row r="682" spans="1:3" x14ac:dyDescent="0.3">
      <c r="A682" s="1" t="s">
        <v>303</v>
      </c>
      <c r="B682" s="3" t="e">
        <f ca="1">geturl(Table3[[#This Row],[File]])</f>
        <v>#NAME?</v>
      </c>
      <c r="C682" s="1" t="e">
        <f ca="1">LEFT(Table3[[#This Row],[URL]],LEN(Table3[[#This Row],[URL]])-4)&amp;"raw=1"</f>
        <v>#NAME?</v>
      </c>
    </row>
    <row r="683" spans="1:3" x14ac:dyDescent="0.3">
      <c r="A683" s="1" t="s">
        <v>2528</v>
      </c>
      <c r="B683" s="3" t="e">
        <f ca="1">geturl(Table3[[#This Row],[File]])</f>
        <v>#NAME?</v>
      </c>
      <c r="C683" s="1" t="e">
        <f ca="1">LEFT(Table3[[#This Row],[URL]],LEN(Table3[[#This Row],[URL]])-4)&amp;"raw=1"</f>
        <v>#NAME?</v>
      </c>
    </row>
    <row r="684" spans="1:3" x14ac:dyDescent="0.3">
      <c r="A684" s="1" t="s">
        <v>2529</v>
      </c>
      <c r="B684" s="3" t="e">
        <f ca="1">geturl(Table3[[#This Row],[File]])</f>
        <v>#NAME?</v>
      </c>
      <c r="C684" s="1" t="e">
        <f ca="1">LEFT(Table3[[#This Row],[URL]],LEN(Table3[[#This Row],[URL]])-4)&amp;"raw=1"</f>
        <v>#NAME?</v>
      </c>
    </row>
    <row r="685" spans="1:3" x14ac:dyDescent="0.3">
      <c r="A685" s="1" t="s">
        <v>2530</v>
      </c>
      <c r="B685" s="3" t="e">
        <f ca="1">geturl(Table3[[#This Row],[File]])</f>
        <v>#NAME?</v>
      </c>
      <c r="C685" s="1" t="e">
        <f ca="1">LEFT(Table3[[#This Row],[URL]],LEN(Table3[[#This Row],[URL]])-4)&amp;"raw=1"</f>
        <v>#NAME?</v>
      </c>
    </row>
    <row r="686" spans="1:3" x14ac:dyDescent="0.3">
      <c r="A686" s="1" t="s">
        <v>2531</v>
      </c>
      <c r="B686" s="3" t="e">
        <f ca="1">geturl(Table3[[#This Row],[File]])</f>
        <v>#NAME?</v>
      </c>
      <c r="C686" s="1" t="e">
        <f ca="1">LEFT(Table3[[#This Row],[URL]],LEN(Table3[[#This Row],[URL]])-4)&amp;"raw=1"</f>
        <v>#NAME?</v>
      </c>
    </row>
    <row r="687" spans="1:3" x14ac:dyDescent="0.3">
      <c r="A687" s="1" t="s">
        <v>2532</v>
      </c>
      <c r="B687" s="3" t="e">
        <f ca="1">geturl(Table3[[#This Row],[File]])</f>
        <v>#NAME?</v>
      </c>
      <c r="C687" s="1" t="e">
        <f ca="1">LEFT(Table3[[#This Row],[URL]],LEN(Table3[[#This Row],[URL]])-4)&amp;"raw=1"</f>
        <v>#NAME?</v>
      </c>
    </row>
    <row r="688" spans="1:3" x14ac:dyDescent="0.3">
      <c r="A688" s="1" t="s">
        <v>2533</v>
      </c>
      <c r="B688" s="3" t="e">
        <f ca="1">geturl(Table3[[#This Row],[File]])</f>
        <v>#NAME?</v>
      </c>
      <c r="C688" s="1" t="e">
        <f ca="1">LEFT(Table3[[#This Row],[URL]],LEN(Table3[[#This Row],[URL]])-4)&amp;"raw=1"</f>
        <v>#NAME?</v>
      </c>
    </row>
    <row r="689" spans="1:3" x14ac:dyDescent="0.3">
      <c r="A689" s="1" t="s">
        <v>2534</v>
      </c>
      <c r="B689" s="3" t="e">
        <f ca="1">geturl(Table3[[#This Row],[File]])</f>
        <v>#NAME?</v>
      </c>
      <c r="C689" s="1" t="e">
        <f ca="1">LEFT(Table3[[#This Row],[URL]],LEN(Table3[[#This Row],[URL]])-4)&amp;"raw=1"</f>
        <v>#NAME?</v>
      </c>
    </row>
    <row r="690" spans="1:3" x14ac:dyDescent="0.3">
      <c r="A690" s="1" t="s">
        <v>2535</v>
      </c>
      <c r="B690" s="3" t="e">
        <f ca="1">geturl(Table3[[#This Row],[File]])</f>
        <v>#NAME?</v>
      </c>
      <c r="C690" s="1" t="e">
        <f ca="1">LEFT(Table3[[#This Row],[URL]],LEN(Table3[[#This Row],[URL]])-4)&amp;"raw=1"</f>
        <v>#NAME?</v>
      </c>
    </row>
    <row r="691" spans="1:3" x14ac:dyDescent="0.3">
      <c r="A691" s="1" t="s">
        <v>2536</v>
      </c>
      <c r="B691" s="3" t="e">
        <f ca="1">geturl(Table3[[#This Row],[File]])</f>
        <v>#NAME?</v>
      </c>
      <c r="C691" s="1" t="e">
        <f ca="1">LEFT(Table3[[#This Row],[URL]],LEN(Table3[[#This Row],[URL]])-4)&amp;"raw=1"</f>
        <v>#NAME?</v>
      </c>
    </row>
    <row r="692" spans="1:3" x14ac:dyDescent="0.3">
      <c r="A692" s="1" t="s">
        <v>2537</v>
      </c>
      <c r="B692" s="3" t="e">
        <f ca="1">geturl(Table3[[#This Row],[File]])</f>
        <v>#NAME?</v>
      </c>
      <c r="C692" s="1" t="e">
        <f ca="1">LEFT(Table3[[#This Row],[URL]],LEN(Table3[[#This Row],[URL]])-4)&amp;"raw=1"</f>
        <v>#NAME?</v>
      </c>
    </row>
    <row r="693" spans="1:3" x14ac:dyDescent="0.3">
      <c r="A693" s="1" t="s">
        <v>2538</v>
      </c>
      <c r="B693" s="3" t="e">
        <f ca="1">geturl(Table3[[#This Row],[File]])</f>
        <v>#NAME?</v>
      </c>
      <c r="C693" s="1" t="e">
        <f ca="1">LEFT(Table3[[#This Row],[URL]],LEN(Table3[[#This Row],[URL]])-4)&amp;"raw=1"</f>
        <v>#NAME?</v>
      </c>
    </row>
    <row r="694" spans="1:3" x14ac:dyDescent="0.3">
      <c r="A694" s="1" t="s">
        <v>304</v>
      </c>
      <c r="B694" s="3" t="e">
        <f ca="1">geturl(Table3[[#This Row],[File]])</f>
        <v>#NAME?</v>
      </c>
      <c r="C694" s="1" t="e">
        <f ca="1">LEFT(Table3[[#This Row],[URL]],LEN(Table3[[#This Row],[URL]])-4)&amp;"raw=1"</f>
        <v>#NAME?</v>
      </c>
    </row>
    <row r="695" spans="1:3" x14ac:dyDescent="0.3">
      <c r="A695" s="1" t="s">
        <v>305</v>
      </c>
      <c r="B695" s="3" t="e">
        <f ca="1">geturl(Table3[[#This Row],[File]])</f>
        <v>#NAME?</v>
      </c>
      <c r="C695" s="1" t="e">
        <f ca="1">LEFT(Table3[[#This Row],[URL]],LEN(Table3[[#This Row],[URL]])-4)&amp;"raw=1"</f>
        <v>#NAME?</v>
      </c>
    </row>
    <row r="696" spans="1:3" x14ac:dyDescent="0.3">
      <c r="A696" s="1" t="s">
        <v>306</v>
      </c>
      <c r="B696" s="3" t="e">
        <f ca="1">geturl(Table3[[#This Row],[File]])</f>
        <v>#NAME?</v>
      </c>
      <c r="C696" s="1" t="e">
        <f ca="1">LEFT(Table3[[#This Row],[URL]],LEN(Table3[[#This Row],[URL]])-4)&amp;"raw=1"</f>
        <v>#NAME?</v>
      </c>
    </row>
    <row r="697" spans="1:3" x14ac:dyDescent="0.3">
      <c r="A697" s="1" t="s">
        <v>2539</v>
      </c>
      <c r="B697" s="3" t="e">
        <f ca="1">geturl(Table3[[#This Row],[File]])</f>
        <v>#NAME?</v>
      </c>
      <c r="C697" s="1" t="e">
        <f ca="1">LEFT(Table3[[#This Row],[URL]],LEN(Table3[[#This Row],[URL]])-4)&amp;"raw=1"</f>
        <v>#NAME?</v>
      </c>
    </row>
    <row r="698" spans="1:3" x14ac:dyDescent="0.3">
      <c r="A698" s="1" t="s">
        <v>307</v>
      </c>
      <c r="B698" s="3" t="e">
        <f ca="1">geturl(Table3[[#This Row],[File]])</f>
        <v>#NAME?</v>
      </c>
      <c r="C698" s="1" t="e">
        <f ca="1">LEFT(Table3[[#This Row],[URL]],LEN(Table3[[#This Row],[URL]])-4)&amp;"raw=1"</f>
        <v>#NAME?</v>
      </c>
    </row>
    <row r="699" spans="1:3" x14ac:dyDescent="0.3">
      <c r="A699" s="1" t="s">
        <v>2540</v>
      </c>
      <c r="B699" s="3" t="e">
        <f ca="1">geturl(Table3[[#This Row],[File]])</f>
        <v>#NAME?</v>
      </c>
      <c r="C699" s="1" t="e">
        <f ca="1">LEFT(Table3[[#This Row],[URL]],LEN(Table3[[#This Row],[URL]])-4)&amp;"raw=1"</f>
        <v>#NAME?</v>
      </c>
    </row>
    <row r="700" spans="1:3" x14ac:dyDescent="0.3">
      <c r="A700" s="1" t="s">
        <v>2541</v>
      </c>
      <c r="B700" s="3" t="e">
        <f ca="1">geturl(Table3[[#This Row],[File]])</f>
        <v>#NAME?</v>
      </c>
      <c r="C700" s="1" t="e">
        <f ca="1">LEFT(Table3[[#This Row],[URL]],LEN(Table3[[#This Row],[URL]])-4)&amp;"raw=1"</f>
        <v>#NAME?</v>
      </c>
    </row>
    <row r="701" spans="1:3" x14ac:dyDescent="0.3">
      <c r="A701" s="1" t="s">
        <v>2542</v>
      </c>
      <c r="B701" s="3" t="e">
        <f ca="1">geturl(Table3[[#This Row],[File]])</f>
        <v>#NAME?</v>
      </c>
      <c r="C701" s="1" t="e">
        <f ca="1">LEFT(Table3[[#This Row],[URL]],LEN(Table3[[#This Row],[URL]])-4)&amp;"raw=1"</f>
        <v>#NAME?</v>
      </c>
    </row>
    <row r="702" spans="1:3" x14ac:dyDescent="0.3">
      <c r="A702" s="1" t="s">
        <v>2543</v>
      </c>
      <c r="B702" s="3" t="e">
        <f ca="1">geturl(Table3[[#This Row],[File]])</f>
        <v>#NAME?</v>
      </c>
      <c r="C702" s="1" t="e">
        <f ca="1">LEFT(Table3[[#This Row],[URL]],LEN(Table3[[#This Row],[URL]])-4)&amp;"raw=1"</f>
        <v>#NAME?</v>
      </c>
    </row>
    <row r="703" spans="1:3" x14ac:dyDescent="0.3">
      <c r="A703" s="1" t="s">
        <v>308</v>
      </c>
      <c r="B703" s="3" t="e">
        <f ca="1">geturl(Table3[[#This Row],[File]])</f>
        <v>#NAME?</v>
      </c>
      <c r="C703" s="1" t="e">
        <f ca="1">LEFT(Table3[[#This Row],[URL]],LEN(Table3[[#This Row],[URL]])-4)&amp;"raw=1"</f>
        <v>#NAME?</v>
      </c>
    </row>
    <row r="704" spans="1:3" x14ac:dyDescent="0.3">
      <c r="A704" s="1" t="s">
        <v>2544</v>
      </c>
      <c r="B704" s="3" t="e">
        <f ca="1">geturl(Table3[[#This Row],[File]])</f>
        <v>#NAME?</v>
      </c>
      <c r="C704" s="1" t="e">
        <f ca="1">LEFT(Table3[[#This Row],[URL]],LEN(Table3[[#This Row],[URL]])-4)&amp;"raw=1"</f>
        <v>#NAME?</v>
      </c>
    </row>
    <row r="705" spans="1:3" x14ac:dyDescent="0.3">
      <c r="A705" s="1" t="s">
        <v>2545</v>
      </c>
      <c r="B705" s="3" t="e">
        <f ca="1">geturl(Table3[[#This Row],[File]])</f>
        <v>#NAME?</v>
      </c>
      <c r="C705" s="1" t="e">
        <f ca="1">LEFT(Table3[[#This Row],[URL]],LEN(Table3[[#This Row],[URL]])-4)&amp;"raw=1"</f>
        <v>#NAME?</v>
      </c>
    </row>
    <row r="706" spans="1:3" x14ac:dyDescent="0.3">
      <c r="A706" s="1" t="s">
        <v>2546</v>
      </c>
      <c r="B706" s="3" t="e">
        <f ca="1">geturl(Table3[[#This Row],[File]])</f>
        <v>#NAME?</v>
      </c>
      <c r="C706" s="1" t="e">
        <f ca="1">LEFT(Table3[[#This Row],[URL]],LEN(Table3[[#This Row],[URL]])-4)&amp;"raw=1"</f>
        <v>#NAME?</v>
      </c>
    </row>
    <row r="707" spans="1:3" x14ac:dyDescent="0.3">
      <c r="A707" s="1" t="s">
        <v>2547</v>
      </c>
      <c r="B707" s="3" t="e">
        <f ca="1">geturl(Table3[[#This Row],[File]])</f>
        <v>#NAME?</v>
      </c>
      <c r="C707" s="1" t="e">
        <f ca="1">LEFT(Table3[[#This Row],[URL]],LEN(Table3[[#This Row],[URL]])-4)&amp;"raw=1"</f>
        <v>#NAME?</v>
      </c>
    </row>
    <row r="708" spans="1:3" x14ac:dyDescent="0.3">
      <c r="A708" s="1" t="s">
        <v>2548</v>
      </c>
      <c r="B708" s="3" t="e">
        <f ca="1">geturl(Table3[[#This Row],[File]])</f>
        <v>#NAME?</v>
      </c>
      <c r="C708" s="1" t="e">
        <f ca="1">LEFT(Table3[[#This Row],[URL]],LEN(Table3[[#This Row],[URL]])-4)&amp;"raw=1"</f>
        <v>#NAME?</v>
      </c>
    </row>
    <row r="709" spans="1:3" x14ac:dyDescent="0.3">
      <c r="A709" s="1" t="s">
        <v>2549</v>
      </c>
      <c r="B709" s="3" t="e">
        <f ca="1">geturl(Table3[[#This Row],[File]])</f>
        <v>#NAME?</v>
      </c>
      <c r="C709" s="1" t="e">
        <f ca="1">LEFT(Table3[[#This Row],[URL]],LEN(Table3[[#This Row],[URL]])-4)&amp;"raw=1"</f>
        <v>#NAME?</v>
      </c>
    </row>
    <row r="710" spans="1:3" x14ac:dyDescent="0.3">
      <c r="A710" s="1" t="s">
        <v>2550</v>
      </c>
      <c r="B710" s="3" t="e">
        <f ca="1">geturl(Table3[[#This Row],[File]])</f>
        <v>#NAME?</v>
      </c>
      <c r="C710" s="1" t="e">
        <f ca="1">LEFT(Table3[[#This Row],[URL]],LEN(Table3[[#This Row],[URL]])-4)&amp;"raw=1"</f>
        <v>#NAME?</v>
      </c>
    </row>
    <row r="711" spans="1:3" x14ac:dyDescent="0.3">
      <c r="A711" s="1" t="s">
        <v>2551</v>
      </c>
      <c r="B711" s="3" t="e">
        <f ca="1">geturl(Table3[[#This Row],[File]])</f>
        <v>#NAME?</v>
      </c>
      <c r="C711" s="1" t="e">
        <f ca="1">LEFT(Table3[[#This Row],[URL]],LEN(Table3[[#This Row],[URL]])-4)&amp;"raw=1"</f>
        <v>#NAME?</v>
      </c>
    </row>
    <row r="712" spans="1:3" x14ac:dyDescent="0.3">
      <c r="A712" s="1" t="s">
        <v>2552</v>
      </c>
      <c r="B712" s="3" t="e">
        <f ca="1">geturl(Table3[[#This Row],[File]])</f>
        <v>#NAME?</v>
      </c>
      <c r="C712" s="1" t="e">
        <f ca="1">LEFT(Table3[[#This Row],[URL]],LEN(Table3[[#This Row],[URL]])-4)&amp;"raw=1"</f>
        <v>#NAME?</v>
      </c>
    </row>
    <row r="713" spans="1:3" x14ac:dyDescent="0.3">
      <c r="A713" s="1" t="s">
        <v>2553</v>
      </c>
      <c r="B713" s="3" t="e">
        <f ca="1">geturl(Table3[[#This Row],[File]])</f>
        <v>#NAME?</v>
      </c>
      <c r="C713" s="1" t="e">
        <f ca="1">LEFT(Table3[[#This Row],[URL]],LEN(Table3[[#This Row],[URL]])-4)&amp;"raw=1"</f>
        <v>#NAME?</v>
      </c>
    </row>
    <row r="714" spans="1:3" x14ac:dyDescent="0.3">
      <c r="A714" s="1" t="s">
        <v>309</v>
      </c>
      <c r="B714" s="3" t="e">
        <f ca="1">geturl(Table3[[#This Row],[File]])</f>
        <v>#NAME?</v>
      </c>
      <c r="C714" s="1" t="e">
        <f ca="1">LEFT(Table3[[#This Row],[URL]],LEN(Table3[[#This Row],[URL]])-4)&amp;"raw=1"</f>
        <v>#NAME?</v>
      </c>
    </row>
    <row r="715" spans="1:3" x14ac:dyDescent="0.3">
      <c r="A715" s="1" t="s">
        <v>310</v>
      </c>
      <c r="B715" s="3" t="e">
        <f ca="1">geturl(Table3[[#This Row],[File]])</f>
        <v>#NAME?</v>
      </c>
      <c r="C715" s="1" t="e">
        <f ca="1">LEFT(Table3[[#This Row],[URL]],LEN(Table3[[#This Row],[URL]])-4)&amp;"raw=1"</f>
        <v>#NAME?</v>
      </c>
    </row>
    <row r="716" spans="1:3" x14ac:dyDescent="0.3">
      <c r="A716" s="1" t="s">
        <v>311</v>
      </c>
      <c r="B716" s="3" t="e">
        <f ca="1">geturl(Table3[[#This Row],[File]])</f>
        <v>#NAME?</v>
      </c>
      <c r="C716" s="1" t="e">
        <f ca="1">LEFT(Table3[[#This Row],[URL]],LEN(Table3[[#This Row],[URL]])-4)&amp;"raw=1"</f>
        <v>#NAME?</v>
      </c>
    </row>
    <row r="717" spans="1:3" x14ac:dyDescent="0.3">
      <c r="A717" s="1" t="s">
        <v>2554</v>
      </c>
      <c r="B717" s="3" t="e">
        <f ca="1">geturl(Table3[[#This Row],[File]])</f>
        <v>#NAME?</v>
      </c>
      <c r="C717" s="1" t="e">
        <f ca="1">LEFT(Table3[[#This Row],[URL]],LEN(Table3[[#This Row],[URL]])-4)&amp;"raw=1"</f>
        <v>#NAME?</v>
      </c>
    </row>
    <row r="718" spans="1:3" x14ac:dyDescent="0.3">
      <c r="A718" s="1" t="s">
        <v>2555</v>
      </c>
      <c r="B718" s="3" t="e">
        <f ca="1">geturl(Table3[[#This Row],[File]])</f>
        <v>#NAME?</v>
      </c>
      <c r="C718" s="1" t="e">
        <f ca="1">LEFT(Table3[[#This Row],[URL]],LEN(Table3[[#This Row],[URL]])-4)&amp;"raw=1"</f>
        <v>#NAME?</v>
      </c>
    </row>
    <row r="719" spans="1:3" x14ac:dyDescent="0.3">
      <c r="A719" s="1" t="s">
        <v>2556</v>
      </c>
      <c r="B719" s="3" t="e">
        <f ca="1">geturl(Table3[[#This Row],[File]])</f>
        <v>#NAME?</v>
      </c>
      <c r="C719" s="1" t="e">
        <f ca="1">LEFT(Table3[[#This Row],[URL]],LEN(Table3[[#This Row],[URL]])-4)&amp;"raw=1"</f>
        <v>#NAME?</v>
      </c>
    </row>
    <row r="720" spans="1:3" x14ac:dyDescent="0.3">
      <c r="A720" s="1" t="s">
        <v>2557</v>
      </c>
      <c r="B720" s="3" t="e">
        <f ca="1">geturl(Table3[[#This Row],[File]])</f>
        <v>#NAME?</v>
      </c>
      <c r="C720" s="1" t="e">
        <f ca="1">LEFT(Table3[[#This Row],[URL]],LEN(Table3[[#This Row],[URL]])-4)&amp;"raw=1"</f>
        <v>#NAME?</v>
      </c>
    </row>
    <row r="721" spans="1:3" x14ac:dyDescent="0.3">
      <c r="A721" s="1" t="s">
        <v>2558</v>
      </c>
      <c r="B721" s="3" t="e">
        <f ca="1">geturl(Table3[[#This Row],[File]])</f>
        <v>#NAME?</v>
      </c>
      <c r="C721" s="1" t="e">
        <f ca="1">LEFT(Table3[[#This Row],[URL]],LEN(Table3[[#This Row],[URL]])-4)&amp;"raw=1"</f>
        <v>#NAME?</v>
      </c>
    </row>
    <row r="722" spans="1:3" x14ac:dyDescent="0.3">
      <c r="A722" s="1" t="s">
        <v>2559</v>
      </c>
      <c r="B722" s="3" t="e">
        <f ca="1">geturl(Table3[[#This Row],[File]])</f>
        <v>#NAME?</v>
      </c>
      <c r="C722" s="1" t="e">
        <f ca="1">LEFT(Table3[[#This Row],[URL]],LEN(Table3[[#This Row],[URL]])-4)&amp;"raw=1"</f>
        <v>#NAME?</v>
      </c>
    </row>
    <row r="723" spans="1:3" x14ac:dyDescent="0.3">
      <c r="A723" s="1" t="s">
        <v>2560</v>
      </c>
      <c r="B723" s="3" t="e">
        <f ca="1">geturl(Table3[[#This Row],[File]])</f>
        <v>#NAME?</v>
      </c>
      <c r="C723" s="1" t="e">
        <f ca="1">LEFT(Table3[[#This Row],[URL]],LEN(Table3[[#This Row],[URL]])-4)&amp;"raw=1"</f>
        <v>#NAME?</v>
      </c>
    </row>
    <row r="724" spans="1:3" x14ac:dyDescent="0.3">
      <c r="A724" s="1" t="s">
        <v>2561</v>
      </c>
      <c r="B724" s="3" t="e">
        <f ca="1">geturl(Table3[[#This Row],[File]])</f>
        <v>#NAME?</v>
      </c>
      <c r="C724" s="1" t="e">
        <f ca="1">LEFT(Table3[[#This Row],[URL]],LEN(Table3[[#This Row],[URL]])-4)&amp;"raw=1"</f>
        <v>#NAME?</v>
      </c>
    </row>
    <row r="725" spans="1:3" x14ac:dyDescent="0.3">
      <c r="A725" s="1" t="s">
        <v>2562</v>
      </c>
      <c r="B725" s="3" t="e">
        <f ca="1">geturl(Table3[[#This Row],[File]])</f>
        <v>#NAME?</v>
      </c>
      <c r="C725" s="1" t="e">
        <f ca="1">LEFT(Table3[[#This Row],[URL]],LEN(Table3[[#This Row],[URL]])-4)&amp;"raw=1"</f>
        <v>#NAME?</v>
      </c>
    </row>
    <row r="726" spans="1:3" x14ac:dyDescent="0.3">
      <c r="A726" s="1" t="s">
        <v>2563</v>
      </c>
      <c r="B726" s="3" t="e">
        <f ca="1">geturl(Table3[[#This Row],[File]])</f>
        <v>#NAME?</v>
      </c>
      <c r="C726" s="1" t="e">
        <f ca="1">LEFT(Table3[[#This Row],[URL]],LEN(Table3[[#This Row],[URL]])-4)&amp;"raw=1"</f>
        <v>#NAME?</v>
      </c>
    </row>
    <row r="727" spans="1:3" x14ac:dyDescent="0.3">
      <c r="A727" s="1" t="s">
        <v>2564</v>
      </c>
      <c r="B727" s="3" t="e">
        <f ca="1">geturl(Table3[[#This Row],[File]])</f>
        <v>#NAME?</v>
      </c>
      <c r="C727" s="1" t="e">
        <f ca="1">LEFT(Table3[[#This Row],[URL]],LEN(Table3[[#This Row],[URL]])-4)&amp;"raw=1"</f>
        <v>#NAME?</v>
      </c>
    </row>
    <row r="728" spans="1:3" x14ac:dyDescent="0.3">
      <c r="A728" s="1" t="s">
        <v>2565</v>
      </c>
      <c r="B728" s="3" t="e">
        <f ca="1">geturl(Table3[[#This Row],[File]])</f>
        <v>#NAME?</v>
      </c>
      <c r="C728" s="1" t="e">
        <f ca="1">LEFT(Table3[[#This Row],[URL]],LEN(Table3[[#This Row],[URL]])-4)&amp;"raw=1"</f>
        <v>#NAME?</v>
      </c>
    </row>
    <row r="729" spans="1:3" x14ac:dyDescent="0.3">
      <c r="A729" s="1" t="s">
        <v>2566</v>
      </c>
      <c r="B729" s="3" t="e">
        <f ca="1">geturl(Table3[[#This Row],[File]])</f>
        <v>#NAME?</v>
      </c>
      <c r="C729" s="1" t="e">
        <f ca="1">LEFT(Table3[[#This Row],[URL]],LEN(Table3[[#This Row],[URL]])-4)&amp;"raw=1"</f>
        <v>#NAME?</v>
      </c>
    </row>
    <row r="730" spans="1:3" x14ac:dyDescent="0.3">
      <c r="A730" s="1" t="s">
        <v>2567</v>
      </c>
      <c r="B730" s="3" t="e">
        <f ca="1">geturl(Table3[[#This Row],[File]])</f>
        <v>#NAME?</v>
      </c>
      <c r="C730" s="1" t="e">
        <f ca="1">LEFT(Table3[[#This Row],[URL]],LEN(Table3[[#This Row],[URL]])-4)&amp;"raw=1"</f>
        <v>#NAME?</v>
      </c>
    </row>
    <row r="731" spans="1:3" x14ac:dyDescent="0.3">
      <c r="A731" s="1" t="s">
        <v>2568</v>
      </c>
      <c r="B731" s="3" t="e">
        <f ca="1">geturl(Table3[[#This Row],[File]])</f>
        <v>#NAME?</v>
      </c>
      <c r="C731" s="1" t="e">
        <f ca="1">LEFT(Table3[[#This Row],[URL]],LEN(Table3[[#This Row],[URL]])-4)&amp;"raw=1"</f>
        <v>#NAME?</v>
      </c>
    </row>
    <row r="732" spans="1:3" x14ac:dyDescent="0.3">
      <c r="A732" s="1" t="s">
        <v>2569</v>
      </c>
      <c r="B732" s="3" t="e">
        <f ca="1">geturl(Table3[[#This Row],[File]])</f>
        <v>#NAME?</v>
      </c>
      <c r="C732" s="1" t="e">
        <f ca="1">LEFT(Table3[[#This Row],[URL]],LEN(Table3[[#This Row],[URL]])-4)&amp;"raw=1"</f>
        <v>#NAME?</v>
      </c>
    </row>
    <row r="733" spans="1:3" x14ac:dyDescent="0.3">
      <c r="A733" s="1" t="s">
        <v>2570</v>
      </c>
      <c r="B733" s="3" t="e">
        <f ca="1">geturl(Table3[[#This Row],[File]])</f>
        <v>#NAME?</v>
      </c>
      <c r="C733" s="1" t="e">
        <f ca="1">LEFT(Table3[[#This Row],[URL]],LEN(Table3[[#This Row],[URL]])-4)&amp;"raw=1"</f>
        <v>#NAME?</v>
      </c>
    </row>
    <row r="734" spans="1:3" x14ac:dyDescent="0.3">
      <c r="A734" s="1" t="s">
        <v>2571</v>
      </c>
      <c r="B734" s="3" t="e">
        <f ca="1">geturl(Table3[[#This Row],[File]])</f>
        <v>#NAME?</v>
      </c>
      <c r="C734" s="1" t="e">
        <f ca="1">LEFT(Table3[[#This Row],[URL]],LEN(Table3[[#This Row],[URL]])-4)&amp;"raw=1"</f>
        <v>#NAME?</v>
      </c>
    </row>
    <row r="735" spans="1:3" x14ac:dyDescent="0.3">
      <c r="A735" s="1" t="s">
        <v>2572</v>
      </c>
      <c r="B735" s="3" t="e">
        <f ca="1">geturl(Table3[[#This Row],[File]])</f>
        <v>#NAME?</v>
      </c>
      <c r="C735" s="1" t="e">
        <f ca="1">LEFT(Table3[[#This Row],[URL]],LEN(Table3[[#This Row],[URL]])-4)&amp;"raw=1"</f>
        <v>#NAME?</v>
      </c>
    </row>
    <row r="736" spans="1:3" x14ac:dyDescent="0.3">
      <c r="A736" s="1" t="s">
        <v>2573</v>
      </c>
      <c r="B736" s="3" t="e">
        <f ca="1">geturl(Table3[[#This Row],[File]])</f>
        <v>#NAME?</v>
      </c>
      <c r="C736" s="1" t="e">
        <f ca="1">LEFT(Table3[[#This Row],[URL]],LEN(Table3[[#This Row],[URL]])-4)&amp;"raw=1"</f>
        <v>#NAME?</v>
      </c>
    </row>
    <row r="737" spans="1:3" x14ac:dyDescent="0.3">
      <c r="A737" s="1" t="s">
        <v>2574</v>
      </c>
      <c r="B737" s="3" t="e">
        <f ca="1">geturl(Table3[[#This Row],[File]])</f>
        <v>#NAME?</v>
      </c>
      <c r="C737" s="1" t="e">
        <f ca="1">LEFT(Table3[[#This Row],[URL]],LEN(Table3[[#This Row],[URL]])-4)&amp;"raw=1"</f>
        <v>#NAME?</v>
      </c>
    </row>
    <row r="738" spans="1:3" x14ac:dyDescent="0.3">
      <c r="A738" s="1" t="s">
        <v>2575</v>
      </c>
      <c r="B738" s="3" t="e">
        <f ca="1">geturl(Table3[[#This Row],[File]])</f>
        <v>#NAME?</v>
      </c>
      <c r="C738" s="1" t="e">
        <f ca="1">LEFT(Table3[[#This Row],[URL]],LEN(Table3[[#This Row],[URL]])-4)&amp;"raw=1"</f>
        <v>#NAME?</v>
      </c>
    </row>
    <row r="739" spans="1:3" x14ac:dyDescent="0.3">
      <c r="A739" s="1" t="s">
        <v>2576</v>
      </c>
      <c r="B739" s="3" t="e">
        <f ca="1">geturl(Table3[[#This Row],[File]])</f>
        <v>#NAME?</v>
      </c>
      <c r="C739" s="1" t="e">
        <f ca="1">LEFT(Table3[[#This Row],[URL]],LEN(Table3[[#This Row],[URL]])-4)&amp;"raw=1"</f>
        <v>#NAME?</v>
      </c>
    </row>
    <row r="740" spans="1:3" x14ac:dyDescent="0.3">
      <c r="A740" s="1" t="s">
        <v>2577</v>
      </c>
      <c r="B740" s="3" t="e">
        <f ca="1">geturl(Table3[[#This Row],[File]])</f>
        <v>#NAME?</v>
      </c>
      <c r="C740" s="1" t="e">
        <f ca="1">LEFT(Table3[[#This Row],[URL]],LEN(Table3[[#This Row],[URL]])-4)&amp;"raw=1"</f>
        <v>#NAME?</v>
      </c>
    </row>
    <row r="741" spans="1:3" x14ac:dyDescent="0.3">
      <c r="A741" s="1" t="s">
        <v>2578</v>
      </c>
      <c r="B741" s="3" t="e">
        <f ca="1">geturl(Table3[[#This Row],[File]])</f>
        <v>#NAME?</v>
      </c>
      <c r="C741" s="1" t="e">
        <f ca="1">LEFT(Table3[[#This Row],[URL]],LEN(Table3[[#This Row],[URL]])-4)&amp;"raw=1"</f>
        <v>#NAME?</v>
      </c>
    </row>
    <row r="742" spans="1:3" x14ac:dyDescent="0.3">
      <c r="A742" s="1" t="s">
        <v>2579</v>
      </c>
      <c r="B742" s="3" t="e">
        <f ca="1">geturl(Table3[[#This Row],[File]])</f>
        <v>#NAME?</v>
      </c>
      <c r="C742" s="1" t="e">
        <f ca="1">LEFT(Table3[[#This Row],[URL]],LEN(Table3[[#This Row],[URL]])-4)&amp;"raw=1"</f>
        <v>#NAME?</v>
      </c>
    </row>
    <row r="743" spans="1:3" x14ac:dyDescent="0.3">
      <c r="A743" s="1" t="s">
        <v>2580</v>
      </c>
      <c r="B743" s="3" t="e">
        <f ca="1">geturl(Table3[[#This Row],[File]])</f>
        <v>#NAME?</v>
      </c>
      <c r="C743" s="1" t="e">
        <f ca="1">LEFT(Table3[[#This Row],[URL]],LEN(Table3[[#This Row],[URL]])-4)&amp;"raw=1"</f>
        <v>#NAME?</v>
      </c>
    </row>
    <row r="744" spans="1:3" x14ac:dyDescent="0.3">
      <c r="A744" s="1" t="s">
        <v>2581</v>
      </c>
      <c r="B744" s="3" t="e">
        <f ca="1">geturl(Table3[[#This Row],[File]])</f>
        <v>#NAME?</v>
      </c>
      <c r="C744" s="1" t="e">
        <f ca="1">LEFT(Table3[[#This Row],[URL]],LEN(Table3[[#This Row],[URL]])-4)&amp;"raw=1"</f>
        <v>#NAME?</v>
      </c>
    </row>
    <row r="745" spans="1:3" x14ac:dyDescent="0.3">
      <c r="A745" s="1" t="s">
        <v>312</v>
      </c>
      <c r="B745" s="3" t="e">
        <f ca="1">geturl(Table3[[#This Row],[File]])</f>
        <v>#NAME?</v>
      </c>
      <c r="C745" s="1" t="e">
        <f ca="1">LEFT(Table3[[#This Row],[URL]],LEN(Table3[[#This Row],[URL]])-4)&amp;"raw=1"</f>
        <v>#NAME?</v>
      </c>
    </row>
    <row r="746" spans="1:3" x14ac:dyDescent="0.3">
      <c r="A746" s="1" t="s">
        <v>2582</v>
      </c>
      <c r="B746" s="3" t="e">
        <f ca="1">geturl(Table3[[#This Row],[File]])</f>
        <v>#NAME?</v>
      </c>
      <c r="C746" s="1" t="e">
        <f ca="1">LEFT(Table3[[#This Row],[URL]],LEN(Table3[[#This Row],[URL]])-4)&amp;"raw=1"</f>
        <v>#NAME?</v>
      </c>
    </row>
    <row r="747" spans="1:3" x14ac:dyDescent="0.3">
      <c r="A747" s="1" t="s">
        <v>2583</v>
      </c>
      <c r="B747" s="3" t="e">
        <f ca="1">geturl(Table3[[#This Row],[File]])</f>
        <v>#NAME?</v>
      </c>
      <c r="C747" s="1" t="e">
        <f ca="1">LEFT(Table3[[#This Row],[URL]],LEN(Table3[[#This Row],[URL]])-4)&amp;"raw=1"</f>
        <v>#NAME?</v>
      </c>
    </row>
    <row r="748" spans="1:3" x14ac:dyDescent="0.3">
      <c r="A748" s="1" t="s">
        <v>2584</v>
      </c>
      <c r="B748" s="3" t="e">
        <f ca="1">geturl(Table3[[#This Row],[File]])</f>
        <v>#NAME?</v>
      </c>
      <c r="C748" s="1" t="e">
        <f ca="1">LEFT(Table3[[#This Row],[URL]],LEN(Table3[[#This Row],[URL]])-4)&amp;"raw=1"</f>
        <v>#NAME?</v>
      </c>
    </row>
    <row r="749" spans="1:3" x14ac:dyDescent="0.3">
      <c r="A749" s="1" t="s">
        <v>2585</v>
      </c>
      <c r="B749" s="3" t="e">
        <f ca="1">geturl(Table3[[#This Row],[File]])</f>
        <v>#NAME?</v>
      </c>
      <c r="C749" s="1" t="e">
        <f ca="1">LEFT(Table3[[#This Row],[URL]],LEN(Table3[[#This Row],[URL]])-4)&amp;"raw=1"</f>
        <v>#NAME?</v>
      </c>
    </row>
    <row r="750" spans="1:3" x14ac:dyDescent="0.3">
      <c r="A750" s="1" t="s">
        <v>2586</v>
      </c>
      <c r="B750" s="3" t="e">
        <f ca="1">geturl(Table3[[#This Row],[File]])</f>
        <v>#NAME?</v>
      </c>
      <c r="C750" s="1" t="e">
        <f ca="1">LEFT(Table3[[#This Row],[URL]],LEN(Table3[[#This Row],[URL]])-4)&amp;"raw=1"</f>
        <v>#NAME?</v>
      </c>
    </row>
    <row r="751" spans="1:3" x14ac:dyDescent="0.3">
      <c r="A751" s="1" t="s">
        <v>2587</v>
      </c>
      <c r="B751" s="3" t="e">
        <f ca="1">geturl(Table3[[#This Row],[File]])</f>
        <v>#NAME?</v>
      </c>
      <c r="C751" s="1" t="e">
        <f ca="1">LEFT(Table3[[#This Row],[URL]],LEN(Table3[[#This Row],[URL]])-4)&amp;"raw=1"</f>
        <v>#NAME?</v>
      </c>
    </row>
    <row r="752" spans="1:3" x14ac:dyDescent="0.3">
      <c r="A752" s="1" t="s">
        <v>2588</v>
      </c>
      <c r="B752" s="3" t="e">
        <f ca="1">geturl(Table3[[#This Row],[File]])</f>
        <v>#NAME?</v>
      </c>
      <c r="C752" s="1" t="e">
        <f ca="1">LEFT(Table3[[#This Row],[URL]],LEN(Table3[[#This Row],[URL]])-4)&amp;"raw=1"</f>
        <v>#NAME?</v>
      </c>
    </row>
    <row r="753" spans="1:3" x14ac:dyDescent="0.3">
      <c r="A753" s="1" t="s">
        <v>2589</v>
      </c>
      <c r="B753" s="3" t="e">
        <f ca="1">geturl(Table3[[#This Row],[File]])</f>
        <v>#NAME?</v>
      </c>
      <c r="C753" s="1" t="e">
        <f ca="1">LEFT(Table3[[#This Row],[URL]],LEN(Table3[[#This Row],[URL]])-4)&amp;"raw=1"</f>
        <v>#NAME?</v>
      </c>
    </row>
    <row r="754" spans="1:3" x14ac:dyDescent="0.3">
      <c r="A754" s="1" t="s">
        <v>2590</v>
      </c>
      <c r="B754" s="3" t="e">
        <f ca="1">geturl(Table3[[#This Row],[File]])</f>
        <v>#NAME?</v>
      </c>
      <c r="C754" s="1" t="e">
        <f ca="1">LEFT(Table3[[#This Row],[URL]],LEN(Table3[[#This Row],[URL]])-4)&amp;"raw=1"</f>
        <v>#NAME?</v>
      </c>
    </row>
    <row r="755" spans="1:3" x14ac:dyDescent="0.3">
      <c r="A755" s="1" t="s">
        <v>2591</v>
      </c>
      <c r="B755" s="3" t="e">
        <f ca="1">geturl(Table3[[#This Row],[File]])</f>
        <v>#NAME?</v>
      </c>
      <c r="C755" s="1" t="e">
        <f ca="1">LEFT(Table3[[#This Row],[URL]],LEN(Table3[[#This Row],[URL]])-4)&amp;"raw=1"</f>
        <v>#NAME?</v>
      </c>
    </row>
    <row r="756" spans="1:3" x14ac:dyDescent="0.3">
      <c r="A756" s="1" t="s">
        <v>2592</v>
      </c>
      <c r="B756" s="3" t="e">
        <f ca="1">geturl(Table3[[#This Row],[File]])</f>
        <v>#NAME?</v>
      </c>
      <c r="C756" s="1" t="e">
        <f ca="1">LEFT(Table3[[#This Row],[URL]],LEN(Table3[[#This Row],[URL]])-4)&amp;"raw=1"</f>
        <v>#NAME?</v>
      </c>
    </row>
    <row r="757" spans="1:3" x14ac:dyDescent="0.3">
      <c r="A757" s="1" t="s">
        <v>2593</v>
      </c>
      <c r="B757" s="3" t="e">
        <f ca="1">geturl(Table3[[#This Row],[File]])</f>
        <v>#NAME?</v>
      </c>
      <c r="C757" s="1" t="e">
        <f ca="1">LEFT(Table3[[#This Row],[URL]],LEN(Table3[[#This Row],[URL]])-4)&amp;"raw=1"</f>
        <v>#NAME?</v>
      </c>
    </row>
    <row r="758" spans="1:3" x14ac:dyDescent="0.3">
      <c r="A758" s="1" t="s">
        <v>2594</v>
      </c>
      <c r="B758" s="3" t="e">
        <f ca="1">geturl(Table3[[#This Row],[File]])</f>
        <v>#NAME?</v>
      </c>
      <c r="C758" s="1" t="e">
        <f ca="1">LEFT(Table3[[#This Row],[URL]],LEN(Table3[[#This Row],[URL]])-4)&amp;"raw=1"</f>
        <v>#NAME?</v>
      </c>
    </row>
    <row r="759" spans="1:3" x14ac:dyDescent="0.3">
      <c r="A759" s="1" t="s">
        <v>2595</v>
      </c>
      <c r="B759" s="3" t="e">
        <f ca="1">geturl(Table3[[#This Row],[File]])</f>
        <v>#NAME?</v>
      </c>
      <c r="C759" s="1" t="e">
        <f ca="1">LEFT(Table3[[#This Row],[URL]],LEN(Table3[[#This Row],[URL]])-4)&amp;"raw=1"</f>
        <v>#NAME?</v>
      </c>
    </row>
    <row r="760" spans="1:3" x14ac:dyDescent="0.3">
      <c r="A760" s="1" t="s">
        <v>2596</v>
      </c>
      <c r="B760" s="3" t="e">
        <f ca="1">geturl(Table3[[#This Row],[File]])</f>
        <v>#NAME?</v>
      </c>
      <c r="C760" s="1" t="e">
        <f ca="1">LEFT(Table3[[#This Row],[URL]],LEN(Table3[[#This Row],[URL]])-4)&amp;"raw=1"</f>
        <v>#NAME?</v>
      </c>
    </row>
    <row r="761" spans="1:3" x14ac:dyDescent="0.3">
      <c r="A761" s="1" t="s">
        <v>2597</v>
      </c>
      <c r="B761" s="3" t="e">
        <f ca="1">geturl(Table3[[#This Row],[File]])</f>
        <v>#NAME?</v>
      </c>
      <c r="C761" s="1" t="e">
        <f ca="1">LEFT(Table3[[#This Row],[URL]],LEN(Table3[[#This Row],[URL]])-4)&amp;"raw=1"</f>
        <v>#NAME?</v>
      </c>
    </row>
    <row r="762" spans="1:3" x14ac:dyDescent="0.3">
      <c r="A762" s="1" t="s">
        <v>2598</v>
      </c>
      <c r="B762" s="3" t="e">
        <f ca="1">geturl(Table3[[#This Row],[File]])</f>
        <v>#NAME?</v>
      </c>
      <c r="C762" s="1" t="e">
        <f ca="1">LEFT(Table3[[#This Row],[URL]],LEN(Table3[[#This Row],[URL]])-4)&amp;"raw=1"</f>
        <v>#NAME?</v>
      </c>
    </row>
    <row r="763" spans="1:3" x14ac:dyDescent="0.3">
      <c r="A763" s="1" t="s">
        <v>2599</v>
      </c>
      <c r="B763" s="3" t="e">
        <f ca="1">geturl(Table3[[#This Row],[File]])</f>
        <v>#NAME?</v>
      </c>
      <c r="C763" s="1" t="e">
        <f ca="1">LEFT(Table3[[#This Row],[URL]],LEN(Table3[[#This Row],[URL]])-4)&amp;"raw=1"</f>
        <v>#NAME?</v>
      </c>
    </row>
    <row r="764" spans="1:3" x14ac:dyDescent="0.3">
      <c r="A764" s="1" t="s">
        <v>2600</v>
      </c>
      <c r="B764" s="3" t="e">
        <f ca="1">geturl(Table3[[#This Row],[File]])</f>
        <v>#NAME?</v>
      </c>
      <c r="C764" s="1" t="e">
        <f ca="1">LEFT(Table3[[#This Row],[URL]],LEN(Table3[[#This Row],[URL]])-4)&amp;"raw=1"</f>
        <v>#NAME?</v>
      </c>
    </row>
    <row r="765" spans="1:3" x14ac:dyDescent="0.3">
      <c r="A765" s="1" t="s">
        <v>2601</v>
      </c>
      <c r="B765" s="3" t="e">
        <f ca="1">geturl(Table3[[#This Row],[File]])</f>
        <v>#NAME?</v>
      </c>
      <c r="C765" s="1" t="e">
        <f ca="1">LEFT(Table3[[#This Row],[URL]],LEN(Table3[[#This Row],[URL]])-4)&amp;"raw=1"</f>
        <v>#NAME?</v>
      </c>
    </row>
    <row r="766" spans="1:3" x14ac:dyDescent="0.3">
      <c r="A766" s="1" t="s">
        <v>2602</v>
      </c>
      <c r="B766" s="3" t="e">
        <f ca="1">geturl(Table3[[#This Row],[File]])</f>
        <v>#NAME?</v>
      </c>
      <c r="C766" s="1" t="e">
        <f ca="1">LEFT(Table3[[#This Row],[URL]],LEN(Table3[[#This Row],[URL]])-4)&amp;"raw=1"</f>
        <v>#NAME?</v>
      </c>
    </row>
    <row r="767" spans="1:3" x14ac:dyDescent="0.3">
      <c r="A767" s="1" t="s">
        <v>2603</v>
      </c>
      <c r="B767" s="3" t="e">
        <f ca="1">geturl(Table3[[#This Row],[File]])</f>
        <v>#NAME?</v>
      </c>
      <c r="C767" s="1" t="e">
        <f ca="1">LEFT(Table3[[#This Row],[URL]],LEN(Table3[[#This Row],[URL]])-4)&amp;"raw=1"</f>
        <v>#NAME?</v>
      </c>
    </row>
    <row r="768" spans="1:3" x14ac:dyDescent="0.3">
      <c r="A768" s="1" t="s">
        <v>2604</v>
      </c>
      <c r="B768" s="3" t="e">
        <f ca="1">geturl(Table3[[#This Row],[File]])</f>
        <v>#NAME?</v>
      </c>
      <c r="C768" s="1" t="e">
        <f ca="1">LEFT(Table3[[#This Row],[URL]],LEN(Table3[[#This Row],[URL]])-4)&amp;"raw=1"</f>
        <v>#NAME?</v>
      </c>
    </row>
    <row r="769" spans="1:3" x14ac:dyDescent="0.3">
      <c r="A769" s="1" t="s">
        <v>2605</v>
      </c>
      <c r="B769" s="3" t="e">
        <f ca="1">geturl(Table3[[#This Row],[File]])</f>
        <v>#NAME?</v>
      </c>
      <c r="C769" s="1" t="e">
        <f ca="1">LEFT(Table3[[#This Row],[URL]],LEN(Table3[[#This Row],[URL]])-4)&amp;"raw=1"</f>
        <v>#NAME?</v>
      </c>
    </row>
    <row r="770" spans="1:3" x14ac:dyDescent="0.3">
      <c r="A770" s="1" t="s">
        <v>2606</v>
      </c>
      <c r="B770" s="3" t="e">
        <f ca="1">geturl(Table3[[#This Row],[File]])</f>
        <v>#NAME?</v>
      </c>
      <c r="C770" s="1" t="e">
        <f ca="1">LEFT(Table3[[#This Row],[URL]],LEN(Table3[[#This Row],[URL]])-4)&amp;"raw=1"</f>
        <v>#NAME?</v>
      </c>
    </row>
    <row r="771" spans="1:3" x14ac:dyDescent="0.3">
      <c r="A771" s="1" t="s">
        <v>2607</v>
      </c>
      <c r="B771" s="3" t="e">
        <f ca="1">geturl(Table3[[#This Row],[File]])</f>
        <v>#NAME?</v>
      </c>
      <c r="C771" s="1" t="e">
        <f ca="1">LEFT(Table3[[#This Row],[URL]],LEN(Table3[[#This Row],[URL]])-4)&amp;"raw=1"</f>
        <v>#NAME?</v>
      </c>
    </row>
    <row r="772" spans="1:3" x14ac:dyDescent="0.3">
      <c r="A772" s="1" t="s">
        <v>2608</v>
      </c>
      <c r="B772" s="3" t="e">
        <f ca="1">geturl(Table3[[#This Row],[File]])</f>
        <v>#NAME?</v>
      </c>
      <c r="C772" s="1" t="e">
        <f ca="1">LEFT(Table3[[#This Row],[URL]],LEN(Table3[[#This Row],[URL]])-4)&amp;"raw=1"</f>
        <v>#NAME?</v>
      </c>
    </row>
    <row r="773" spans="1:3" x14ac:dyDescent="0.3">
      <c r="A773" s="1" t="s">
        <v>2609</v>
      </c>
      <c r="B773" s="3" t="e">
        <f ca="1">geturl(Table3[[#This Row],[File]])</f>
        <v>#NAME?</v>
      </c>
      <c r="C773" s="1" t="e">
        <f ca="1">LEFT(Table3[[#This Row],[URL]],LEN(Table3[[#This Row],[URL]])-4)&amp;"raw=1"</f>
        <v>#NAME?</v>
      </c>
    </row>
    <row r="774" spans="1:3" x14ac:dyDescent="0.3">
      <c r="A774" s="1" t="s">
        <v>2610</v>
      </c>
      <c r="B774" s="3" t="e">
        <f ca="1">geturl(Table3[[#This Row],[File]])</f>
        <v>#NAME?</v>
      </c>
      <c r="C774" s="1" t="e">
        <f ca="1">LEFT(Table3[[#This Row],[URL]],LEN(Table3[[#This Row],[URL]])-4)&amp;"raw=1"</f>
        <v>#NAME?</v>
      </c>
    </row>
    <row r="775" spans="1:3" x14ac:dyDescent="0.3">
      <c r="A775" s="1" t="s">
        <v>2611</v>
      </c>
      <c r="B775" s="3" t="e">
        <f ca="1">geturl(Table3[[#This Row],[File]])</f>
        <v>#NAME?</v>
      </c>
      <c r="C775" s="1" t="e">
        <f ca="1">LEFT(Table3[[#This Row],[URL]],LEN(Table3[[#This Row],[URL]])-4)&amp;"raw=1"</f>
        <v>#NAME?</v>
      </c>
    </row>
    <row r="776" spans="1:3" x14ac:dyDescent="0.3">
      <c r="A776" s="1" t="s">
        <v>2612</v>
      </c>
      <c r="B776" s="3" t="e">
        <f ca="1">geturl(Table3[[#This Row],[File]])</f>
        <v>#NAME?</v>
      </c>
      <c r="C776" s="1" t="e">
        <f ca="1">LEFT(Table3[[#This Row],[URL]],LEN(Table3[[#This Row],[URL]])-4)&amp;"raw=1"</f>
        <v>#NAME?</v>
      </c>
    </row>
    <row r="777" spans="1:3" x14ac:dyDescent="0.3">
      <c r="A777" s="1" t="s">
        <v>2613</v>
      </c>
      <c r="B777" s="3" t="e">
        <f ca="1">geturl(Table3[[#This Row],[File]])</f>
        <v>#NAME?</v>
      </c>
      <c r="C777" s="1" t="e">
        <f ca="1">LEFT(Table3[[#This Row],[URL]],LEN(Table3[[#This Row],[URL]])-4)&amp;"raw=1"</f>
        <v>#NAME?</v>
      </c>
    </row>
    <row r="778" spans="1:3" x14ac:dyDescent="0.3">
      <c r="A778" s="1" t="s">
        <v>2614</v>
      </c>
      <c r="B778" s="3" t="e">
        <f ca="1">geturl(Table3[[#This Row],[File]])</f>
        <v>#NAME?</v>
      </c>
      <c r="C778" s="1" t="e">
        <f ca="1">LEFT(Table3[[#This Row],[URL]],LEN(Table3[[#This Row],[URL]])-4)&amp;"raw=1"</f>
        <v>#NAME?</v>
      </c>
    </row>
    <row r="779" spans="1:3" x14ac:dyDescent="0.3">
      <c r="A779" s="1" t="s">
        <v>2615</v>
      </c>
      <c r="B779" s="3" t="e">
        <f ca="1">geturl(Table3[[#This Row],[File]])</f>
        <v>#NAME?</v>
      </c>
      <c r="C779" s="1" t="e">
        <f ca="1">LEFT(Table3[[#This Row],[URL]],LEN(Table3[[#This Row],[URL]])-4)&amp;"raw=1"</f>
        <v>#NAME?</v>
      </c>
    </row>
    <row r="780" spans="1:3" x14ac:dyDescent="0.3">
      <c r="A780" s="1" t="s">
        <v>2616</v>
      </c>
      <c r="B780" s="3" t="e">
        <f ca="1">geturl(Table3[[#This Row],[File]])</f>
        <v>#NAME?</v>
      </c>
      <c r="C780" s="1" t="e">
        <f ca="1">LEFT(Table3[[#This Row],[URL]],LEN(Table3[[#This Row],[URL]])-4)&amp;"raw=1"</f>
        <v>#NAME?</v>
      </c>
    </row>
    <row r="781" spans="1:3" x14ac:dyDescent="0.3">
      <c r="A781" s="1" t="s">
        <v>2617</v>
      </c>
      <c r="B781" s="3" t="e">
        <f ca="1">geturl(Table3[[#This Row],[File]])</f>
        <v>#NAME?</v>
      </c>
      <c r="C781" s="1" t="e">
        <f ca="1">LEFT(Table3[[#This Row],[URL]],LEN(Table3[[#This Row],[URL]])-4)&amp;"raw=1"</f>
        <v>#NAME?</v>
      </c>
    </row>
    <row r="782" spans="1:3" x14ac:dyDescent="0.3">
      <c r="A782" s="1" t="s">
        <v>2618</v>
      </c>
      <c r="B782" s="3" t="e">
        <f ca="1">geturl(Table3[[#This Row],[File]])</f>
        <v>#NAME?</v>
      </c>
      <c r="C782" s="1" t="e">
        <f ca="1">LEFT(Table3[[#This Row],[URL]],LEN(Table3[[#This Row],[URL]])-4)&amp;"raw=1"</f>
        <v>#NAME?</v>
      </c>
    </row>
    <row r="783" spans="1:3" x14ac:dyDescent="0.3">
      <c r="A783" s="1" t="s">
        <v>2619</v>
      </c>
      <c r="B783" s="3" t="e">
        <f ca="1">geturl(Table3[[#This Row],[File]])</f>
        <v>#NAME?</v>
      </c>
      <c r="C783" s="1" t="e">
        <f ca="1">LEFT(Table3[[#This Row],[URL]],LEN(Table3[[#This Row],[URL]])-4)&amp;"raw=1"</f>
        <v>#NAME?</v>
      </c>
    </row>
    <row r="784" spans="1:3" x14ac:dyDescent="0.3">
      <c r="A784" s="1" t="s">
        <v>2620</v>
      </c>
      <c r="B784" s="3" t="e">
        <f ca="1">geturl(Table3[[#This Row],[File]])</f>
        <v>#NAME?</v>
      </c>
      <c r="C784" s="1" t="e">
        <f ca="1">LEFT(Table3[[#This Row],[URL]],LEN(Table3[[#This Row],[URL]])-4)&amp;"raw=1"</f>
        <v>#NAME?</v>
      </c>
    </row>
    <row r="785" spans="1:3" x14ac:dyDescent="0.3">
      <c r="A785" s="1" t="s">
        <v>2621</v>
      </c>
      <c r="B785" s="3" t="e">
        <f ca="1">geturl(Table3[[#This Row],[File]])</f>
        <v>#NAME?</v>
      </c>
      <c r="C785" s="1" t="e">
        <f ca="1">LEFT(Table3[[#This Row],[URL]],LEN(Table3[[#This Row],[URL]])-4)&amp;"raw=1"</f>
        <v>#NAME?</v>
      </c>
    </row>
    <row r="786" spans="1:3" x14ac:dyDescent="0.3">
      <c r="A786" s="1" t="s">
        <v>2622</v>
      </c>
      <c r="B786" s="3" t="e">
        <f ca="1">geturl(Table3[[#This Row],[File]])</f>
        <v>#NAME?</v>
      </c>
      <c r="C786" s="1" t="e">
        <f ca="1">LEFT(Table3[[#This Row],[URL]],LEN(Table3[[#This Row],[URL]])-4)&amp;"raw=1"</f>
        <v>#NAME?</v>
      </c>
    </row>
    <row r="787" spans="1:3" x14ac:dyDescent="0.3">
      <c r="A787" s="1" t="s">
        <v>2623</v>
      </c>
      <c r="B787" s="3" t="e">
        <f ca="1">geturl(Table3[[#This Row],[File]])</f>
        <v>#NAME?</v>
      </c>
      <c r="C787" s="1" t="e">
        <f ca="1">LEFT(Table3[[#This Row],[URL]],LEN(Table3[[#This Row],[URL]])-4)&amp;"raw=1"</f>
        <v>#NAME?</v>
      </c>
    </row>
  </sheetData>
  <sortState xmlns:xlrd2="http://schemas.microsoft.com/office/spreadsheetml/2017/richdata2" ref="A1:A302">
    <sortCondition ref="A1"/>
  </sortState>
  <phoneticPr fontId="2" type="noConversion"/>
  <hyperlinks>
    <hyperlink ref="A2" r:id="rId1" display="https://www.dropbox.com/sh/cx7tus4mgkt9o4n/AACviSYzp3QrMiFIM0-X6AG1a/1g.mid.mp3?dl=0" xr:uid="{910B26F1-3ECC-6040-A531-D7C42FE5D666}"/>
    <hyperlink ref="A3" r:id="rId2" display="https://www.dropbox.com/sh/cx7tus4mgkt9o4n/AACviSYzp3QrMiFIM0-X6AG1a/1g.mid.mp3?dl=0" xr:uid="{E9BC58FE-D1FF-C140-8C97-7A2154D9A4C6}"/>
    <hyperlink ref="A4" r:id="rId3" display="https://www.dropbox.com/sh/cx7tus4mgkt9o4n/AADlo7jLCuNbjulxBSmvtbY5a/1r.mid.mp3?dl=0" xr:uid="{FA466B83-4E75-4141-8C99-991F4510B440}"/>
    <hyperlink ref="A5" r:id="rId4" display="https://www.dropbox.com/sh/cx7tus4mgkt9o4n/AADlo7jLCuNbjulxBSmvtbY5a/1r.mid.mp3?dl=0" xr:uid="{0137F8E1-0975-0D4A-8020-CB5DF31A071C}"/>
    <hyperlink ref="A6" r:id="rId5" display="https://www.dropbox.com/sh/cx7tus4mgkt9o4n/AACI8lCZCf25Ml8dEX3tHBMfa/2g.mid.mp3?dl=0" xr:uid="{E646DBB1-7B1D-6841-930F-A8F703692036}"/>
    <hyperlink ref="A7" r:id="rId6" display="https://www.dropbox.com/sh/cx7tus4mgkt9o4n/AACI8lCZCf25Ml8dEX3tHBMfa/2g.mid.mp3?dl=0" xr:uid="{19015869-27CF-E643-B9D5-A2FE722F0810}"/>
    <hyperlink ref="A8" r:id="rId7" display="https://www.dropbox.com/sh/cx7tus4mgkt9o4n/AACIgD545GM_7t2sYkgQ9--ja/2r.mid.mp3?dl=0" xr:uid="{7A32A68D-6016-CD4C-B9DE-D856A088FFDF}"/>
    <hyperlink ref="A9" r:id="rId8" display="https://www.dropbox.com/sh/cx7tus4mgkt9o4n/AACIgD545GM_7t2sYkgQ9--ja/2r.mid.mp3?dl=0" xr:uid="{4CC023CE-BE42-424D-A691-D1B212ECD1CE}"/>
    <hyperlink ref="A10" r:id="rId9" display="https://www.dropbox.com/sh/cx7tus4mgkt9o4n/AABRhDXFwhjFgZnAI8wGi3Pfa/3g.mid.mp3?dl=0" xr:uid="{1E4CB797-357F-4045-AE9D-CE1C38793217}"/>
    <hyperlink ref="A11" r:id="rId10" display="https://www.dropbox.com/sh/cx7tus4mgkt9o4n/AABRhDXFwhjFgZnAI8wGi3Pfa/3g.mid.mp3?dl=0" xr:uid="{6D16647A-2D1C-6A4D-A146-E101745F3341}"/>
    <hyperlink ref="A12" r:id="rId11" display="https://www.dropbox.com/sh/cx7tus4mgkt9o4n/AADiM5SdtRkf05_974m7h5Iia/3r.mid.mp3?dl=0" xr:uid="{C46EBB89-C333-2648-86D9-1C956AA91082}"/>
    <hyperlink ref="A13" r:id="rId12" display="https://www.dropbox.com/sh/cx7tus4mgkt9o4n/AADiM5SdtRkf05_974m7h5Iia/3r.mid.mp3?dl=0" xr:uid="{2DCEA2A5-4835-A64B-9A75-E957E15C1CC7}"/>
    <hyperlink ref="A14" r:id="rId13" display="https://www.dropbox.com/sh/cx7tus4mgkt9o4n/AACfZzJghSD-eNg2RAIZZ2fJa/4g.mid.mp3?dl=0" xr:uid="{1484368D-C234-1E4A-92DA-6472469423CA}"/>
    <hyperlink ref="A15" r:id="rId14" display="https://www.dropbox.com/sh/cx7tus4mgkt9o4n/AACfZzJghSD-eNg2RAIZZ2fJa/4g.mid.mp3?dl=0" xr:uid="{7D6A4988-E554-6F4A-AFE7-9A648409688F}"/>
    <hyperlink ref="A16" r:id="rId15" display="https://www.dropbox.com/sh/cx7tus4mgkt9o4n/AADvuFbqMgfenqYC8KX_Q-nca/4r.mid.mp3?dl=0" xr:uid="{2A0CA2DE-F54B-B443-B5DF-0B474F37C203}"/>
    <hyperlink ref="A17" r:id="rId16" display="https://www.dropbox.com/sh/cx7tus4mgkt9o4n/AADvuFbqMgfenqYC8KX_Q-nca/4r.mid.mp3?dl=0" xr:uid="{051DCE18-5B25-D04E-878A-873D3B13ECCE}"/>
    <hyperlink ref="A18" r:id="rId17" display="https://www.dropbox.com/sh/cx7tus4mgkt9o4n/AAA33_vLqJ5WYVOKyPAbw5_Aa/5r.mid.mp3?dl=0" xr:uid="{77F26009-C9E8-9D4B-B4DF-6819E8B60E5E}"/>
    <hyperlink ref="A19" r:id="rId18" display="https://www.dropbox.com/sh/cx7tus4mgkt9o4n/AAA33_vLqJ5WYVOKyPAbw5_Aa/5r.mid.mp3?dl=0" xr:uid="{92B9DC16-4C12-4546-A36F-F3705A9B082A}"/>
    <hyperlink ref="A20" r:id="rId19" display="https://www.dropbox.com/sh/cx7tus4mgkt9o4n/AABSlhXusQr41jwr-iEdQZEFa/6g.mid.mp3?dl=0" xr:uid="{76D1A0DF-D7EB-B84E-8BC4-724E2D81B45D}"/>
    <hyperlink ref="A21" r:id="rId20" display="https://www.dropbox.com/sh/cx7tus4mgkt9o4n/AABSlhXusQr41jwr-iEdQZEFa/6g.mid.mp3?dl=0" xr:uid="{2022FDD5-7C28-DF48-A3F9-08A3D2616785}"/>
    <hyperlink ref="A22" r:id="rId21" display="https://www.dropbox.com/sh/cx7tus4mgkt9o4n/AAAetPb2BwfMc_udiaZRlm9_a/6r.mid.mp3?dl=0" xr:uid="{86181275-9BA6-5941-B090-11BB2EE0D22A}"/>
    <hyperlink ref="A23" r:id="rId22" display="https://www.dropbox.com/sh/cx7tus4mgkt9o4n/AAAetPb2BwfMc_udiaZRlm9_a/6r.mid.mp3?dl=0" xr:uid="{72A42CF5-FA02-6147-B9D7-6739493A612B}"/>
    <hyperlink ref="A24" r:id="rId23" display="https://www.dropbox.com/sh/cx7tus4mgkt9o4n/AACtP4aFLZwPSG3vl4g8dy_Pa/7g.mid.mp3?dl=0" xr:uid="{76D9DB4F-DD8A-ED45-9859-D10ADC852958}"/>
    <hyperlink ref="A25" r:id="rId24" display="https://www.dropbox.com/sh/cx7tus4mgkt9o4n/AACtP4aFLZwPSG3vl4g8dy_Pa/7g.mid.mp3?dl=0" xr:uid="{259FE41F-EBDD-1A42-A858-2D46809CD71B}"/>
    <hyperlink ref="A26" r:id="rId25" display="https://www.dropbox.com/sh/cx7tus4mgkt9o4n/AABdy_TMJTbQGei0oqjgJ92_a/8g.mid.mp3?dl=0" xr:uid="{70BFFBF5-7922-1D45-8105-189396198691}"/>
    <hyperlink ref="A27" r:id="rId26" display="https://www.dropbox.com/sh/cx7tus4mgkt9o4n/AABdy_TMJTbQGei0oqjgJ92_a/8g.mid.mp3?dl=0" xr:uid="{6FE725E1-CB85-A74B-9E80-D01D116FA9BA}"/>
    <hyperlink ref="A28" r:id="rId27" display="https://www.dropbox.com/sh/cx7tus4mgkt9o4n/AAAK_tjbewqPXT8wVSrF8FdLa/9g.mid.mp3?dl=0" xr:uid="{9E8D437C-1FFF-3B49-B6F5-F7FF680608F9}"/>
    <hyperlink ref="A29" r:id="rId28" display="https://www.dropbox.com/sh/cx7tus4mgkt9o4n/AAAK_tjbewqPXT8wVSrF8FdLa/9g.mid.mp3?dl=0" xr:uid="{97FA67FD-94CD-CA4F-8F57-C90A366DED78}"/>
    <hyperlink ref="A30" r:id="rId29" display="https://www.dropbox.com/sh/cx7tus4mgkt9o4n/AABpE4yDGLA-qlQ9uO6Y58Yoa/10g.mid.mp3?dl=0" xr:uid="{A5BFE7AB-C2CB-F34B-A2F0-60DFE80CBC21}"/>
    <hyperlink ref="A31" r:id="rId30" display="https://www.dropbox.com/sh/cx7tus4mgkt9o4n/AABpE4yDGLA-qlQ9uO6Y58Yoa/10g.mid.mp3?dl=0" xr:uid="{1C5A4D49-B9F4-554E-A86A-ECF38B1DEE2D}"/>
    <hyperlink ref="A32" r:id="rId31" display="https://www.dropbox.com/sh/cx7tus4mgkt9o4n/AACK6l_JyxjNV0ScKznKe3DLa/11r.mid.mp3?dl=0" xr:uid="{1478C776-E8D8-F043-A3F3-562C223264EE}"/>
    <hyperlink ref="A33" r:id="rId32" display="https://www.dropbox.com/sh/cx7tus4mgkt9o4n/AACK6l_JyxjNV0ScKznKe3DLa/11r.mid.mp3?dl=0" xr:uid="{BDA9E837-7A1B-FC4F-B32B-3EE811B03E5A}"/>
    <hyperlink ref="A34" r:id="rId33" display="https://www.dropbox.com/sh/cx7tus4mgkt9o4n/AACjVeSDGG4uRE0B4lHTnyE1a/15g.mid.mp3?dl=0" xr:uid="{FF52F6BE-867E-654C-948F-4B518C4ED805}"/>
    <hyperlink ref="A35" r:id="rId34" display="https://www.dropbox.com/sh/cx7tus4mgkt9o4n/AACjVeSDGG4uRE0B4lHTnyE1a/15g.mid.mp3?dl=0" xr:uid="{49D61136-070E-8345-8A6F-4617C1C9D35F}"/>
    <hyperlink ref="A36" r:id="rId35" display="https://www.dropbox.com/sh/cx7tus4mgkt9o4n/AAARAms4RjTmobfwqMQfiLsxa/15r.mid.mp3?dl=0" xr:uid="{832CCCA9-88E0-4B42-B01D-DCD5EE1C9BDB}"/>
    <hyperlink ref="A37" r:id="rId36" display="https://www.dropbox.com/sh/cx7tus4mgkt9o4n/AAARAms4RjTmobfwqMQfiLsxa/15r.mid.mp3?dl=0" xr:uid="{E980C8A8-A141-CC48-BD0B-D8532ACF6A4E}"/>
    <hyperlink ref="A38" r:id="rId37" display="https://www.dropbox.com/sh/cx7tus4mgkt9o4n/AABdb_4lZdjy6GTKetqkwSf1a/16g.mid.mp3?dl=0" xr:uid="{7037F18C-A2FA-3147-9CC2-6C2D116659E3}"/>
    <hyperlink ref="A39" r:id="rId38" display="https://www.dropbox.com/sh/cx7tus4mgkt9o4n/AABdb_4lZdjy6GTKetqkwSf1a/16g.mid.mp3?dl=0" xr:uid="{BED3742F-05CE-124F-8E5F-A20F4554C3EB}"/>
    <hyperlink ref="A40" r:id="rId39" display="https://www.dropbox.com/sh/cx7tus4mgkt9o4n/AACGlAz-FrvGreDsJAjY_8Xta/16r.mid.mp3?dl=0" xr:uid="{5CEEF17B-16E9-564F-A7C5-582F7E1F62FC}"/>
    <hyperlink ref="A41" r:id="rId40" display="https://www.dropbox.com/sh/cx7tus4mgkt9o4n/AACGlAz-FrvGreDsJAjY_8Xta/16r.mid.mp3?dl=0" xr:uid="{E1A1F003-CC5B-B34E-A82D-16A6D681EFA4}"/>
    <hyperlink ref="A42" r:id="rId41" display="https://www.dropbox.com/sh/cx7tus4mgkt9o4n/AABTU5Zb6nZAFwcZVCXalOz0a/17g.mid.mp3?dl=0" xr:uid="{802DDE48-BC4C-2740-9E0D-94FE3B0D59C0}"/>
    <hyperlink ref="A43" r:id="rId42" display="https://www.dropbox.com/sh/cx7tus4mgkt9o4n/AABTU5Zb6nZAFwcZVCXalOz0a/17g.mid.mp3?dl=0" xr:uid="{069826C5-B019-CD4D-9A0D-FD9D07F7BC91}"/>
    <hyperlink ref="A44" r:id="rId43" display="https://www.dropbox.com/sh/cx7tus4mgkt9o4n/AADzrQjPG94088BWp116SoTca/17r.mid.mp3?dl=0" xr:uid="{1D2E2DB1-323D-A14E-8569-4C51961B1ED8}"/>
    <hyperlink ref="A45" r:id="rId44" display="https://www.dropbox.com/sh/cx7tus4mgkt9o4n/AADzrQjPG94088BWp116SoTca/17r.mid.mp3?dl=0" xr:uid="{947E6CA2-D7F1-B940-AF77-B93408C0F7AC}"/>
    <hyperlink ref="A46" r:id="rId45" display="https://www.dropbox.com/sh/cx7tus4mgkt9o4n/AADRZDk5wA37w6G1wPgfe3Dva/18g.mid.mp3?dl=0" xr:uid="{DBD7A133-EC2B-8948-9FB9-91301276A868}"/>
    <hyperlink ref="A47" r:id="rId46" display="https://www.dropbox.com/sh/cx7tus4mgkt9o4n/AADRZDk5wA37w6G1wPgfe3Dva/18g.mid.mp3?dl=0" xr:uid="{9ACBF089-7E45-224F-B308-493E82A3E1C4}"/>
    <hyperlink ref="A48" r:id="rId47" display="https://www.dropbox.com/sh/cx7tus4mgkt9o4n/AAB288FKNcSW5uvT_vFUVhdMa/18r.mid.mp3?dl=0" xr:uid="{10B2C721-C8D4-1140-837E-7338990C1C07}"/>
    <hyperlink ref="A49" r:id="rId48" display="https://www.dropbox.com/sh/cx7tus4mgkt9o4n/AAB288FKNcSW5uvT_vFUVhdMa/18r.mid.mp3?dl=0" xr:uid="{AB8F0A5B-B208-7C4E-9644-CBFD1B565D16}"/>
    <hyperlink ref="A50" r:id="rId49" display="https://www.dropbox.com/sh/cx7tus4mgkt9o4n/AABb_7hCSUddPpjPUw1uwC8ba/19g.mid.mp3?dl=0" xr:uid="{9B098CBE-9E90-0E46-A495-F141CB63A212}"/>
    <hyperlink ref="A51" r:id="rId50" display="https://www.dropbox.com/sh/cx7tus4mgkt9o4n/AABb_7hCSUddPpjPUw1uwC8ba/19g.mid.mp3?dl=0" xr:uid="{BE08A9D5-DDA0-BE4F-9C8F-321D2343EAD9}"/>
    <hyperlink ref="A52" r:id="rId51" display="https://www.dropbox.com/sh/cx7tus4mgkt9o4n/AAD1Ttd9zz4gpNbSFxklcCZra/19r.mid.mp3?dl=0" xr:uid="{074BEFFE-CA4F-9446-BFDD-DD9F6167477C}"/>
    <hyperlink ref="A53" r:id="rId52" display="https://www.dropbox.com/sh/cx7tus4mgkt9o4n/AAD1Ttd9zz4gpNbSFxklcCZra/19r.mid.mp3?dl=0" xr:uid="{E72F1346-DE09-9949-B6B7-1BF235F822D4}"/>
    <hyperlink ref="A54" r:id="rId53" display="https://www.dropbox.com/sh/cx7tus4mgkt9o4n/AAAOZ6eEH4pVDd-84t5-sYj1a/20g.mid.mp3?dl=0" xr:uid="{86573007-4996-4E46-81C7-8D181849B976}"/>
    <hyperlink ref="A55" r:id="rId54" display="https://www.dropbox.com/sh/cx7tus4mgkt9o4n/AAADk8GmvBdkabNpfCeGpxpma/20r.mid.mp3?dl=0" xr:uid="{00CB4A77-9E34-7F46-BF8A-B90D6804C150}"/>
    <hyperlink ref="A56" r:id="rId55" display="https://www.dropbox.com/sh/cx7tus4mgkt9o4n/AAADk8GmvBdkabNpfCeGpxpma/20r.mid.mp3?dl=0" xr:uid="{9D0D8AF5-6D12-CE4A-88ED-FE348E3B0704}"/>
    <hyperlink ref="A57" r:id="rId56" display="https://www.dropbox.com/sh/cx7tus4mgkt9o4n/AACPwZr7on9FvXWbhO1Y9HOTa/21g.mid.mp3?dl=0" xr:uid="{DE64F2B6-0A2E-004B-AEFF-0B8299C771AD}"/>
    <hyperlink ref="A58" r:id="rId57" display="https://www.dropbox.com/sh/cx7tus4mgkt9o4n/AACPwZr7on9FvXWbhO1Y9HOTa/21g.mid.mp3?dl=0" xr:uid="{09706D44-82FF-6D43-8160-6A24D1574E95}"/>
    <hyperlink ref="A59" r:id="rId58" display="https://www.dropbox.com/sh/cx7tus4mgkt9o4n/AABY_99ZvPUEDPyLpRJpPx2qa/21r.mid.mp3?dl=0" xr:uid="{7D1E3056-152C-2E4F-B88A-5ED3B51B25D0}"/>
    <hyperlink ref="A60" r:id="rId59" display="https://www.dropbox.com/sh/cx7tus4mgkt9o4n/AADBRaDUjK17yVIQ9hmWuF-La/22g.mid.mp3?dl=0" xr:uid="{35E12E26-E6D6-0C42-A034-E5BCD77F0794}"/>
    <hyperlink ref="A61" r:id="rId60" display="https://www.dropbox.com/sh/cx7tus4mgkt9o4n/AADBRaDUjK17yVIQ9hmWuF-La/22g.mid.mp3?dl=0" xr:uid="{3D2D57C2-6482-A045-BD1B-7667B6327EE7}"/>
    <hyperlink ref="A62" r:id="rId61" display="https://www.dropbox.com/sh/cx7tus4mgkt9o4n/AAAds722uYekWq3ikkELlMH0a/22r.mid.mp3?dl=0" xr:uid="{FA67467B-698E-AA49-BAA1-BE3ADF719FA7}"/>
    <hyperlink ref="A63" r:id="rId62" display="https://www.dropbox.com/sh/cx7tus4mgkt9o4n/AADzwq-pyv1vycCGavxuiq0aa/23g.mid.mp3?dl=0" xr:uid="{F3CCDEE3-467F-0A45-9CF2-F86FC0F353E9}"/>
    <hyperlink ref="A64" r:id="rId63" display="https://www.dropbox.com/sh/cx7tus4mgkt9o4n/AADzwq-pyv1vycCGavxuiq0aa/23g.mid.mp3?dl=0" xr:uid="{30B4BAE3-5F45-E64A-ACFF-4087F361CDEA}"/>
    <hyperlink ref="A65" r:id="rId64" display="https://www.dropbox.com/sh/cx7tus4mgkt9o4n/AAAxi9lygbMr1HgH6e1UgoY7a/23r.mid.mp3?dl=0" xr:uid="{22D83952-4A89-6945-9C34-AC839D1A45F5}"/>
    <hyperlink ref="A66" r:id="rId65" display="https://www.dropbox.com/sh/cx7tus4mgkt9o4n/AAAgB8qyxRSJ9xQGe5E_pBHea/24g.mid.mp3?dl=0" xr:uid="{B40402CA-B82B-0046-A06F-5C5F1C3CEC23}"/>
    <hyperlink ref="A67" r:id="rId66" display="https://www.dropbox.com/sh/cx7tus4mgkt9o4n/AABqB3y1TjbNQrcKgI2qHdIaa/24r.mid.mp3?dl=0" xr:uid="{FC345F3D-F830-0542-A25D-58B57057BE00}"/>
    <hyperlink ref="A68" r:id="rId67" display="https://www.dropbox.com/sh/cx7tus4mgkt9o4n/AAB2eCkCh9a1ewPdtUzKTD2-a/25g.mid.mp3?dl=0" xr:uid="{42B33FA6-DF49-174E-B0CB-4230F71F9501}"/>
    <hyperlink ref="A69" r:id="rId68" display="https://www.dropbox.com/sh/cx7tus4mgkt9o4n/AACkIA7gRiB5Dqjz2fmT6ri4a/25r.mid.mp3?dl=0" xr:uid="{9D3FF275-B987-364E-AF28-BECAC29E5B2A}"/>
    <hyperlink ref="A70" r:id="rId69" display="https://www.dropbox.com/sh/cx7tus4mgkt9o4n/AAD11L3piljUSVGu581RI2bZa/26g.mid.mp3?dl=0" xr:uid="{700D0242-CA28-DD4A-87DE-426FD0AB031D}"/>
    <hyperlink ref="A71" r:id="rId70" display="https://www.dropbox.com/sh/cx7tus4mgkt9o4n/AAARGhCRCfWlHNsriaRjuUXOa/26r.mid.mp3?dl=0" xr:uid="{3E7905EF-7AD7-C149-ACE3-4284D11F3D9E}"/>
    <hyperlink ref="A72" r:id="rId71" display="https://www.dropbox.com/sh/cx7tus4mgkt9o4n/AAAaBf2Y6ZEGRPOHf_zJ3bOla/27g.mid.mp3?dl=0" xr:uid="{ADD7AABA-3C0E-F244-BC92-8660F1779F47}"/>
    <hyperlink ref="A73" r:id="rId72" display="https://www.dropbox.com/sh/cx7tus4mgkt9o4n/AABPN16cBNfl9hxnneQsAyCJa/27r.mid.mp3?dl=0" xr:uid="{654BBC31-CC2D-3E4A-9B09-03B685454211}"/>
    <hyperlink ref="A74" r:id="rId73" display="https://www.dropbox.com/sh/cx7tus4mgkt9o4n/AAAVHSRJp_TDpPpmrxeh2EESa/28g.mid.mp3?dl=0" xr:uid="{21601514-0A7F-B345-88C3-D72A4EF1C4CD}"/>
    <hyperlink ref="A75" r:id="rId74" display="https://www.dropbox.com/sh/cx7tus4mgkt9o4n/AABQPtD99GMymLnLGHh1XZ3Xa/28r.mid.mp3?dl=0" xr:uid="{BD3A3F6C-CD83-6F41-A5E2-CDCD0671DBFF}"/>
    <hyperlink ref="A76" r:id="rId75" display="https://www.dropbox.com/sh/cx7tus4mgkt9o4n/AABtPU9LAljWYe4SwOVJLJE2a/29g.mid.mp3?dl=0" xr:uid="{652E0289-252D-B449-A402-08DCB9A41DBE}"/>
    <hyperlink ref="A77" r:id="rId76" display="https://www.dropbox.com/sh/cx7tus4mgkt9o4n/AABmG-jenaFSyao2JhHTqirda/29g.mp3?dl=0" xr:uid="{A8696046-122D-7842-B35E-78FBD481E25C}"/>
    <hyperlink ref="A78" r:id="rId77" display="https://www.dropbox.com/sh/cx7tus4mgkt9o4n/AADr7Pfui9rBdB6vnOtx8rBJa/29r.mid.mp3?dl=0" xr:uid="{81891A87-15E1-084A-80E9-346571C515FB}"/>
    <hyperlink ref="A79" r:id="rId78" display="https://www.dropbox.com/sh/cx7tus4mgkt9o4n/AACtZxbk6GdFwYJFnTbc57CZa/30g.mid.mp3?dl=0" xr:uid="{B8C3E5C4-D30C-5C4F-A47F-51B6A4B88A5F}"/>
    <hyperlink ref="A80" r:id="rId79" display="https://www.dropbox.com/sh/cx7tus4mgkt9o4n/AABcmKX2NKUx1tivI6dGP3gBa/30r.mid.mp3?dl=0" xr:uid="{B7F46DF7-1B31-FF42-BA93-4C4B6C5AEAA1}"/>
    <hyperlink ref="A81" r:id="rId80" display="https://www.dropbox.com/sh/cx7tus4mgkt9o4n/AABRJuZJjDQ8Zz2YzmA2tMQ4a/31g.mid.mp3?dl=0" xr:uid="{4892C2EA-711B-334D-93EA-101E4492B95F}"/>
    <hyperlink ref="A82" r:id="rId81" display="https://www.dropbox.com/sh/cx7tus4mgkt9o4n/AAC901oBXlQCeAQs0G5iHQ__a/31r.mid.mp3?dl=0" xr:uid="{DD6287AD-3FBF-1B42-B28C-ECEC7E9549D0}"/>
    <hyperlink ref="A83" r:id="rId82" display="https://www.dropbox.com/sh/cx7tus4mgkt9o4n/AAClRJle0DuLiiqMMx4uR6jCa/32g.mid.mp3?dl=0" xr:uid="{1766398F-297F-C548-931B-EF38886D93B2}"/>
    <hyperlink ref="A84" r:id="rId83" display="https://www.dropbox.com/sh/cx7tus4mgkt9o4n/AACivBoT07jz8Bv6asB0qp8qa/32r.mid.mp3?dl=0" xr:uid="{331D4687-85D5-9045-8CA8-2811210E8B6B}"/>
    <hyperlink ref="A85" r:id="rId84" display="https://www.dropbox.com/sh/cx7tus4mgkt9o4n/AABkD8ccRnM36Pgj3ADZ_DFqa/33g.mid.mp3?dl=0" xr:uid="{55D9ECA9-DC6F-5142-A47D-D9817B797781}"/>
    <hyperlink ref="A86" r:id="rId85" display="https://www.dropbox.com/sh/cx7tus4mgkt9o4n/AAA-7MgGbWy-quNgKpKLbdTxa/33r.mid.mp3?dl=0" xr:uid="{B142C572-D8A2-B44D-BF4D-69FE08F6D7CD}"/>
    <hyperlink ref="A87" r:id="rId86" display="https://www.dropbox.com/sh/cx7tus4mgkt9o4n/AAAQ44_ZEYomir23oaVCNiYXa/34g.mid.mp3?dl=0" xr:uid="{24B7A0C0-E841-B34C-9BB6-3CA216677AC3}"/>
    <hyperlink ref="A88" r:id="rId87" display="https://www.dropbox.com/sh/cx7tus4mgkt9o4n/AACFGVOko6dulJPfXB85kHu4a/34r.mid.mp3?dl=0" xr:uid="{8D53725A-30E5-2743-9F43-FBDC8B18FD1C}"/>
    <hyperlink ref="A89" r:id="rId88" display="https://www.dropbox.com/sh/cx7tus4mgkt9o4n/AAD9ZRhkbe4WMGN1jCElGWhRa/35g.mid.mp3?dl=0" xr:uid="{57830F55-9D37-E24B-8A33-D626DB8613C9}"/>
    <hyperlink ref="A90" r:id="rId89" display="https://www.dropbox.com/sh/cx7tus4mgkt9o4n/AAAf1zJSxUvx8W1lj6BZhYm4a/35r.mid.mp3?dl=0" xr:uid="{21CF63C2-3FC2-0D48-82BF-BB1C32939374}"/>
    <hyperlink ref="A91" r:id="rId90" display="https://www.dropbox.com/sh/cx7tus4mgkt9o4n/AADS0Q87qjL6Ak-baGLUV3N4a/36g.mid.mp3?dl=0" xr:uid="{A4053C0E-9FA2-944F-AC3D-D3BF79210D86}"/>
    <hyperlink ref="A92" r:id="rId91" display="https://www.dropbox.com/sh/cx7tus4mgkt9o4n/AAAlwf_1dKLcDg1gVZwuZzgIa/36r.mid.mp3?dl=0" xr:uid="{85E13C27-F94F-144C-9A0D-B80145E9ACB3}"/>
    <hyperlink ref="A93" r:id="rId92" display="https://www.dropbox.com/sh/cx7tus4mgkt9o4n/AAAB0_x9hiWqplLHcdQP6i2Sa/37g.mid.mp3?dl=0" xr:uid="{40125FB3-7C45-5749-BF81-AE23C05CA92E}"/>
    <hyperlink ref="A94" r:id="rId93" display="https://www.dropbox.com/sh/cx7tus4mgkt9o4n/AABQaMxuCfro9ZVxaKDQbAQXa/37r.mid.mp3?dl=0" xr:uid="{DC951FA1-329A-1F4E-A3F5-88F4C0238105}"/>
    <hyperlink ref="A95" r:id="rId94" display="https://www.dropbox.com/sh/cx7tus4mgkt9o4n/AAA6ki2zGFizOTulyh65YBySa/38g.mid.mp3?dl=0" xr:uid="{49AED7F8-530D-DD47-8D12-3F23F0EE0B83}"/>
    <hyperlink ref="A96" r:id="rId95" display="https://www.dropbox.com/sh/cx7tus4mgkt9o4n/AACRf-1XnW9qO-P1cjx0PRlMa/38r.mid.mp3?dl=0" xr:uid="{328B5D31-35D6-7340-9EFD-EA61F8A686EA}"/>
    <hyperlink ref="A97" r:id="rId96" display="https://www.dropbox.com/sh/cx7tus4mgkt9o4n/AAAEHJl5QVVmci0qJ864iayoa/39g.mid.mp3?dl=0" xr:uid="{FB406C34-C1DF-9A42-880A-1E457C3DB4EE}"/>
    <hyperlink ref="A98" r:id="rId97" display="https://www.dropbox.com/sh/cx7tus4mgkt9o4n/AACjiNSUGENxkpoDLs7HCNj5a/39r.mid.mp3?dl=0" xr:uid="{6BA95247-B42C-1940-ADA9-D79D3C5A3F34}"/>
    <hyperlink ref="A99" r:id="rId98" display="https://www.dropbox.com/sh/cx7tus4mgkt9o4n/AACYJHI3ipDfFF6e1gDMmRKua/40g.mid.mp3?dl=0" xr:uid="{85008390-57DD-AB43-93B5-225752BBCC37}"/>
    <hyperlink ref="A100" r:id="rId99" display="https://www.dropbox.com/sh/cx7tus4mgkt9o4n/AADWPnEPy8WOn1FRl60ld2tQa/40r.mid.mp3?dl=0" xr:uid="{2AACAF56-32FF-8545-A431-87A936AF5151}"/>
    <hyperlink ref="A101" r:id="rId100" display="https://www.dropbox.com/sh/cx7tus4mgkt9o4n/AAAS0zCsK_Iyt2a-gWxnDiQ6a/41g.mid.mp3?dl=0" xr:uid="{5E020F57-EEB6-EC43-92EF-1734F5CDF589}"/>
    <hyperlink ref="A102" r:id="rId101" display="https://www.dropbox.com/sh/cx7tus4mgkt9o4n/AACNzJ2gh4BhuHCmm8nvENLea/41r.mid.mp3?dl=0" xr:uid="{BC30EA5F-D39F-3841-B1FC-708486D679FD}"/>
    <hyperlink ref="A103" r:id="rId102" display="https://www.dropbox.com/sh/cx7tus4mgkt9o4n/AABK8lKZUj_ConRPAVDWarFOa/42g.mid.mp3?dl=0" xr:uid="{B76C929A-85FF-3A44-85BB-04019276ECCF}"/>
    <hyperlink ref="A104" r:id="rId103" display="https://www.dropbox.com/sh/cx7tus4mgkt9o4n/AADv9_kQN5coSWSwjvhCobXaa/42r.mid.mp3?dl=0" xr:uid="{41F459CA-9E1B-7A45-8DF4-B1B2999977FA}"/>
    <hyperlink ref="A105" r:id="rId104" display="https://www.dropbox.com/sh/cx7tus4mgkt9o4n/AADc2hPBoQxohK7UPrpC6pSIa/43g.mid.mp3?dl=0" xr:uid="{271C81A4-967D-6042-BEF1-732D7B300524}"/>
    <hyperlink ref="A106" r:id="rId105" display="https://www.dropbox.com/sh/cx7tus4mgkt9o4n/AABsVOfrXGXqEJAAupCoe2AGa/43r.mid.mp3?dl=0" xr:uid="{8B4E8072-AA75-0A4F-8BB3-ED8161FC9BC9}"/>
    <hyperlink ref="A107" r:id="rId106" display="https://www.dropbox.com/sh/cx7tus4mgkt9o4n/AAD_v8QskSSTsXZMkSdvdo9Ga/44g.mid.mp3?dl=0" xr:uid="{4164162C-B1F9-AD46-A21F-2D7A17B8BDDB}"/>
    <hyperlink ref="A108" r:id="rId107" display="https://www.dropbox.com/sh/cx7tus4mgkt9o4n/AADqVix9RUM1JrIw8UTHlXYZa/44r.mid.mp3?dl=0" xr:uid="{EC6EDC6B-F410-CE4C-92CD-1DCB1345D278}"/>
    <hyperlink ref="A109" r:id="rId108" display="https://www.dropbox.com/sh/cx7tus4mgkt9o4n/AABDBY5PPeFZuv5yu5zuYOmUa/45g.mid.mp3?dl=0" xr:uid="{0BE74545-A869-E043-9370-17A40AFA38CB}"/>
    <hyperlink ref="A110" r:id="rId109" display="https://www.dropbox.com/sh/cx7tus4mgkt9o4n/AAC6_vc5j0lnxWrx3bC_rYdUa/45r.mid.mp3?dl=0" xr:uid="{9DF40F08-B6D7-D94F-B1B5-F7E92BEDC745}"/>
    <hyperlink ref="A111" r:id="rId110" display="https://www.dropbox.com/sh/cx7tus4mgkt9o4n/AABKN9Ee0LWLbN-ev9w2vkpla/46g.mid.mp3?dl=0" xr:uid="{F5B79DB6-0B3F-B54D-8907-7A8526A9E983}"/>
    <hyperlink ref="A112" r:id="rId111" display="https://www.dropbox.com/sh/cx7tus4mgkt9o4n/AAA-4ehujgqB5IzTZ9ynCUCxa/46r.mid.mp3?dl=0" xr:uid="{EC7F8581-D0C4-9C47-BE63-8AC3E23B421C}"/>
    <hyperlink ref="A113" r:id="rId112" display="https://www.dropbox.com/sh/cx7tus4mgkt9o4n/AACH8n18Qc3svMHSkPYvZgi6a/47g.mid.mp3?dl=0" xr:uid="{C626074C-BDB4-BB40-B009-4421D5BC98F5}"/>
    <hyperlink ref="A114" r:id="rId113" display="https://www.dropbox.com/sh/cx7tus4mgkt9o4n/AAA3PPSfTlBEeajPLVmC4wExa/47r.mid.mp3?dl=0" xr:uid="{F5F1B293-5931-4E4A-889F-E56D7978705B}"/>
    <hyperlink ref="A115" r:id="rId114" display="https://www.dropbox.com/sh/cx7tus4mgkt9o4n/AADucXL1OF9bL8rI4ncSUl2_a/48g.mid.mp3?dl=0" xr:uid="{86050B48-9126-8B47-A9FF-63C747912011}"/>
    <hyperlink ref="A116" r:id="rId115" display="https://www.dropbox.com/sh/cx7tus4mgkt9o4n/AADjAPsAKfKWXKJ8SU3ykeaIa/48r.mid.mp3?dl=0" xr:uid="{17168B70-EDBD-374D-A2E6-1BB728C21A07}"/>
    <hyperlink ref="A117" r:id="rId116" display="https://www.dropbox.com/sh/cx7tus4mgkt9o4n/AADKaBOhgwp1-lGcmPFZBE7Qa/49r.mid.mp3?dl=0" xr:uid="{D2336CC7-004B-304A-B20A-491B9A7F4B91}"/>
    <hyperlink ref="A118" r:id="rId117" display="https://www.dropbox.com/sh/cx7tus4mgkt9o4n/AABw1c1ihifQnG1nYJf6a8dra/50g.mid.mp3?dl=0" xr:uid="{847EDB9A-7E18-2D44-92BC-E5FE0EA5A2A1}"/>
    <hyperlink ref="A119" r:id="rId118" display="https://www.dropbox.com/sh/cx7tus4mgkt9o4n/AAAab5cDZESa39ibrw6zkAuca/50r.mid.mp3?dl=0" xr:uid="{82E3AAA4-A641-0A4A-A171-C95A7E6D8E88}"/>
    <hyperlink ref="A120" r:id="rId119" display="https://www.dropbox.com/sh/cx7tus4mgkt9o4n/AADv5Vgj6o0TxqIj-QBFMmjia/51g.mid.mp3?dl=0" xr:uid="{67F88775-1FB0-D34C-B743-A0DD7A96D507}"/>
    <hyperlink ref="A121" r:id="rId120" display="https://www.dropbox.com/sh/cx7tus4mgkt9o4n/AABKGOBETBzkl97qEV7b1o_Ba/51r.mid.mp3?dl=0" xr:uid="{897B58FB-130E-024E-B7DD-02E7801B1B7B}"/>
    <hyperlink ref="A122" r:id="rId121" display="https://www.dropbox.com/sh/cx7tus4mgkt9o4n/AADKMd72pIRzRqFWI20rG6iCa/52g.mid.mp3?dl=0" xr:uid="{EA927E1B-27DB-F449-8539-46B9E39B8A64}"/>
    <hyperlink ref="A123" r:id="rId122" display="https://www.dropbox.com/sh/cx7tus4mgkt9o4n/AAASLLvAUqqJIuGHHU0aqebxa/52r.mid.mp3?dl=0" xr:uid="{FE1C9026-F993-3A43-A5A2-7D5D2501391E}"/>
    <hyperlink ref="A124" r:id="rId123" display="https://www.dropbox.com/sh/cx7tus4mgkt9o4n/AAC8Ppv6c5I1FEDq3vmmzTGja/53g.mid.mp3?dl=0" xr:uid="{C96CF20A-21E8-1E4E-A183-E679B68F7465}"/>
    <hyperlink ref="A125" r:id="rId124" display="https://www.dropbox.com/sh/cx7tus4mgkt9o4n/AAD2s3mo1w631_djnMDrfyDBa/53r.mid.mp3?dl=0" xr:uid="{6261F2E5-6B21-DC41-B703-842608A6022E}"/>
    <hyperlink ref="A126" r:id="rId125" display="https://www.dropbox.com/sh/cx7tus4mgkt9o4n/AABTKC1_i3xw0t4Z3HpvKB1pa/54g.mid.mp3?dl=0" xr:uid="{4DF789D0-A16E-B34B-B12E-995E2F79B3EA}"/>
    <hyperlink ref="A127" r:id="rId126" display="https://www.dropbox.com/sh/cx7tus4mgkt9o4n/AAChXNceQZq8IyHdHFHimOeBa/54r.mid.mp3?dl=0" xr:uid="{48AE7869-6099-414D-A759-D9C2F7F68AE0}"/>
    <hyperlink ref="A128" r:id="rId127" display="https://www.dropbox.com/sh/cx7tus4mgkt9o4n/AADnJ41oqHTORl5BVL3zD4rMa/55g.mid.mp3?dl=0" xr:uid="{B44E0E14-F146-7F49-8299-02C410D9891F}"/>
    <hyperlink ref="A129" r:id="rId128" display="https://www.dropbox.com/sh/cx7tus4mgkt9o4n/AACQX-lcu1iv-BDwGvWY91k7a/55r.mid.mp3?dl=0" xr:uid="{00B1EF3A-74D6-6B4A-B49C-1A3E792A1B4C}"/>
    <hyperlink ref="A130" r:id="rId129" display="https://www.dropbox.com/sh/cx7tus4mgkt9o4n/AABuZQ9U6gDrkR6UDsxlYhS_a/56g.mid.mp3?dl=0" xr:uid="{3C0DA0D8-405F-1D4F-9780-EBDCC2E0615B}"/>
    <hyperlink ref="A131" r:id="rId130" display="https://www.dropbox.com/sh/cx7tus4mgkt9o4n/AACSI1qMCCBNeAgBuWqh1xtLa/56r.mid.mp3?dl=0" xr:uid="{50BC0E44-AA79-764D-8144-DE948751D612}"/>
    <hyperlink ref="A132" r:id="rId131" display="https://www.dropbox.com/sh/cx7tus4mgkt9o4n/AADErirwTzw7jQT3Ewrx11bma/57r.mid.mp3?dl=0" xr:uid="{7391C8EC-CBE9-1D46-8D57-E380D98C5642}"/>
    <hyperlink ref="A133" r:id="rId132" display="https://www.dropbox.com/sh/cx7tus4mgkt9o4n/AAApzmNUiO4TyObd_qjDZgSca/58g.mid.mp3?dl=0" xr:uid="{4C0D0036-B071-B348-BA99-D87D5A6C9114}"/>
    <hyperlink ref="A134" r:id="rId133" display="https://www.dropbox.com/sh/cx7tus4mgkt9o4n/AAA-HRJAWpDc2kR-CN5zSUjua/58r.mid.mp3?dl=0" xr:uid="{D9D948FD-A6D1-AD47-AA89-C9D3395FFD59}"/>
    <hyperlink ref="A135" r:id="rId134" display="https://www.dropbox.com/sh/cx7tus4mgkt9o4n/AABZs_OI1S_wvn0pYm_Hp3Q2a/59g.mid.mp3?dl=0" xr:uid="{73CFD7AC-2D11-8843-947E-E85D3691D27E}"/>
    <hyperlink ref="A136" r:id="rId135" display="https://www.dropbox.com/sh/cx7tus4mgkt9o4n/AADDiHhWhrM-liW8RUZ9ADYna/59r.mid.mp3?dl=0" xr:uid="{3A5AEFC0-730B-CF43-B1A5-9BF611B4DC11}"/>
    <hyperlink ref="A137" r:id="rId136" display="https://www.dropbox.com/sh/cx7tus4mgkt9o4n/AAAV5tYGB2u_53TniuOi6p0ra/60g.mid.mp3?dl=0" xr:uid="{6253CEAD-90C2-FD47-9D26-25B787476809}"/>
    <hyperlink ref="A138" r:id="rId137" display="https://www.dropbox.com/sh/cx7tus4mgkt9o4n/AACEuNpG1inky0YG3SbdnTdfa/60r.mid.mp3?dl=0" xr:uid="{6D5A2399-DBAB-494E-B94C-86B465B0717D}"/>
    <hyperlink ref="A139" r:id="rId138" display="https://www.dropbox.com/sh/cx7tus4mgkt9o4n/AACVLPSW2BWEfWENuhy6UazJa/61g.mid.mp3?dl=0" xr:uid="{9313A0FE-B6D7-D04D-8B80-73B5AC17A50A}"/>
    <hyperlink ref="A140" r:id="rId139" display="https://www.dropbox.com/sh/cx7tus4mgkt9o4n/AAC9hx98ApWqGxcgtSbbK6oZa/61r.mid.mp3?dl=0" xr:uid="{FC15FA56-AC7F-594C-B88F-F2989A615A03}"/>
    <hyperlink ref="A141" r:id="rId140" display="https://www.dropbox.com/sh/cx7tus4mgkt9o4n/AACbIF-HYFH_f-sSrzbfvtp6a/62g.mid.mp3?dl=0" xr:uid="{379BF3F0-AEA2-974C-9597-D094564C73EF}"/>
    <hyperlink ref="A142" r:id="rId141" display="https://www.dropbox.com/sh/cx7tus4mgkt9o4n/AABKW_7pZi_PFy344n_M9H_sa/62r.mid.mp3?dl=0" xr:uid="{0B90B63A-8D07-DE42-BA47-1BB759110729}"/>
    <hyperlink ref="A143" r:id="rId142" display="https://www.dropbox.com/sh/cx7tus4mgkt9o4n/AAA4_nEWVe_m3UpbYnLYvbB8a/63g.mid.mp3?dl=0" xr:uid="{40DEB655-FE67-DF4E-AEA0-3475EEE519F0}"/>
    <hyperlink ref="A144" r:id="rId143" display="https://www.dropbox.com/sh/cx7tus4mgkt9o4n/AADanftOekAi-6T7V8DsB0lpa/63r.mid.mp3?dl=0" xr:uid="{155C9ADB-F332-814F-BE7D-5B52A8DDA17C}"/>
    <hyperlink ref="A145" r:id="rId144" display="https://www.dropbox.com/sh/cx7tus4mgkt9o4n/AACG2ZO318myfmSCpqEctQ83a/64g.mid.mp3?dl=0" xr:uid="{9D1D3BD0-9B21-EE4B-8D1E-6ACE3E38BF9A}"/>
    <hyperlink ref="A146" r:id="rId145" display="https://www.dropbox.com/sh/cx7tus4mgkt9o4n/AAAMlq2tty99a0hooWoir2lxa/64r.mid.mp3?dl=0" xr:uid="{EA60F7BA-DB02-8D4E-A954-A6BDF7C7F3E5}"/>
    <hyperlink ref="A147" r:id="rId146" display="https://www.dropbox.com/sh/cx7tus4mgkt9o4n/AAAPmlWCXf9wUGn7t0xs2U8Sa/65g.mid.mp3?dl=0" xr:uid="{7F68BEF5-1AC0-0F42-AC4E-E8C562747202}"/>
    <hyperlink ref="A148" r:id="rId147" display="https://www.dropbox.com/sh/cx7tus4mgkt9o4n/AAAiViPLwMudA7APU0NK-RHIa/65r.mid.mp3?dl=0" xr:uid="{D2C7352E-2207-3D4E-A6C3-C2A52AFC26AB}"/>
    <hyperlink ref="A149" r:id="rId148" display="https://www.dropbox.com/sh/cx7tus4mgkt9o4n/AACfxdBz8YrAi5FP3nTnOj9Oa/66g.mid.mp3?dl=0" xr:uid="{017F6B7C-82F7-BC43-9AF2-369A6E4CE012}"/>
    <hyperlink ref="A150" r:id="rId149" display="https://www.dropbox.com/sh/cx7tus4mgkt9o4n/AAA3oez4fAUD0gaNGzJ_cwAga/66r.mid.mp3?dl=0" xr:uid="{1A1F45D9-8240-7741-BECD-94E2DCC951B0}"/>
    <hyperlink ref="A151" r:id="rId150" display="https://www.dropbox.com/sh/cx7tus4mgkt9o4n/AACEkGwDx2tsbBjxRCwbH6-Pa/67g.mid.mp3?dl=0" xr:uid="{76D10E06-99A8-F141-9049-6EB2A15C19DD}"/>
    <hyperlink ref="A152" r:id="rId151" display="https://www.dropbox.com/sh/cx7tus4mgkt9o4n/AAAbMKBphR4E8sfNyQ12HCsla/67r.mid.mp3?dl=0" xr:uid="{4543519E-27A0-7B49-ADA8-8392DDDE3B79}"/>
    <hyperlink ref="A153" r:id="rId152" display="https://www.dropbox.com/sh/cx7tus4mgkt9o4n/AACt33JWhTPHr7aDKKbWuHjDa/68g.mid.mp3?dl=0" xr:uid="{E8F06F5C-8150-CE42-84D7-746AE188ED8A}"/>
    <hyperlink ref="A154" r:id="rId153" display="https://www.dropbox.com/sh/cx7tus4mgkt9o4n/AADIKEUFTo9qaAdjwtWympIfa/68r.mid.mp3?dl=0" xr:uid="{459E8B82-2BEF-9A49-95B6-A7A2D4079F16}"/>
    <hyperlink ref="A155" r:id="rId154" display="https://www.dropbox.com/sh/cx7tus4mgkt9o4n/AAAoJ7jCy3kEIRQujnQCX8HVa/69g.mid.mp3?dl=0" xr:uid="{513DB032-4A6A-BA45-8916-D0FDC29F9843}"/>
    <hyperlink ref="A156" r:id="rId155" display="https://www.dropbox.com/sh/cx7tus4mgkt9o4n/AACmLfNO1V8vBNKPIX9sSMACa/69r.mid.mp3?dl=0" xr:uid="{4BFC6E52-510F-AC44-90C2-E53AAE12ADBC}"/>
    <hyperlink ref="A157" r:id="rId156" display="https://www.dropbox.com/sh/cx7tus4mgkt9o4n/AABvojg-qWcp1una5NBNJXiAa/70g.mid.mp3?dl=0" xr:uid="{4C477DC2-C130-474B-A9A3-02155DD771EF}"/>
    <hyperlink ref="A158" r:id="rId157" display="https://www.dropbox.com/sh/cx7tus4mgkt9o4n/AAAS-yrK1uFmcPx2lWZdlUFda/70r.mid.mp3?dl=0" xr:uid="{412DC9AD-B108-0246-B36E-0967C34E0B88}"/>
    <hyperlink ref="A159" r:id="rId158" display="https://www.dropbox.com/sh/cx7tus4mgkt9o4n/AADNZc4CV67su0OAdFDEe7Qta/71r.mid.mp3?dl=0" xr:uid="{EC32DB84-95C9-BB42-9D32-1235EBEF833F}"/>
    <hyperlink ref="A160" r:id="rId159" display="https://www.dropbox.com/sh/cx7tus4mgkt9o4n/AACE4Mbj26qfnRXeqKjkDUEVa/72g.mid.mp3?dl=0" xr:uid="{FA79BB50-3997-7C40-95F9-C488CC82C719}"/>
    <hyperlink ref="A161" r:id="rId160" display="https://www.dropbox.com/sh/cx7tus4mgkt9o4n/AABNYBoAQocsb3434A1lcoDka/72r.mid.mp3?dl=0" xr:uid="{B5BD1A39-20BA-DC4B-9938-C7611546ACF9}"/>
    <hyperlink ref="A162" r:id="rId161" display="https://www.dropbox.com/sh/cx7tus4mgkt9o4n/AACp-uGZI3kRrLupE3bgPPhfa/73g.mid.mp3?dl=0" xr:uid="{7B6F63AB-7F38-DA49-B011-ABF15240AE4A}"/>
    <hyperlink ref="A163" r:id="rId162" display="https://www.dropbox.com/sh/cx7tus4mgkt9o4n/AAAHrpcDlD8cWsA5PgKECw0ta/73r.mid.mp3?dl=0" xr:uid="{2BEED01F-C921-5147-A13E-5023C3D4F8FD}"/>
    <hyperlink ref="A164" r:id="rId163" display="https://www.dropbox.com/sh/cx7tus4mgkt9o4n/AAAAolpBtbcdRVO30Qc4iUsMa/74g.mid.mp3?dl=0" xr:uid="{7C88F098-0ABE-7B43-B945-7EF0E23A78C7}"/>
    <hyperlink ref="A165" r:id="rId164" display="https://www.dropbox.com/sh/cx7tus4mgkt9o4n/AAAx13-kY3AP6nnlIHQR45JWa/74r.mid.mp3?dl=0" xr:uid="{4EA486F2-9CF3-1C44-89BA-0CF34C0CA70D}"/>
    <hyperlink ref="A166" r:id="rId165" display="https://www.dropbox.com/sh/cx7tus4mgkt9o4n/AACdu9xpNubJ-Jx7uTibjWYua/75r.mid.mp3?dl=0" xr:uid="{F444FE3A-9B6C-144F-96CB-C0B30B36BA2E}"/>
    <hyperlink ref="A167" r:id="rId166" display="https://www.dropbox.com/sh/cx7tus4mgkt9o4n/AADUrz6O-N622vrZjiRJxW2Ea/76g.mid.mp3?dl=0" xr:uid="{1C2C800A-58E5-8F40-8426-9B278A6A8DB6}"/>
    <hyperlink ref="A168" r:id="rId167" display="https://www.dropbox.com/sh/cx7tus4mgkt9o4n/AAC22uVg4GAdXXZK2_fONUuda/76r.mid.mp3?dl=0" xr:uid="{C79D159E-7412-9446-855E-7BEA778C2202}"/>
    <hyperlink ref="A169" r:id="rId168" display="https://www.dropbox.com/sh/cx7tus4mgkt9o4n/AABRitVdN0vEb32AtW7eMxGRa/77g.mid.mp3?dl=0" xr:uid="{BB6C7910-6833-044E-B354-AA32A91AA3B6}"/>
    <hyperlink ref="A170" r:id="rId169" display="https://www.dropbox.com/sh/cx7tus4mgkt9o4n/AAAiUMTmrZ1ptJpLhwm-d8zSa/77r.mid.mp3?dl=0" xr:uid="{3457FF3F-9E8A-6744-845B-ED324461B682}"/>
    <hyperlink ref="A171" r:id="rId170" display="https://www.dropbox.com/sh/cx7tus4mgkt9o4n/AADQFlmKJUknm4mKcuEmxx1_a/78r.mid.mp3?dl=0" xr:uid="{85BA5EC6-C4E1-F04D-96A1-DB2AD8A13BCA}"/>
    <hyperlink ref="A172" r:id="rId171" display="https://www.dropbox.com/sh/cx7tus4mgkt9o4n/AADb-rz4a5wJDyXzw4G9xmzCa/79r.mid.mp3?dl=0" xr:uid="{CFFB8B72-D844-3D4F-A638-3DB5F2A9490E}"/>
    <hyperlink ref="A173" r:id="rId172" display="https://www.dropbox.com/sh/cx7tus4mgkt9o4n/AABMG8zj4CePZxxjIEdE2-gma/80g.mid.mp3?dl=0" xr:uid="{80AB5BEE-BC9D-264B-9496-1E8F581686C7}"/>
    <hyperlink ref="A174" r:id="rId173" display="https://www.dropbox.com/sh/cx7tus4mgkt9o4n/AABqG2luCbH08wpVmCMqkRTMa/80r.mid.mp3?dl=0" xr:uid="{E7C7631A-96B6-2347-9676-F985F752F132}"/>
    <hyperlink ref="A175" r:id="rId174" display="https://www.dropbox.com/sh/cx7tus4mgkt9o4n/AAAN9bgcwPSb6FJmq_1f47dla/81g.mid.mp3?dl=0" xr:uid="{6C3D355C-9845-564F-9FA4-778516FB370C}"/>
    <hyperlink ref="A176" r:id="rId175" display="https://www.dropbox.com/sh/cx7tus4mgkt9o4n/AAAobL041BurQA1JLL8ysy0da/81r.mid.mp3?dl=0" xr:uid="{0FBF7590-C3C0-514B-8F54-543E9E54BD61}"/>
    <hyperlink ref="A177" r:id="rId176" display="https://www.dropbox.com/sh/cx7tus4mgkt9o4n/AABYMStiKegQ_bWWHAMiSN6qa/82g.mid.mp3?dl=0" xr:uid="{73AE0324-9329-524D-818C-62325221EAD8}"/>
    <hyperlink ref="A178" r:id="rId177" display="https://www.dropbox.com/sh/cx7tus4mgkt9o4n/AAAX3PIyRpcadQV2x9z7cFBMa/82r.mid.mp3?dl=0" xr:uid="{7EA93E3A-C35E-7743-A858-C7CD6B29C684}"/>
    <hyperlink ref="A179" r:id="rId178" display="https://www.dropbox.com/sh/cx7tus4mgkt9o4n/AABwmkDv7bBQ20-clMC2sn_ga/83g.mid.mp3?dl=0" xr:uid="{E7EC4560-A31E-0C49-B934-B015C1485921}"/>
    <hyperlink ref="A180" r:id="rId179" display="https://www.dropbox.com/sh/cx7tus4mgkt9o4n/AABemW6hyozK4IJzFnmf01jpa/83r.mid.mp3?dl=0" xr:uid="{D632B8FF-3EC6-2545-AC86-182DE6F69451}"/>
    <hyperlink ref="A181" r:id="rId180" display="https://www.dropbox.com/sh/cx7tus4mgkt9o4n/AABOHc2EkxBONUx5BVIjaoJEa/84g.mid.mp3?dl=0" xr:uid="{01FA8E7E-579D-B344-9DFD-7C71111B62A5}"/>
    <hyperlink ref="A182" r:id="rId181" display="https://www.dropbox.com/sh/cx7tus4mgkt9o4n/AAA3y2tbjIrR69qGTYJEeV3Ya/84r.mid.mp3?dl=0" xr:uid="{0B9F1B1A-1EC7-AD4C-A5C2-617A392A9309}"/>
    <hyperlink ref="A183" r:id="rId182" display="https://www.dropbox.com/sh/cx7tus4mgkt9o4n/AACzpKb0GcaJLz0elit4AXKBa/85g.mid.mp3?dl=0" xr:uid="{2EB35C3C-9347-AC49-8FEB-E34FF12D59AC}"/>
    <hyperlink ref="A184" r:id="rId183" display="https://www.dropbox.com/sh/cx7tus4mgkt9o4n/AAC-cU_tXvur4O45V0weyDLia/85r.mid.mp3?dl=0" xr:uid="{E1E89EA8-E2C1-2D4D-AD84-5FC6AE29B843}"/>
    <hyperlink ref="A185" r:id="rId184" display="https://www.dropbox.com/sh/cx7tus4mgkt9o4n/AABzZzfbX55XYMOfF3qmi2Xta/86g.mid.mp3?dl=0" xr:uid="{08EA87DE-AC21-AA43-B7C4-CE46CEB30ADE}"/>
    <hyperlink ref="A186" r:id="rId185" display="https://www.dropbox.com/sh/cx7tus4mgkt9o4n/AABnYcnCZHazemOTG9muKmIBa/86r.mid.mp3?dl=0" xr:uid="{A556EA81-4E1A-6640-848C-F0AA89F35869}"/>
    <hyperlink ref="A187" r:id="rId186" display="https://www.dropbox.com/sh/cx7tus4mgkt9o4n/AAAHHU958yhyzRVlN9Q1z2fxa/87g.mid.mp3?dl=0" xr:uid="{232151A3-DD6A-C84D-9151-939D9357ED0C}"/>
    <hyperlink ref="A188" r:id="rId187" display="https://www.dropbox.com/sh/cx7tus4mgkt9o4n/AACV3krvLLBzySgUTKZP-GiNa/87r.mid.mp3?dl=0" xr:uid="{9089852B-2286-A943-9278-15350BDBD6C0}"/>
    <hyperlink ref="A189" r:id="rId188" display="https://www.dropbox.com/sh/cx7tus4mgkt9o4n/AADatdFGE-dNSnRAcHN46SNua/88g.mid.mp3?dl=0" xr:uid="{CE202BF5-8D1F-2B48-9F2F-EF8087AF091A}"/>
    <hyperlink ref="A190" r:id="rId189" display="https://www.dropbox.com/sh/cx7tus4mgkt9o4n/AADBJ2AFMP2VBU4FYmfLBkOIa/88r.mid.mp3?dl=0" xr:uid="{83A88B27-EDB2-4E4B-98F3-08E1D7157043}"/>
    <hyperlink ref="A191" r:id="rId190" display="https://www.dropbox.com/sh/cx7tus4mgkt9o4n/AAD53w4M_3KaeEFytCRs3Avba/89g.mid.mp3?dl=0" xr:uid="{0C19C126-AF4A-034D-909D-33CF021F2DF0}"/>
    <hyperlink ref="A192" r:id="rId191" display="https://www.dropbox.com/sh/cx7tus4mgkt9o4n/AADKE1wzb3ghW97LR196NM9ja/89r.mid.mp3?dl=0" xr:uid="{FBF8C4BC-54B6-9642-B2C9-225C6D8C51F1}"/>
    <hyperlink ref="A193" r:id="rId192" display="https://www.dropbox.com/sh/cx7tus4mgkt9o4n/AAAQK3RyNey6XuCq4UXNwNkCa/90g.mid.mp3?dl=0" xr:uid="{2CF95819-6E4F-364F-BCAB-1027A86EB5EE}"/>
    <hyperlink ref="A194" r:id="rId193" display="https://www.dropbox.com/sh/cx7tus4mgkt9o4n/AAA_9qZYxteHApx08rAW65wNa/90r.mid.mp3?dl=0" xr:uid="{DB1B1C37-2154-C249-A452-093203F940FA}"/>
    <hyperlink ref="A195" r:id="rId194" display="https://www.dropbox.com/sh/cx7tus4mgkt9o4n/AAA0n3jpga9_oQyOAYORHip2a/91g.mid.mp3?dl=0" xr:uid="{086C2B07-2C07-4441-81B8-F1A43C7C02E2}"/>
    <hyperlink ref="A196" r:id="rId195" display="https://www.dropbox.com/sh/cx7tus4mgkt9o4n/AAAPzwgbpto1tr29tQxQDl0wa/91r.mid.mp3?dl=0" xr:uid="{8BAA949E-A604-3342-8B39-265207AF9D35}"/>
    <hyperlink ref="A197" r:id="rId196" display="https://www.dropbox.com/sh/cx7tus4mgkt9o4n/AAD8n138fUhtZ9gfRccvO1_ya/92r.mid.mp3?dl=0" xr:uid="{24058780-A22E-5A4C-88E7-B83DAFC41AFD}"/>
    <hyperlink ref="A198" r:id="rId197" display="https://www.dropbox.com/sh/cx7tus4mgkt9o4n/AADaoWqMBW1MUzk4iA63K51ma/94g.mid.mp3?dl=0" xr:uid="{01631B87-F940-884A-979B-ECD2DFC7B392}"/>
    <hyperlink ref="A199" r:id="rId198" display="https://www.dropbox.com/sh/cx7tus4mgkt9o4n/AADFPNNYNNhhiYKyvfxUZdbda/95g.mid.mp3?dl=0" xr:uid="{22123014-86BC-8A4D-9180-E69890E1C74A}"/>
    <hyperlink ref="A200" r:id="rId199" display="https://www.dropbox.com/sh/cx7tus4mgkt9o4n/AABVKoiFxNMSWMfiOF4TREkqa/95r.mid.mp3?dl=0" xr:uid="{74DF2C06-20D7-134A-91E4-DF7737F51D94}"/>
    <hyperlink ref="A201" r:id="rId200" display="https://www.dropbox.com/sh/cx7tus4mgkt9o4n/AACevssgHu1lt7dZXi6aTFT3a/96g.mid.mp3?dl=0" xr:uid="{278523F2-120B-1C46-A4B1-634125E0E4EB}"/>
    <hyperlink ref="A202" r:id="rId201" display="https://www.dropbox.com/sh/cx7tus4mgkt9o4n/AACpm7t9k_1s860nOm8hFbura/96r.mid.mp3?dl=0" xr:uid="{213AFD01-6B37-FD4B-900F-8063D3A2EDF4}"/>
    <hyperlink ref="A203" r:id="rId202" display="https://www.dropbox.com/sh/cx7tus4mgkt9o4n/AAC97LbCEfXuhgAmmorStzl8a/97g.mid.mp3?dl=0" xr:uid="{6113932A-7BD7-B040-90A9-A0D07DB17FD0}"/>
    <hyperlink ref="A204" r:id="rId203" display="https://www.dropbox.com/sh/cx7tus4mgkt9o4n/AACVx-Nq4sa3fEGcsM09TOVza/97r.mid.mp3?dl=0" xr:uid="{E67EEB66-FEE5-384C-AA3D-071BF0E59C13}"/>
    <hyperlink ref="A205" r:id="rId204" display="https://www.dropbox.com/sh/cx7tus4mgkt9o4n/AAA1DK7bMMOqlOr-T0J4JhaEa/98r.mid.mp3?dl=0" xr:uid="{03C92A12-807E-9445-8AFD-597EEF9AAAFF}"/>
    <hyperlink ref="A206" r:id="rId205" display="https://www.dropbox.com/sh/cx7tus4mgkt9o4n/AACv6EKVjYQldPTlJui-xRN3a/99r.mid.mp3?dl=0" xr:uid="{45CC56EA-883A-9B40-BC34-94B6C985178C}"/>
    <hyperlink ref="A207" r:id="rId206" display="https://www.dropbox.com/sh/cx7tus4mgkt9o4n/AABHY14f8vqz3dUfUHhVW8MAa/100g.mid.mp3?dl=0" xr:uid="{30925A5E-31DE-0A40-9CAC-38588F7929F6}"/>
    <hyperlink ref="A208" r:id="rId207" display="https://www.dropbox.com/sh/cx7tus4mgkt9o4n/AADbiXe2zF4z00jx-7_cwOSFa/100r.mid.mp3?dl=0" xr:uid="{1DBE4281-D2C9-0C48-A91B-F773C6A28A66}"/>
    <hyperlink ref="A209" r:id="rId208" display="https://www.dropbox.com/sh/cx7tus4mgkt9o4n/AAA1Vm9lZ33u6VIITD6gSx3Wa/101g.mid.mp3?dl=0" xr:uid="{9578EFB2-DCD6-6141-BD8D-AF4249D3662D}"/>
    <hyperlink ref="A210" r:id="rId209" display="https://www.dropbox.com/sh/cx7tus4mgkt9o4n/AABALUIpeEyD6EOQB3XV4oJqa/101r.mid.mp3?dl=0" xr:uid="{01B97927-4CA5-A045-9910-BDB06C688DB5}"/>
    <hyperlink ref="A211" r:id="rId210" display="https://www.dropbox.com/sh/cx7tus4mgkt9o4n/AAAlLOiBEgaQcIJI13TWYC6Ta/102g.mid.mp3?dl=0" xr:uid="{24B7184D-1BDC-7246-83E6-973AC7F42B9D}"/>
    <hyperlink ref="A212" r:id="rId211" display="https://www.dropbox.com/sh/cx7tus4mgkt9o4n/AAAT0sZ0O74afv90E0K_8HGha/102r.mid.mp3?dl=0" xr:uid="{51B258EF-58DB-2049-B918-C9E48DB24A2D}"/>
    <hyperlink ref="A213" r:id="rId212" display="https://www.dropbox.com/sh/cx7tus4mgkt9o4n/AADUiVM56eeyKyT0ALrPDTCGa/103g.mid.mp3?dl=0" xr:uid="{53CFD0ED-52F5-B740-B349-175D6EDD3670}"/>
    <hyperlink ref="A214" r:id="rId213" display="https://www.dropbox.com/sh/cx7tus4mgkt9o4n/AAAMIFu0t-DOw8BZo7IIGujVa/103r.mid.mp3?dl=0" xr:uid="{51A0AB54-FB8C-B146-B844-9A11ACDF2CF5}"/>
    <hyperlink ref="A215" r:id="rId214" display="https://www.dropbox.com/sh/cx7tus4mgkt9o4n/AAB5hdU4BWLr61WNOozRdBFTa/104g.mid.mp3?dl=0" xr:uid="{6DEF0D21-4DC1-9E49-A83A-D4DE312944D7}"/>
    <hyperlink ref="A216" r:id="rId215" display="https://www.dropbox.com/sh/cx7tus4mgkt9o4n/AACdUzh3fT9GKUx1-L4OfSJta/104r.mid.mp3?dl=0" xr:uid="{508938E2-C10E-C14A-A2C8-F3447A26D1F1}"/>
    <hyperlink ref="A217" r:id="rId216" display="https://www.dropbox.com/sh/cx7tus4mgkt9o4n/AABvumdUyhQoq-bB7nkV-VYEa/105g.mid.mp3?dl=0" xr:uid="{CF747423-52CD-4643-99B4-30D683EE3CDD}"/>
    <hyperlink ref="A218" r:id="rId217" display="https://www.dropbox.com/sh/cx7tus4mgkt9o4n/AAC2q0lRdtOwRWEjdEKuOVIYa/105r.mid.mp3?dl=0" xr:uid="{10A7E364-5047-EF4A-A6F2-5F2A378B2201}"/>
    <hyperlink ref="A219" r:id="rId218" display="https://www.dropbox.com/sh/cx7tus4mgkt9o4n/AABI61nhdKRRmXk3f6b3woYWa/106g.mid.mp3?dl=0" xr:uid="{EC03732F-FFF1-E242-B3B0-0304C4010F3B}"/>
    <hyperlink ref="A220" r:id="rId219" display="https://www.dropbox.com/sh/cx7tus4mgkt9o4n/AAB9FTXADIjiWW5EmvEYUSqXa/106r.mid.mp3?dl=0" xr:uid="{B194FF29-937D-CA46-82E1-29344114A8D5}"/>
    <hyperlink ref="A221" r:id="rId220" display="https://www.dropbox.com/sh/cx7tus4mgkt9o4n/AADnlkE8ePlWorDdXsVprYUma/107g.mid.mp3?dl=0" xr:uid="{D75265A9-9703-F14A-9669-801F4F5D0E2B}"/>
    <hyperlink ref="A222" r:id="rId221" display="https://www.dropbox.com/sh/cx7tus4mgkt9o4n/AAA6S06k06AplAVzbt5uoUPqa/107r.mid.mp3?dl=0" xr:uid="{29C1921A-310F-D244-94C6-56D56949861C}"/>
    <hyperlink ref="A223" r:id="rId222" display="https://www.dropbox.com/sh/cx7tus4mgkt9o4n/AAD6Lq8QVsOfnpLFYxnP6ejBa/108g.mid.mp3?dl=0" xr:uid="{46B0154F-E203-CA4A-9168-40BC05AE23A7}"/>
    <hyperlink ref="A224" r:id="rId223" display="https://www.dropbox.com/sh/cx7tus4mgkt9o4n/AABuHjiBdy-hR0QNyx44QK6pa/108r.mid.mp3?dl=0" xr:uid="{94D40758-4D4E-8F44-8F47-CE7C9D46E778}"/>
    <hyperlink ref="A225" r:id="rId224" display="https://www.dropbox.com/sh/cx7tus4mgkt9o4n/AAAVJy0xwbRxzUkKsY6kucGBa/109g.mid.mp3?dl=0" xr:uid="{74528223-F019-5142-9738-14E4A3A0DFCB}"/>
    <hyperlink ref="A226" r:id="rId225" display="https://www.dropbox.com/sh/cx7tus4mgkt9o4n/AADhTuZMVw4nslg5CacIitV8a/109r.mid.mp3?dl=0" xr:uid="{439AF03E-83C1-284D-92AC-BE1FF5BB2E03}"/>
    <hyperlink ref="A227" r:id="rId226" display="https://www.dropbox.com/sh/cx7tus4mgkt9o4n/AAATV4ZwCoNmI-dTofeYdyXHa/110g.mid.mp3?dl=0" xr:uid="{F4618132-A3FE-524A-8E18-8762F7F77023}"/>
    <hyperlink ref="A228" r:id="rId227" display="https://www.dropbox.com/sh/cx7tus4mgkt9o4n/AABYL4Epk6cvlvxYSKcm1Offa/110r.mid.mp3?dl=0" xr:uid="{5E43B2E5-E685-0349-8EF3-03FB57AC4FC8}"/>
    <hyperlink ref="A229" r:id="rId228" display="https://www.dropbox.com/sh/cx7tus4mgkt9o4n/AADXP-bPpL0h0t-qa91VgK6Ca/111g.mid.mp3?dl=0" xr:uid="{1A16B8DE-E245-9C40-A467-ABE0421595DB}"/>
    <hyperlink ref="A230" r:id="rId229" display="https://www.dropbox.com/sh/cx7tus4mgkt9o4n/AACAYGt1B36R0naiNYNPrDqca/111r.mid.mp3?dl=0" xr:uid="{FF155045-6B8D-B84A-B68B-ADCA93BDDC3A}"/>
    <hyperlink ref="A231" r:id="rId230" display="https://www.dropbox.com/sh/cx7tus4mgkt9o4n/AACsXTNDY07cQpr9oKsbtrRna/112g.mid.mp3?dl=0" xr:uid="{12C351ED-D069-4341-BA19-1D09A66D46CF}"/>
    <hyperlink ref="A232" r:id="rId231" display="https://www.dropbox.com/sh/cx7tus4mgkt9o4n/AADlnlRpanWm3KgSQXW9nZ-Va/112r.mid.mp3?dl=0" xr:uid="{AF255D80-165A-2D46-BF9E-FC92EB8447F0}"/>
    <hyperlink ref="A233" r:id="rId232" display="https://www.dropbox.com/sh/cx7tus4mgkt9o4n/AADRPgpg4aVh1Y7qvR8mhyYZa/113g.mid.mp3?dl=0" xr:uid="{4927D831-4317-404C-8260-9D3771C11015}"/>
    <hyperlink ref="A234" r:id="rId233" display="https://www.dropbox.com/sh/cx7tus4mgkt9o4n/AACFyjAt61sbt4BiTw-gN1lUa/113r.mid.mp3?dl=0" xr:uid="{A16BF29D-7C47-784B-ACD7-A68DCF70900B}"/>
    <hyperlink ref="A235" r:id="rId234" display="https://www.dropbox.com/sh/cx7tus4mgkt9o4n/AACMCHn_uE5Ebtn0ylQzfAHua/114r.mid.mp3?dl=0" xr:uid="{67300F85-7D66-574F-B3CD-D711058E09EE}"/>
    <hyperlink ref="A236" r:id="rId235" display="https://www.dropbox.com/sh/cx7tus4mgkt9o4n/AADCkt9B9uXjR0sXMUCRJsMSa/115g.mid.mp3?dl=0" xr:uid="{BB38EE0D-4927-A646-9D75-AF886B756335}"/>
    <hyperlink ref="A237" r:id="rId236" display="https://www.dropbox.com/sh/cx7tus4mgkt9o4n/AADf6L8HuWih2BW1VnfYdQAka/115r.mid.mp3?dl=0" xr:uid="{9C396758-BB18-B54E-9232-B9D7CAC4B508}"/>
    <hyperlink ref="A238" r:id="rId237" display="https://www.dropbox.com/sh/cx7tus4mgkt9o4n/AAD_J-fpxQfANiUzXvUKL8qqa/116g.mid.mp3?dl=0" xr:uid="{9C8B0C0D-503A-2641-96C7-D6B772A8F1BE}"/>
    <hyperlink ref="A239" r:id="rId238" display="https://www.dropbox.com/sh/cx7tus4mgkt9o4n/AACB5w2AlaqJwrsovbBxyIIva/116r.mid.mp3?dl=0" xr:uid="{C8F857B7-A612-5E4C-892D-51F58C05E421}"/>
    <hyperlink ref="A240" r:id="rId239" display="https://www.dropbox.com/sh/cx7tus4mgkt9o4n/AADPEIcNMkOWGvMYnZgkLMp0a/117g.mid.mp3?dl=0" xr:uid="{74DF0A69-477C-4E48-BA0F-55986B932CBB}"/>
    <hyperlink ref="A241" r:id="rId240" display="https://www.dropbox.com/sh/cx7tus4mgkt9o4n/AABIqDe6ocDrL6qsRMHWZWrTa/118r.mid.mp3?dl=0" xr:uid="{5F8631BA-977B-FD4C-BE16-2AC232D01D26}"/>
    <hyperlink ref="A242" r:id="rId241" display="https://www.dropbox.com/sh/cx7tus4mgkt9o4n/AABkYj2k_LsMAVITS76b_YdIa/119g.mid.mp3?dl=0" xr:uid="{BFC8FB65-1F95-194B-9E60-9EFB6F46C243}"/>
    <hyperlink ref="A243" r:id="rId242" display="https://www.dropbox.com/sh/cx7tus4mgkt9o4n/AADYh6uWhAJTPG_uUq0bWQhta/119r.mid.mp3?dl=0" xr:uid="{C701E1BC-9D66-9E40-80BD-DC6FDD491FA8}"/>
    <hyperlink ref="A244" r:id="rId243" display="https://www.dropbox.com/sh/cx7tus4mgkt9o4n/AAAYSa_d5OEtVSUudRC5GS3Fa/120g.mid.mp3?dl=0" xr:uid="{321123A9-F7AB-BF45-8FEB-196681CA9CAA}"/>
    <hyperlink ref="A245" r:id="rId244" display="https://www.dropbox.com/sh/cx7tus4mgkt9o4n/AACaI-f5PKV7-LhNtEZDbyu_a/120r.mid.mp3?dl=0" xr:uid="{60DAB726-10AC-4D4E-A371-32DDD3267175}"/>
    <hyperlink ref="A246" r:id="rId245" display="https://www.dropbox.com/sh/cx7tus4mgkt9o4n/AABg2SzUoNb4KybAgyByEsYMa/121g.mid.mp3?dl=0" xr:uid="{56F297A7-AEE5-524A-9080-DDE270FF89E0}"/>
    <hyperlink ref="A247" r:id="rId246" display="https://www.dropbox.com/sh/cx7tus4mgkt9o4n/AAArgaVjIybG5SZhR3hYjUfta/121r.mid.mp3?dl=0" xr:uid="{40DC9B60-AE28-5443-8C82-AC62D123B04B}"/>
    <hyperlink ref="A248" r:id="rId247" display="https://www.dropbox.com/sh/cx7tus4mgkt9o4n/AACvI_tMFwd4IYeM9C9XefSSa/122g.mid.mp3?dl=0" xr:uid="{45458B97-22E0-B84C-8147-4D33D088988D}"/>
    <hyperlink ref="A249" r:id="rId248" display="https://www.dropbox.com/sh/cx7tus4mgkt9o4n/AAB3dIsbbnU_t4JFlZT5zh2Ca/123g.mid.mp3?dl=0" xr:uid="{66394CD4-DFA3-0749-8964-487E349B759C}"/>
    <hyperlink ref="A250" r:id="rId249" display="https://www.dropbox.com/sh/cx7tus4mgkt9o4n/AAC3jyeBane6tQUzqodzlhASa/123r.mid.mp3?dl=0" xr:uid="{9F6FF0D2-BBEA-1844-A05D-465323680187}"/>
    <hyperlink ref="A251" r:id="rId250" display="https://www.dropbox.com/sh/cx7tus4mgkt9o4n/AADnlmec9g52PPwuwgANmiqaa/124g.mid.mp3?dl=0" xr:uid="{028BD485-5C87-284C-A062-4E86A3E655AE}"/>
    <hyperlink ref="A252" r:id="rId251" display="https://www.dropbox.com/sh/cx7tus4mgkt9o4n/AADKmW2jVHhnwka6Lw5BYUwMa/124r.mid.mp3?dl=0" xr:uid="{A22BC382-5815-8E4E-9AD6-03614C8A662B}"/>
    <hyperlink ref="A253" r:id="rId252" display="https://www.dropbox.com/sh/cx7tus4mgkt9o4n/AAApFLaHW3IB8vetNJFOqy-Ma/125g.mid.mp3?dl=0" xr:uid="{93DB9834-722E-3C46-9931-7802BB045862}"/>
    <hyperlink ref="A254" r:id="rId253" display="https://www.dropbox.com/sh/cx7tus4mgkt9o4n/AAA8QCS0ekLd9XK_AHKBBW5Za/125r.mid.mp3?dl=0" xr:uid="{4FD973AD-40F6-2149-8C07-BA539C6B65D5}"/>
    <hyperlink ref="A255" r:id="rId254" display="https://www.dropbox.com/sh/cx7tus4mgkt9o4n/AAAMpIyBP70ATcqShSoZpjpra/126g.mid.mp3?dl=0" xr:uid="{10E6F7E2-10C7-8B40-803B-4E88A1A89DB4}"/>
    <hyperlink ref="A256" r:id="rId255" display="https://www.dropbox.com/sh/cx7tus4mgkt9o4n/AAAYdzNznNU9I_HYBYc3_yXPa/126r.mid.mp3?dl=0" xr:uid="{442179DC-F771-4344-A66B-51B84374A588}"/>
    <hyperlink ref="A257" r:id="rId256" display="https://www.dropbox.com/sh/cx7tus4mgkt9o4n/AABn9SmPKMzpxkA-BlkI2fsga/127g.mid.mp3?dl=0" xr:uid="{C3C14715-D88B-B945-B046-5A542915B25B}"/>
    <hyperlink ref="A258" r:id="rId257" display="https://www.dropbox.com/sh/cx7tus4mgkt9o4n/AABf2CWPRwFUW4_x1nv0SI3Sa/127r.mid.mp3?dl=0" xr:uid="{7A2F1F9F-007A-6942-9134-8FC0FC237703}"/>
    <hyperlink ref="A259" r:id="rId258" display="https://www.dropbox.com/sh/cx7tus4mgkt9o4n/AAAHaX6gLZbKW1y690V1qLOBa/128g.mid.mp3?dl=0" xr:uid="{295D01D7-C671-C542-ADD5-0CE4CE74F173}"/>
    <hyperlink ref="A260" r:id="rId259" display="https://www.dropbox.com/sh/cx7tus4mgkt9o4n/AABgNwgQWVxZT7-PT6OO8ocSa/128r.mid.mp3?dl=0" xr:uid="{2DA1E480-6EF3-4143-B8D7-D6A26F013811}"/>
    <hyperlink ref="A261" r:id="rId260" display="https://www.dropbox.com/sh/cx7tus4mgkt9o4n/AABEUhI2K4wb6t1o49CQZDvqa/129g.mid.mp3?dl=0" xr:uid="{9B06F957-6C2E-3C49-B3F6-62DAD40AF82A}"/>
    <hyperlink ref="A262" r:id="rId261" display="https://www.dropbox.com/sh/cx7tus4mgkt9o4n/AAAnT0sWtJb61YHi7PgnI-vda/129r.mid.mp3?dl=0" xr:uid="{7AABEBE5-3382-E04B-848F-C8DF026F0210}"/>
    <hyperlink ref="A263" r:id="rId262" display="https://www.dropbox.com/sh/cx7tus4mgkt9o4n/AADV7rPWzBZ4nhIx2IikcGHVa/130g.mid.mp3?dl=0" xr:uid="{CE612154-A8EC-2F49-B350-4A1004BAE438}"/>
    <hyperlink ref="A264" r:id="rId263" display="https://www.dropbox.com/sh/cx7tus4mgkt9o4n/AABENfmJM2GfTplgR55pGusRa/130r.mid.mp3?dl=0" xr:uid="{CDCB25B7-2433-F54D-A1C7-DCF093D6EC3C}"/>
    <hyperlink ref="A265" r:id="rId264" display="https://www.dropbox.com/sh/cx7tus4mgkt9o4n/AAAETynfpUAvjzSTLDWElllVa/131r.mid.mp3?dl=0" xr:uid="{574C868C-7A3F-D642-AA4C-213060FAF0FC}"/>
    <hyperlink ref="A266" r:id="rId265" display="https://www.dropbox.com/sh/cx7tus4mgkt9o4n/AADdSPKJHbtpCNDdN01foeK9a/132g.mid.mp3?dl=0" xr:uid="{88187932-EAE3-AC45-A128-C7890F0DAEC2}"/>
    <hyperlink ref="A267" r:id="rId266" display="https://www.dropbox.com/sh/cx7tus4mgkt9o4n/AADg2H6DBsBJztG-xOGwEc06a/132r.mid.mp3?dl=0" xr:uid="{804EE1BB-7AF0-D24F-918F-B60B33C55618}"/>
    <hyperlink ref="A268" r:id="rId267" display="https://www.dropbox.com/sh/cx7tus4mgkt9o4n/AABONqEluHBuRQOWQVOlO8yta/133g.mid.mp3?dl=0" xr:uid="{37223A20-CA96-9447-B862-49B8DCAF9FDB}"/>
    <hyperlink ref="A269" r:id="rId268" display="https://www.dropbox.com/sh/cx7tus4mgkt9o4n/AACgCkBBs1chvVYUPSSxlBOLa/133r.mid.mp3?dl=0" xr:uid="{0E0DBAAE-1C3E-3A48-BBC9-2BCF91DC25BC}"/>
    <hyperlink ref="A270" r:id="rId269" display="https://www.dropbox.com/sh/cx7tus4mgkt9o4n/AADng5KaOy2OESu_oTFR_vlNa/134g.mid.mp3?dl=0" xr:uid="{8D1808EB-454C-3344-8BA1-A4679F8248FB}"/>
    <hyperlink ref="A271" r:id="rId270" display="https://www.dropbox.com/sh/cx7tus4mgkt9o4n/AAAzkrg_ZDesaa4AuYdjp2FGa/134r.mid.mp3?dl=0" xr:uid="{DDF482D6-E703-E242-B7F0-D678638DCBE0}"/>
    <hyperlink ref="A272" r:id="rId271" display="https://www.dropbox.com/sh/cx7tus4mgkt9o4n/AAB8VajmutPy1sNKtDTUNtqFa/135g.mid.mp3?dl=0" xr:uid="{11592561-BD14-E747-8911-EE6CDCC8A3C5}"/>
    <hyperlink ref="A273" r:id="rId272" display="https://www.dropbox.com/sh/cx7tus4mgkt9o4n/AABATWZvT9jj-VwQXoBEWF4Ca/135r.mid.mp3?dl=0" xr:uid="{DB7C7C46-EA1B-2B41-96D6-5053D2A95172}"/>
    <hyperlink ref="A274" r:id="rId273" display="https://www.dropbox.com/sh/cx7tus4mgkt9o4n/AAAHp-TabSwL8WuX94NcPLACa/136r.mid.mp3?dl=0" xr:uid="{E4504723-9678-6149-8ECE-A29EFB3F12AE}"/>
    <hyperlink ref="A275" r:id="rId274" display="https://www.dropbox.com/sh/cx7tus4mgkt9o4n/AAB1RvH4_A2uFNb-Ee46k38ka/137g.mid.mp3?dl=0" xr:uid="{D4B3D1A0-C76A-094A-80AC-DCF17BA622AC}"/>
    <hyperlink ref="A276" r:id="rId275" display="https://www.dropbox.com/sh/cx7tus4mgkt9o4n/AAAPsnodImqArOt1uXvjreJka/137r.mid.mp3?dl=0" xr:uid="{3873B90A-EBD0-984C-97AC-DCC40A48A76A}"/>
    <hyperlink ref="A277" r:id="rId276" display="https://www.dropbox.com/sh/cx7tus4mgkt9o4n/AAChGo-Q3KHize3uxlNChddCa/138g.mid.mp3?dl=0" xr:uid="{20F579D3-B4AF-C74B-9911-E17AC13D44B9}"/>
    <hyperlink ref="A278" r:id="rId277" display="https://www.dropbox.com/sh/cx7tus4mgkt9o4n/AAC_3WUaQP2BLhdlfscbeATqa/138r.mid.mp3?dl=0" xr:uid="{9652A352-2DAD-914C-B660-29581564324A}"/>
    <hyperlink ref="A279" r:id="rId278" display="https://www.dropbox.com/sh/cx7tus4mgkt9o4n/AAABDhzKxCoIal7Rl4tRvbFoa/139g.mid.mp3?dl=0" xr:uid="{93629BB0-00E6-B444-A892-0229DB567EBE}"/>
    <hyperlink ref="A280" r:id="rId279" display="https://www.dropbox.com/sh/cx7tus4mgkt9o4n/AADcWJqH_PlTRbQqzjOPZlDGa/139r.mid.mp3?dl=0" xr:uid="{B09F0B86-7661-6940-A096-723CB5048D11}"/>
    <hyperlink ref="A281" r:id="rId280" display="https://www.dropbox.com/sh/cx7tus4mgkt9o4n/AACgb7s3NrCLLalpzMKUnbnca/140g.mid.mp3?dl=0" xr:uid="{6B5527FE-BAED-9A42-A598-A032D243FBCF}"/>
    <hyperlink ref="A282" r:id="rId281" display="https://www.dropbox.com/sh/cx7tus4mgkt9o4n/AACGh4KoC4oXn4DhJ3eTrx5Da/140r.mid.mp3?dl=0" xr:uid="{9946582D-FEDD-6B4F-83B0-18A5C6523A64}"/>
    <hyperlink ref="A283" r:id="rId282" display="https://www.dropbox.com/sh/cx7tus4mgkt9o4n/AADQTmRhPoMjK3XIWSGRx5kia/141g.mid.mp3?dl=0" xr:uid="{CD9351C5-E522-D640-9B0E-094FA5D7DA72}"/>
    <hyperlink ref="A284" r:id="rId283" display="https://www.dropbox.com/sh/cx7tus4mgkt9o4n/AAAnfMM85nqjV30MuY06XP8Ba/141r.mid.mp3?dl=0" xr:uid="{4C6FD962-ECDE-E145-A19B-BA7B6A642C26}"/>
    <hyperlink ref="A285" r:id="rId284" display="https://www.dropbox.com/sh/cx7tus4mgkt9o4n/AAAc0z8yvxw0TRbGrU_DmIrva/142g.mid.mp3?dl=0" xr:uid="{4B93BDF5-89AF-774A-8D75-268759E52A74}"/>
    <hyperlink ref="A286" r:id="rId285" display="https://www.dropbox.com/sh/cx7tus4mgkt9o4n/AAD46z7glt13A0Xk9eBQhgEAa/142r.mid.mp3?dl=0" xr:uid="{7D8DE4BB-0996-2C48-8FEF-EB40EC902593}"/>
    <hyperlink ref="A287" r:id="rId286" display="https://www.dropbox.com/sh/cx7tus4mgkt9o4n/AAAZHSXkaDeWVoSDziK13-R4a/143g.mid.mp3?dl=0" xr:uid="{A1D67C06-698F-8F45-ACD2-5D5428B9D758}"/>
    <hyperlink ref="A288" r:id="rId287" display="https://www.dropbox.com/sh/cx7tus4mgkt9o4n/AABMiceqexGOG175ZaPeqqJRa/144g.mid.mp3?dl=0" xr:uid="{4372AEA6-E342-7C4B-AB3C-D47EE3682BDC}"/>
    <hyperlink ref="A289" r:id="rId288" display="https://www.dropbox.com/sh/cx7tus4mgkt9o4n/AAD9ylVob-gJp4srJ4Ezv4pMa/144r.mid.mp3?dl=0" xr:uid="{928F1D20-1F64-D24F-9911-DC056AB9DC68}"/>
    <hyperlink ref="A290" r:id="rId289" display="https://www.dropbox.com/sh/cx7tus4mgkt9o4n/AAC5M4T-JQTWYBritbo2Wecxa/145g.mid.mp3?dl=0" xr:uid="{FD2D7497-2837-7342-9B4C-BA98AE073BA9}"/>
    <hyperlink ref="A291" r:id="rId290" display="https://www.dropbox.com/sh/cx7tus4mgkt9o4n/AACxMW8OqDTPzQmAioKH1Avza/145r.mid.mp3?dl=0" xr:uid="{93EC78AE-B11D-544B-BCBE-980240D1A199}"/>
    <hyperlink ref="A292" r:id="rId291" display="https://www.dropbox.com/sh/cx7tus4mgkt9o4n/AACaIPSS7gwBWscU6p6eqL9ia/146g.mid.mp3?dl=0" xr:uid="{7C33871B-CC44-B747-A329-8742451A16CC}"/>
    <hyperlink ref="A293" r:id="rId292" display="https://www.dropbox.com/sh/cx7tus4mgkt9o4n/AACHwqwFHppVpmUzjT6ZkSE1a/146r.mid.mp3?dl=0" xr:uid="{6E20D7EC-9FC6-CE4F-A317-1661FBBC886F}"/>
    <hyperlink ref="A294" r:id="rId293" display="https://www.dropbox.com/sh/cx7tus4mgkt9o4n/AAABigbBerK9GBJJ20NhhjE8a/147g.mid.mp3?dl=0" xr:uid="{CDB37F93-E2DB-C646-A0F6-AB7E35F92E27}"/>
    <hyperlink ref="A295" r:id="rId294" display="https://www.dropbox.com/sh/cx7tus4mgkt9o4n/AACuNfNK64U82Xcns5tgVotja/147r.mid.mp3?dl=0" xr:uid="{21A98B93-AD4E-C941-A34C-07211B877296}"/>
    <hyperlink ref="A296" r:id="rId295" display="https://www.dropbox.com/sh/cx7tus4mgkt9o4n/AADpK_BJq6Jv96iqYiKaqBnIa/148g.mid.mp3?dl=0" xr:uid="{DC863C67-ED45-AB46-940B-560769BEF790}"/>
    <hyperlink ref="A297" r:id="rId296" display="https://www.dropbox.com/sh/cx7tus4mgkt9o4n/AABNu5pAAmNZyhDt4qURsjC3a/148r.mid.mp3?dl=0" xr:uid="{1FE1D42B-74EE-8645-944D-24FF9D69004D}"/>
    <hyperlink ref="A298" r:id="rId297" display="https://www.dropbox.com/sh/cx7tus4mgkt9o4n/AAAPwqwTHkOnQMTj46zhQYNCa/149g.mid.mp3?dl=0" xr:uid="{0F29D9F5-6ADC-3A4E-ACCA-3319B9AB749D}"/>
    <hyperlink ref="A299" r:id="rId298" display="https://www.dropbox.com/sh/cx7tus4mgkt9o4n/AAAMKhQ4SBti6M2OdY75EySza/149r.mid.mp3?dl=0" xr:uid="{82622075-2C10-364D-B6FE-476470F0A96F}"/>
    <hyperlink ref="A300" r:id="rId299" display="https://www.dropbox.com/sh/cx7tus4mgkt9o4n/AADdph4Eu-RwfjtkUxvH5CnQa/150g.mid.mp3?dl=0" xr:uid="{7B452AC7-8457-5A42-B4C1-A1856FFC048E}"/>
    <hyperlink ref="A301" r:id="rId300" display="https://www.dropbox.com/sh/cx7tus4mgkt9o4n/AABvm_5s4QD2PAtXtSXaIksJa/150r.mid.mp3?dl=0" xr:uid="{9FBEB4F4-B56C-6C44-B060-A453D21B28EA}"/>
    <hyperlink ref="A302" r:id="rId301" display="https://www.dropbox.com/sh/cx7tus4mgkt9o4n/AADLMTdGizPAdKCMQTRH5WGga/151g.mid.mp3?dl=0" xr:uid="{E31177E2-31B2-CB4D-9D8E-0D5AF1A1FF34}"/>
    <hyperlink ref="A303" r:id="rId302" display="https://www.dropbox.com/sh/cx7tus4mgkt9o4n/AACqDbn3D8aOHZToYz8AOurha/151r.mid.mp3?dl=0" xr:uid="{96AA0FB8-0F80-EB48-A89C-B453A0A21B3B}"/>
    <hyperlink ref="A304" r:id="rId303" display="https://www.dropbox.com/sh/cx7tus4mgkt9o4n/AABEi9K57T9LOUqc9MSHGSQoa/152g.mid.mp3?dl=0" xr:uid="{C794A403-2D04-0642-A323-89D9395ADDAB}"/>
    <hyperlink ref="A305" r:id="rId304" display="https://www.dropbox.com/sh/cx7tus4mgkt9o4n/AACJZVMT-4IqiZmDT2gyFQI8a/152r.mid.mp3?dl=0" xr:uid="{85AB154F-403E-6C4B-8577-93F36B997268}"/>
    <hyperlink ref="A306" r:id="rId305" display="https://www.dropbox.com/sh/cx7tus4mgkt9o4n/AACXtQ_dbH2D7sXI0_v5wguma/153g.mid.mp3?dl=0" xr:uid="{EB2C0AFC-17EC-3542-AAB4-FA265FDAB41D}"/>
    <hyperlink ref="A307" r:id="rId306" display="https://www.dropbox.com/sh/cx7tus4mgkt9o4n/AACf0vYlN_ZatUEH4RzAhR-la/153r.mid.mp3?dl=0" xr:uid="{617C17E5-EC83-5146-8784-196AF965918B}"/>
    <hyperlink ref="A308" r:id="rId307" display="https://www.dropbox.com/sh/cx7tus4mgkt9o4n/AADqGtQCQZdORzn2xCVMkZiua/154g.mid.mp3?dl=0" xr:uid="{34B0F675-6BA9-B74A-A77E-1597E6D3D63C}"/>
    <hyperlink ref="A309" r:id="rId308" display="https://www.dropbox.com/sh/cx7tus4mgkt9o4n/AAAFYr3dM6zPkGTT9W7yduDYa/154r.mid.mp3?dl=0" xr:uid="{76B804CC-235A-8B45-A669-DBD39350656B}"/>
    <hyperlink ref="A310" r:id="rId309" display="https://www.dropbox.com/sh/cx7tus4mgkt9o4n/AABGYFXrtBLzce3p5p4YZFRPa/155g.mid.mp3?dl=0" xr:uid="{CC8CA3D5-5320-C14E-B64F-E4760640CC1A}"/>
    <hyperlink ref="A311" r:id="rId310" display="https://www.dropbox.com/sh/cx7tus4mgkt9o4n/AADTpTOLm9myC7suJc0g7tXga/155r.mid.mp3?dl=0" xr:uid="{9AE958D3-F946-1A47-928E-8A910383CF38}"/>
    <hyperlink ref="A312" r:id="rId311" display="https://www.dropbox.com/sh/cx7tus4mgkt9o4n/AAAQvfA-spDpDPpVVr5BUlWQa/156r.mid.mp3?dl=0" xr:uid="{4F91A138-CD55-D14F-BB10-A2A2B6ED2A55}"/>
    <hyperlink ref="A313" r:id="rId312" display="https://www.dropbox.com/sh/cx7tus4mgkt9o4n/AAB-ukCwMTCWDAGMb8DJfr8ya/157g.mid.mp3?dl=0" xr:uid="{594B7C9A-EBD2-7742-87FB-5E762954E2E5}"/>
    <hyperlink ref="A314" r:id="rId313" display="https://www.dropbox.com/sh/cx7tus4mgkt9o4n/AAAGd2h_UTl0zAfjIzuAfAFla/157r.mid.mp3?dl=0" xr:uid="{FA33AF23-EEB7-E145-8C30-0C91224496D1}"/>
    <hyperlink ref="A315" r:id="rId314" display="https://www.dropbox.com/sh/cx7tus4mgkt9o4n/AACE3sNExcR_lYNIWxNdPddAa/158g.mid.mp3?dl=0" xr:uid="{9200C0B2-CEDC-C045-8562-36B5B3926A01}"/>
    <hyperlink ref="A316" r:id="rId315" display="https://www.dropbox.com/sh/cx7tus4mgkt9o4n/AAB-mUAGEtjOzpw8ByQZulQoa/158r.mid.mp3?dl=0" xr:uid="{389E3E54-2C1E-8244-90CA-0483185A54BD}"/>
    <hyperlink ref="A317" r:id="rId316" display="https://www.dropbox.com/sh/cx7tus4mgkt9o4n/AACECsVazOwSxwKoMScqDm8Da/159g.mid.mp3?dl=0" xr:uid="{D2E282C6-739A-F940-A21C-C3C839F9C68E}"/>
    <hyperlink ref="A318" r:id="rId317" display="https://www.dropbox.com/sh/cx7tus4mgkt9o4n/AABDdm685gI14ArD4Xd5qpU3a/159r.mid.mp3?dl=0" xr:uid="{5A1AA641-156F-E24A-B167-A3001F8BD12C}"/>
    <hyperlink ref="A319" r:id="rId318" display="https://www.dropbox.com/sh/cx7tus4mgkt9o4n/AADRO2gEYO4PbEpG9aoN4TT8a/160g.mid.mp3?dl=0" xr:uid="{ED13590C-8D58-DA4C-BE76-EBF036C22630}"/>
    <hyperlink ref="A320" r:id="rId319" display="https://www.dropbox.com/sh/cx7tus4mgkt9o4n/AAD_B121OWTMUBOizUipFoGOa/160r.mid.mp3?dl=0" xr:uid="{F09CDFFC-7861-2B43-93C0-1C034EA0C530}"/>
    <hyperlink ref="A321" r:id="rId320" display="https://www.dropbox.com/sh/cx7tus4mgkt9o4n/AACnadvPInSg4l70cZWYYN8ea/161r.mid.mp3?dl=0" xr:uid="{00ACEF71-985D-5D4C-B352-4AF4FB50E0D7}"/>
    <hyperlink ref="A322" r:id="rId321" display="https://www.dropbox.com/sh/cx7tus4mgkt9o4n/AACD4LDvncT8Z42wwECx78Afa/162g.mid.mp3?dl=0" xr:uid="{DCA8F1D8-CCCA-AD4E-B841-2589F1310A56}"/>
    <hyperlink ref="A323" r:id="rId322" display="https://www.dropbox.com/sh/cx7tus4mgkt9o4n/AAD4K8hEpCOjHX7lj9B7eeD5a/162r.mid.mp3?dl=0" xr:uid="{52B3F6A2-D2F5-FD40-913A-5E67E548B348}"/>
    <hyperlink ref="A324" r:id="rId323" display="https://www.dropbox.com/sh/cx7tus4mgkt9o4n/AAAtkm7F0oaeUOgljZ5KF6hwa/163g.mid.mp3?dl=0" xr:uid="{42FD4DA1-17E5-DF44-BF20-6B6E9AC6D017}"/>
    <hyperlink ref="A325" r:id="rId324" display="https://www.dropbox.com/sh/cx7tus4mgkt9o4n/AADmf3OPDWMRWp6tdPX7ghrMa/163r.mid.mp3?dl=0" xr:uid="{458413FF-CDC5-1441-9D84-DFC64573F1DB}"/>
    <hyperlink ref="A326" r:id="rId325" display="https://www.dropbox.com/sh/cx7tus4mgkt9o4n/AAAVNbU7ESPQrHcC3CjlesL1a/164g.mid.mp3?dl=0" xr:uid="{6D6E2EFC-CD55-614A-BA33-E9524071FB23}"/>
    <hyperlink ref="A327" r:id="rId326" display="https://www.dropbox.com/sh/cx7tus4mgkt9o4n/AACErenq1t2rd3VwyNU9uCCVa/164r.mid.mp3?dl=0" xr:uid="{A7C2538D-C58D-A240-8B70-33F39888E8F6}"/>
    <hyperlink ref="A328" r:id="rId327" display="https://www.dropbox.com/sh/cx7tus4mgkt9o4n/AABzIEcvRcsgXghy5bSzQoOya/165g.mid.mp3?dl=0" xr:uid="{BF182835-801B-AF4F-A037-B38D113E45A8}"/>
    <hyperlink ref="A329" r:id="rId328" display="https://www.dropbox.com/sh/cx7tus4mgkt9o4n/AABtQRDPyu_MBuam0whYlrAva/165r.mid.mp3?dl=0" xr:uid="{33C0AEF6-BC48-0144-84AA-C77A0C5583F9}"/>
    <hyperlink ref="A330" r:id="rId329" display="https://www.dropbox.com/sh/cx7tus4mgkt9o4n/AADmOxJMmp4GrgiEAW0lvi9Qa/166g.mid.mp3?dl=0" xr:uid="{50B9A152-9F87-ED44-9FD8-BD3482399159}"/>
    <hyperlink ref="A331" r:id="rId330" display="https://www.dropbox.com/sh/cx7tus4mgkt9o4n/AAAS0w4tipCQuc2kSDAmSaZ6a/166r.mid.mp3?dl=0" xr:uid="{12BB16A0-9F3D-9B4D-A37E-67A55B53AF13}"/>
    <hyperlink ref="A332" r:id="rId331" display="https://www.dropbox.com/sh/cx7tus4mgkt9o4n/AACQtWHibOCvl3Ho4QteU1Gya/167g.mid.mp3?dl=0" xr:uid="{1915866E-3B5C-7B41-B41D-9BE98B2E7547}"/>
    <hyperlink ref="A333" r:id="rId332" display="https://www.dropbox.com/sh/cx7tus4mgkt9o4n/AAB6Bus4ZI7Td8XmNkHvh3fba/167r.mid.mp3?dl=0" xr:uid="{AAEE7225-1057-2349-BBC1-D24CC04E1210}"/>
    <hyperlink ref="A334" r:id="rId333" display="https://www.dropbox.com/sh/cx7tus4mgkt9o4n/AABRbHFK8EYE3MMiYJHaUuvna/168g.mid.mp3?dl=0" xr:uid="{9D07C24E-B6D9-AC4D-8D42-1EFE065003AE}"/>
    <hyperlink ref="A335" r:id="rId334" display="https://www.dropbox.com/sh/cx7tus4mgkt9o4n/AAAA7jf3SSRpol45uqvmvlYNa/168r.mid.mp3?dl=0" xr:uid="{A2F49FAE-4503-024C-A92A-7C23C7BBC9A9}"/>
    <hyperlink ref="A336" r:id="rId335" display="https://www.dropbox.com/sh/cx7tus4mgkt9o4n/AAAuW8kigoasHsyhuIZj7pMua/169g.mid.mp3?dl=0" xr:uid="{F7359366-883F-C64A-BEF5-E0072ABAA709}"/>
    <hyperlink ref="A337" r:id="rId336" display="https://www.dropbox.com/sh/cx7tus4mgkt9o4n/AAAeJME8G714dmp2gabHLQ0za/169r.mid.mp3?dl=0" xr:uid="{CCFE8155-80C3-2E44-A776-2519C986571A}"/>
    <hyperlink ref="A338" r:id="rId337" display="https://www.dropbox.com/sh/cx7tus4mgkt9o4n/AABWjkJgCOy08w74QrKH7z6fa/170g.mid.mp3?dl=0" xr:uid="{E5C40956-DCF5-AA48-B53F-DC78A21A7F3C}"/>
    <hyperlink ref="A339" r:id="rId338" display="https://www.dropbox.com/sh/cx7tus4mgkt9o4n/AAC9VA_KLkycvXULlT5MIzSMa/170r.mid.mp3?dl=0" xr:uid="{69A78603-BDCF-2E4D-A65D-AE35217DCE36}"/>
    <hyperlink ref="A340" r:id="rId339" display="https://www.dropbox.com/sh/cx7tus4mgkt9o4n/AACN26348UKvEeIKR60ZT626a/171g.mid.mp3?dl=0" xr:uid="{46853B24-DA74-3446-A3EB-CFB492155138}"/>
    <hyperlink ref="A341" r:id="rId340" display="https://www.dropbox.com/sh/cx7tus4mgkt9o4n/AADsOdjuMX3Y1DKrPTaKUrBta/171r.mid.mp3?dl=0" xr:uid="{5DD87D51-4611-9D46-8FFE-B7E33433937B}"/>
    <hyperlink ref="A342" r:id="rId341" display="https://www.dropbox.com/sh/cx7tus4mgkt9o4n/AAAEDgPhDj1FGOWLXv8mD0Iha/172g.mid.mp3?dl=0" xr:uid="{6C5087DD-0EF3-9C4D-85D5-8BCB0AA2667B}"/>
    <hyperlink ref="A343" r:id="rId342" display="https://www.dropbox.com/sh/cx7tus4mgkt9o4n/AADt3-kKpku3ngVZG0jwxPhNa/172r.mid.mp3?dl=0" xr:uid="{5BEFEE43-A6F9-564C-8854-B3FB8795886A}"/>
    <hyperlink ref="A344" r:id="rId343" display="https://www.dropbox.com/sh/cx7tus4mgkt9o4n/AABpodpkf3czgze5PIVIgDEAa/173g.mid.mp3?dl=0" xr:uid="{A875D2E7-EF29-2242-B99E-0180CB3301D9}"/>
    <hyperlink ref="A345" r:id="rId344" display="https://www.dropbox.com/sh/cx7tus4mgkt9o4n/AAAJl5ipQVkdPmnrwMU8Sz59a/173r.mid.mp3?dl=0" xr:uid="{9AE1A55C-EBA9-9945-B0C8-3A8C7735CE0B}"/>
    <hyperlink ref="A346" r:id="rId345" display="https://www.dropbox.com/sh/cx7tus4mgkt9o4n/AABYgqvankI0LCEaSoS_ONPfa/174g.mid.mp3?dl=0" xr:uid="{FB2B99E1-B220-E84C-B719-8FB6802A1492}"/>
    <hyperlink ref="A347" r:id="rId346" display="https://www.dropbox.com/sh/cx7tus4mgkt9o4n/AADu3xMrx0Ig2FfI1bk7sl7ta/174r.mid.mp3?dl=0" xr:uid="{901A3A71-9E30-BD46-8ABD-E71C6FA332E5}"/>
    <hyperlink ref="A348" r:id="rId347" display="https://www.dropbox.com/sh/cx7tus4mgkt9o4n/AAAGaGJhWv7Xo1TGON2MeBh1a/175r.mid.mp3?dl=0" xr:uid="{A121BDFF-B230-6F49-89EE-1706E79F7D54}"/>
    <hyperlink ref="A349" r:id="rId348" display="https://www.dropbox.com/sh/cx7tus4mgkt9o4n/AADC3muo2KKzwuD2nzVId2eAa/176g.mid.mp3?dl=0" xr:uid="{268E6F51-7EB6-574D-9DF3-AC0C4BFA1A9E}"/>
    <hyperlink ref="A350" r:id="rId349" display="https://www.dropbox.com/sh/cx7tus4mgkt9o4n/AAAXZxCYG7Z0-I7eVyNOKoRKa/176r.mid.mp3?dl=0" xr:uid="{6DBC2794-4E94-7345-BDCA-404CF694FC4A}"/>
    <hyperlink ref="A351" r:id="rId350" display="https://www.dropbox.com/sh/cx7tus4mgkt9o4n/AAAatUcgTOxbXpgtg-4GqnnFa/177r.mid.mp3?dl=0" xr:uid="{CD379018-C385-E247-BB36-59347F36DF12}"/>
    <hyperlink ref="A352" r:id="rId351" display="https://www.dropbox.com/sh/cx7tus4mgkt9o4n/AABqicu8xqov7C5PU3gcs3W7a/178g.mid.mp3?dl=0" xr:uid="{824BBB98-C2D4-C04F-B5AF-00FF5E2CA3DB}"/>
    <hyperlink ref="A353" r:id="rId352" display="https://www.dropbox.com/sh/cx7tus4mgkt9o4n/AACiL9w_oOXZ8aTy-XovD0Qja/178r.mid.mp3?dl=0" xr:uid="{3D01FDBB-074C-F745-BD16-AEC47BAB2FCB}"/>
    <hyperlink ref="A354" r:id="rId353" display="https://www.dropbox.com/sh/cx7tus4mgkt9o4n/AABut6_WNS5pOUZiQ74a4nzxa/179g.mid.mp3?dl=0" xr:uid="{6806D440-1203-A04D-921A-B5CB9405ED9A}"/>
    <hyperlink ref="A355" r:id="rId354" display="https://www.dropbox.com/sh/cx7tus4mgkt9o4n/AACesAH6qXOQy1IJgZY-SeTGa/179r.mid.mp3?dl=0" xr:uid="{3DCBA98F-4120-034E-861C-E304BB9712C4}"/>
    <hyperlink ref="A356" r:id="rId355" display="https://www.dropbox.com/sh/cx7tus4mgkt9o4n/AACb5I7RIzUcFSntPw0hMiw4a/180g.mid.mp3?dl=0" xr:uid="{B5374C97-CD3E-8945-BCF3-0D07DDBE77C5}"/>
    <hyperlink ref="A357" r:id="rId356" display="https://www.dropbox.com/sh/cx7tus4mgkt9o4n/AABeZAm3haolw6pVClLt5nT6a/180r.mid.mp3?dl=0" xr:uid="{6631861E-73C0-5340-BE63-53021067070D}"/>
    <hyperlink ref="A358" r:id="rId357" display="https://www.dropbox.com/sh/cx7tus4mgkt9o4n/AAA4AcxpblMbmrofkPn3G4DGa/181g.mid.mp3?dl=0" xr:uid="{983AD660-21D7-404B-8CCB-D6F08EE4F6D1}"/>
    <hyperlink ref="A359" r:id="rId358" display="https://www.dropbox.com/sh/cx7tus4mgkt9o4n/AADechptPO1rhTD07O8eHDvfa/181r.mid.mp3?dl=0" xr:uid="{D729C467-E234-5046-A3A3-C34FB3CAAD1A}"/>
    <hyperlink ref="A360" r:id="rId359" display="https://www.dropbox.com/sh/cx7tus4mgkt9o4n/AABx51CsacxbvJ39mfr2COw6a/182g.mid.mp3?dl=0" xr:uid="{BF4117DD-7582-BB43-BD63-8A8FE6A85B68}"/>
    <hyperlink ref="A361" r:id="rId360" display="https://www.dropbox.com/sh/cx7tus4mgkt9o4n/AADEJxfegg0zm4I1DhIDlw7Pa/182r.mid.mp3?dl=0" xr:uid="{6ADB235E-2183-6840-95D7-E470B0967C08}"/>
    <hyperlink ref="A362" r:id="rId361" display="https://www.dropbox.com/sh/cx7tus4mgkt9o4n/AADMlPFgQSLd34zKq2ZPj7kNa/183g.mid.mp3?dl=0" xr:uid="{A0108823-AF34-4943-AB64-332F338BB586}"/>
    <hyperlink ref="A363" r:id="rId362" display="https://www.dropbox.com/sh/cx7tus4mgkt9o4n/AADekEacaW9aoReAlNT3X1s5a/183r.mid.mp3?dl=0" xr:uid="{D592CDB0-6D2F-D54B-ADAF-2779D5015BC2}"/>
    <hyperlink ref="A364" r:id="rId363" display="https://www.dropbox.com/sh/cx7tus4mgkt9o4n/AABekJNfB1F5uZyHvC-4d7_9a/184g.mid.mp3?dl=0" xr:uid="{794A31AD-B88D-A647-A3AE-6D222627716F}"/>
    <hyperlink ref="A365" r:id="rId364" display="https://www.dropbox.com/sh/cx7tus4mgkt9o4n/AAACv8THpipwdn5YFsBhWdtsa/184r.mid.mp3?dl=0" xr:uid="{64B805AE-A5FE-E545-87C0-38CF41FF3E68}"/>
    <hyperlink ref="A366" r:id="rId365" display="https://www.dropbox.com/sh/cx7tus4mgkt9o4n/AAChbuISk-DPlarUJbtdMsdWa/185g.mid.mp3?dl=0" xr:uid="{9BBD6450-F00D-FF49-8CF1-7F52A2506256}"/>
    <hyperlink ref="A367" r:id="rId366" display="https://www.dropbox.com/sh/cx7tus4mgkt9o4n/AAChgDsV2qbQSBeaGXIxEc2_a/185r.mid.mp3?dl=0" xr:uid="{E57AFBF4-9DD2-C348-8442-A5773349CD94}"/>
    <hyperlink ref="A368" r:id="rId367" display="https://www.dropbox.com/sh/cx7tus4mgkt9o4n/AABrKZhIXAvwYJKOuVC6UdM5a/186g.mid.mp3?dl=0" xr:uid="{1198A3AB-8CA6-3E47-A5DD-12DA4E4EDFDD}"/>
    <hyperlink ref="A369" r:id="rId368" display="https://www.dropbox.com/sh/cx7tus4mgkt9o4n/AACoJupiFoNPmAWV7KWN2naVa/186r.mid.mp3?dl=0" xr:uid="{85409C7C-EB00-F94D-B268-3E656026BDAD}"/>
    <hyperlink ref="A370" r:id="rId369" display="https://www.dropbox.com/sh/cx7tus4mgkt9o4n/AACZ0LHTBvHhCt3JwhhXRq2oa/187g.mid.mp3?dl=0" xr:uid="{DED51F8A-931C-664D-B87C-9FDA8B7F7DDC}"/>
    <hyperlink ref="A371" r:id="rId370" display="https://www.dropbox.com/sh/cx7tus4mgkt9o4n/AADO53DOEU6oLjQ3cABwtPpca/187r.mid.mp3?dl=0" xr:uid="{7527F95F-0108-BC44-BCB9-F81239CE2256}"/>
    <hyperlink ref="A372" r:id="rId371" display="https://www.dropbox.com/sh/cx7tus4mgkt9o4n/AADPrY1Q6_RiI1buX5FZFpC9a/188g.mid.mp3?dl=0" xr:uid="{781B9288-FDFA-6A40-BD1B-EDEB890716E4}"/>
    <hyperlink ref="A373" r:id="rId372" display="https://www.dropbox.com/sh/cx7tus4mgkt9o4n/AAAyCesGqjYxTFLgSHRwdR_ea/188r.mid.mp3?dl=0" xr:uid="{B7EF1114-1E9C-8247-8109-CB4DD19D4365}"/>
    <hyperlink ref="A374" r:id="rId373" display="https://www.dropbox.com/sh/cx7tus4mgkt9o4n/AABl5U1-4FfwzVFXriZUKUP9a/189g.mid.mp3?dl=0" xr:uid="{589B55CB-8D4D-2841-9C64-3F4FDC471D66}"/>
    <hyperlink ref="A375" r:id="rId374" display="https://www.dropbox.com/sh/cx7tus4mgkt9o4n/AAC7Cn1wIqjtv62Ca9aC_YNua/189r.mid.mp3?dl=0" xr:uid="{93EBF1B3-91BE-7F47-A58A-8CD97BBA5525}"/>
    <hyperlink ref="A376" r:id="rId375" display="https://www.dropbox.com/sh/cx7tus4mgkt9o4n/AAD18oow6jKJknRMc6uc7-a9a/190g.mid.mp3?dl=0" xr:uid="{88978108-3739-8E40-8E49-C32D2CF4ECB2}"/>
    <hyperlink ref="A377" r:id="rId376" display="https://www.dropbox.com/sh/cx7tus4mgkt9o4n/AAB59JBAursW4G-yXBbwEHrka/190r.mid.mp3?dl=0" xr:uid="{141F0613-2D56-3841-B2DD-BCED354E2CFF}"/>
    <hyperlink ref="A378" r:id="rId377" display="https://www.dropbox.com/sh/cx7tus4mgkt9o4n/AAA73QTHwDnnLhaH3D2kLnNWa/191g.mid.mp3?dl=0" xr:uid="{E19A46AF-F3F1-EE4E-A954-ABE1C7A25476}"/>
    <hyperlink ref="A379" r:id="rId378" display="https://www.dropbox.com/sh/cx7tus4mgkt9o4n/AAAqHaQC8EAaFcXr3fIt3S3Pa/191r.mid.mp3?dl=0" xr:uid="{D3C44691-49A5-8249-8A0B-2EE70EEF389C}"/>
    <hyperlink ref="A380" r:id="rId379" display="https://www.dropbox.com/sh/cx7tus4mgkt9o4n/AADumqDY6BuncwTRzmS4NkkIa/192g.mid.mp3?dl=0" xr:uid="{45C4C136-FC6B-9D4E-A33D-1C05404DDC73}"/>
    <hyperlink ref="A381" r:id="rId380" display="https://www.dropbox.com/sh/cx7tus4mgkt9o4n/AAB4GZHaAdjmierkHpMIXNBea/192r.mid.mp3?dl=0" xr:uid="{456D6AAF-1408-AD4A-BA80-3B8A5E7A8B3B}"/>
    <hyperlink ref="A382" r:id="rId381" display="https://www.dropbox.com/sh/cx7tus4mgkt9o4n/AABUwuQ9BkIHY2owQMA22Q0Pa/193g.mid.mp3?dl=0" xr:uid="{DE09FCE4-0227-F946-AB7A-7DD3BDDEF168}"/>
    <hyperlink ref="A383" r:id="rId382" display="https://www.dropbox.com/sh/cx7tus4mgkt9o4n/AABII9U7rtmtIFAnFwlHLedMa/193r.mid.mp3?dl=0" xr:uid="{CAC706E6-C294-DD46-81BC-8F79E86AD8C4}"/>
    <hyperlink ref="A384" r:id="rId383" display="https://www.dropbox.com/sh/cx7tus4mgkt9o4n/AAANqX1xOnvpSZl05AXv991Za/194g.mid.mp3?dl=0" xr:uid="{7E4783F8-E318-B447-999B-9C979D01627E}"/>
    <hyperlink ref="A385" r:id="rId384" display="https://www.dropbox.com/sh/cx7tus4mgkt9o4n/AAAI49I9Iq-KntXTBF-LgLxga/194r.mid.mp3?dl=0" xr:uid="{A44DDF75-AA15-8549-8EA0-7D8055363E9C}"/>
    <hyperlink ref="A386" r:id="rId385" display="https://www.dropbox.com/sh/cx7tus4mgkt9o4n/AACSlS76wGk5k1QU2U_2mv7ia/195g.mid.mp3?dl=0" xr:uid="{02826197-0487-8748-90B1-12487228D721}"/>
    <hyperlink ref="A387" r:id="rId386" display="https://www.dropbox.com/sh/cx7tus4mgkt9o4n/AADDRbUhjeIsz3_moEQt0riDa/195r.mid.mp3?dl=0" xr:uid="{DF906956-A841-C746-9BE5-FDA7E9E18F52}"/>
    <hyperlink ref="A388" r:id="rId387" display="https://www.dropbox.com/sh/cx7tus4mgkt9o4n/AABWgQwmOpd3vdUdikq0QV7Ma/196g.mid.mp3?dl=0" xr:uid="{18FD8EA9-0EE6-A04C-A3AC-53359EFBAD7A}"/>
    <hyperlink ref="A389" r:id="rId388" display="https://www.dropbox.com/sh/cx7tus4mgkt9o4n/AADg64pDavCX1IXCjpq6XShRa/196r.mid.mp3?dl=0" xr:uid="{FD73E0C6-ECCD-464A-9448-EE097C11EEA7}"/>
    <hyperlink ref="A390" r:id="rId389" display="https://www.dropbox.com/sh/cx7tus4mgkt9o4n/AABoSoQrv0WUlmFoSaK_yr1Ka/197g.mid.mp3?dl=0" xr:uid="{FC89C321-6684-9540-86E2-F3685C322A43}"/>
    <hyperlink ref="A391" r:id="rId390" display="https://www.dropbox.com/sh/cx7tus4mgkt9o4n/AACs4CbR6RIY0SVumUrNtL_1a/197r.mid.mp3?dl=0" xr:uid="{01C99D81-7975-BC4B-A9C8-0A0ADE577B88}"/>
    <hyperlink ref="A392" r:id="rId391" display="https://www.dropbox.com/sh/cx7tus4mgkt9o4n/AABIv3p798eVy2eEWoB2Vsbva/198r.mid.mp3?dl=0" xr:uid="{E857A3F3-3C82-794E-AA6D-D8DE7659B8BD}"/>
    <hyperlink ref="A393" r:id="rId392" display="https://www.dropbox.com/sh/cx7tus4mgkt9o4n/AADVL-r4mH-YWfsjOAEZ954fa/199r.mid.mp3?dl=0" xr:uid="{5948603E-40C0-BE4B-9A42-DB9CAEEC613D}"/>
    <hyperlink ref="A394" r:id="rId393" display="https://www.dropbox.com/sh/cx7tus4mgkt9o4n/AACVlQaBi9x3pSQiPCwdltnua/200g.mid.mp3?dl=0" xr:uid="{17E7C9F3-3FD1-5F4D-A903-7D303B1B44D4}"/>
    <hyperlink ref="A395" r:id="rId394" display="https://www.dropbox.com/sh/cx7tus4mgkt9o4n/AABCn2Haw5a_4HiskMnc75FOa/200r.mid.mp3?dl=0" xr:uid="{2A5104C9-BCB1-BC40-8FE7-332C958B729B}"/>
    <hyperlink ref="A396" r:id="rId395" display="https://www.dropbox.com/sh/cx7tus4mgkt9o4n/AAB59ba7_6MtnWxL7GxA1qzza/201g.mid.mp3?dl=0" xr:uid="{C6B4A02F-35D4-C443-A193-46FA2161708A}"/>
    <hyperlink ref="A397" r:id="rId396" display="https://www.dropbox.com/sh/cx7tus4mgkt9o4n/AABhD4RY07Kilg2vcx4JNV7ea/201r.mid.mp3?dl=0" xr:uid="{A40EF7F3-1024-F34F-A69F-2E9C9926D018}"/>
    <hyperlink ref="A398" r:id="rId397" display="https://www.dropbox.com/sh/cx7tus4mgkt9o4n/AAC4nYMZcDWpPX-iQQ-b802wa/202g.mid.mp3?dl=0" xr:uid="{20BA2F56-B232-4A47-A917-CB0F20879CFB}"/>
    <hyperlink ref="A399" r:id="rId398" display="https://www.dropbox.com/sh/cx7tus4mgkt9o4n/AABmdlmW2JE8Uymzz-BeOXpba/202r.mid.mp3?dl=0" xr:uid="{143B327C-DD56-D947-9704-31D969607B3B}"/>
    <hyperlink ref="A400" r:id="rId399" display="https://www.dropbox.com/sh/cx7tus4mgkt9o4n/AADpY6D9OwNaoWf6XOnGvt7Ba/203g.mid.mp3?dl=0" xr:uid="{FB2965F8-540D-BE4F-9F3F-86120FCD5933}"/>
    <hyperlink ref="A401" r:id="rId400" display="https://www.dropbox.com/sh/cx7tus4mgkt9o4n/AAA7hPLprVyD3YTjPY-xU75La/203r.mid.mp3?dl=0" xr:uid="{95E9DB3D-778F-6745-ABD9-8EEE20134457}"/>
    <hyperlink ref="A402" r:id="rId401" display="https://www.dropbox.com/sh/cx7tus4mgkt9o4n/AACEYwbI1fu3aVghNoEkflbwa/204g.mid.mp3?dl=0" xr:uid="{31EBFCE8-521D-804B-8482-B7207B8E8ED4}"/>
    <hyperlink ref="A403" r:id="rId402" display="https://www.dropbox.com/sh/cx7tus4mgkt9o4n/AAByTQbf-4quQnSIzLXFywLua/204r.mid.mp3?dl=0" xr:uid="{2125349F-4144-C148-9B01-BF477A181066}"/>
    <hyperlink ref="A404" r:id="rId403" display="https://www.dropbox.com/sh/cx7tus4mgkt9o4n/AAAAyNiSGjQ14aOd88LDcH1ia/205r.mid.mp3?dl=0" xr:uid="{F35C17BD-C1D5-C948-8DCA-EBF21B40DFA8}"/>
    <hyperlink ref="A405" r:id="rId404" display="https://www.dropbox.com/sh/cx7tus4mgkt9o4n/AABil2NIcpw7Na1-xxIw8tJVa/206g.mid.mp3?dl=0" xr:uid="{565B6A42-EAFB-1342-AE3E-ACF5B63F7904}"/>
    <hyperlink ref="A406" r:id="rId405" display="https://www.dropbox.com/sh/cx7tus4mgkt9o4n/AADUPaEOS_yzCw_ZFULZZ4aRa/206r.mid.mp3?dl=0" xr:uid="{0D18A8B9-9932-A34A-A561-8D1728099223}"/>
    <hyperlink ref="A407" r:id="rId406" display="https://www.dropbox.com/sh/cx7tus4mgkt9o4n/AAA5EZKN9ExghDy1Tn8fr3Xva/207r.mid.mp3?dl=0" xr:uid="{9D56F713-C78C-6641-B7F7-68314B636787}"/>
    <hyperlink ref="A408" r:id="rId407" display="https://www.dropbox.com/sh/cx7tus4mgkt9o4n/AAD5ZZDgn6yG0smHLIfW5AVIa/208r.mid.mp3?dl=0" xr:uid="{524BD406-0AB3-9F46-9CD0-52D8048D76AD}"/>
    <hyperlink ref="A409" r:id="rId408" display="https://www.dropbox.com/sh/cx7tus4mgkt9o4n/AADzhJkOol_pHDufi1PsB1j3a/209g.mid.mp3?dl=0" xr:uid="{969796CB-A3BA-BE43-97FB-A9F5EDB550EE}"/>
    <hyperlink ref="A410" r:id="rId409" display="https://www.dropbox.com/sh/cx7tus4mgkt9o4n/AACSOOv5Nz_hN6bqLh7LKVIza/209r.mid.mp3?dl=0" xr:uid="{D7B2DA32-08EE-8845-9DAA-3A1ABEFBE316}"/>
    <hyperlink ref="A411" r:id="rId410" display="https://www.dropbox.com/sh/cx7tus4mgkt9o4n/AACNRux_XsrktlJ-MZ0F4fjoa/210g.mid.mp3?dl=0" xr:uid="{261048E3-5348-4D46-9B50-2CAD8D3D9B99}"/>
    <hyperlink ref="A412" r:id="rId411" display="https://www.dropbox.com/sh/cx7tus4mgkt9o4n/AAAB7Qzp_G7MSTlUlQrW9y21a/210r.mid.mp3?dl=0" xr:uid="{E847B020-6887-D144-8181-7595D22FFD48}"/>
    <hyperlink ref="A413" r:id="rId412" display="https://www.dropbox.com/sh/cx7tus4mgkt9o4n/AACIwe6uDVzVIkFZFEtrAISIa/211.mid.mp3?dl=0" xr:uid="{4B4394C5-2AB1-1243-AFC9-77422FF673B5}"/>
    <hyperlink ref="A414" r:id="rId413" display="https://www.dropbox.com/sh/cx7tus4mgkt9o4n/AAAsyacy9v6Gaes_QU58V9EOa/211r.mid.mp3?dl=0" xr:uid="{EBE8DB96-3E84-5242-BD86-2827120048F2}"/>
    <hyperlink ref="A415" r:id="rId414" display="https://www.dropbox.com/sh/cx7tus4mgkt9o4n/AAA-V4FPF-_Wqxgdy6lsvB1Ja/212.mid.mp3?dl=0" xr:uid="{DCB08CD0-4974-184C-B7A2-B299991122C1}"/>
    <hyperlink ref="A416" r:id="rId415" display="https://www.dropbox.com/sh/cx7tus4mgkt9o4n/AACV3BpKZo-HC-ATtwRs9nZ-a/212r.mid.mp3?dl=0" xr:uid="{36E1DCBD-6D0C-244D-9B12-DFA4A2C53AEB}"/>
    <hyperlink ref="A417" r:id="rId416" display="https://www.dropbox.com/sh/cx7tus4mgkt9o4n/AACsy1Lka3-ig8ehb4jfh2sqa/213g.mid.mp3?dl=0" xr:uid="{B5BB49E2-1CE1-BB43-A7F9-19DCBC90CE6C}"/>
    <hyperlink ref="A418" r:id="rId417" display="https://www.dropbox.com/sh/cx7tus4mgkt9o4n/AADMFrzOQBQ1VB_dcGunTtSva/213r.mid.mp3?dl=0" xr:uid="{F3F52FB7-6B94-C548-96CE-5B5E1FD124E7}"/>
    <hyperlink ref="A419" r:id="rId418" display="https://www.dropbox.com/sh/cx7tus4mgkt9o4n/AAC0Yavv-ZBvEiDQUpSp-Ayta/214g.mid.mp3?dl=0" xr:uid="{9D1644A1-65B0-1C49-BE62-E3457232C5DB}"/>
    <hyperlink ref="A420" r:id="rId419" display="https://www.dropbox.com/sh/cx7tus4mgkt9o4n/AAAfXxwjxYQvzqVpxB8ssjePa/214r.mid.mp3?dl=0" xr:uid="{7C9A2F88-F2F6-384B-9ABC-1D9568BB6932}"/>
    <hyperlink ref="A421" r:id="rId420" display="https://www.dropbox.com/sh/cx7tus4mgkt9o4n/AAA66yKl1nC_oRTbMya51K8Xa/215g.mid.mp3?dl=0" xr:uid="{E0233B9A-B94D-0F46-B64E-4F1C9CAEAD60}"/>
    <hyperlink ref="A422" r:id="rId421" display="https://www.dropbox.com/sh/cx7tus4mgkt9o4n/AADR4m-X-BWOq0jk7L83l3FVa/215r.mid.mp3?dl=0" xr:uid="{6E714A38-291E-964E-B3AB-8EAD68C92F57}"/>
    <hyperlink ref="A423" r:id="rId422" display="https://www.dropbox.com/sh/cx7tus4mgkt9o4n/AAAi3b2fW8k3NYB31OPznTNca/216g.mid.mp3?dl=0" xr:uid="{1C90FA28-5265-9145-8EF6-25F02F1FE0F0}"/>
    <hyperlink ref="A424" r:id="rId423" display="https://www.dropbox.com/sh/cx7tus4mgkt9o4n/AACBviK5YTT2uGB8G41OXj9ua/216r.mid.mp3?dl=0" xr:uid="{722132B1-40C1-824A-A4BE-1AD7E38C811B}"/>
    <hyperlink ref="A425" r:id="rId424" display="https://www.dropbox.com/sh/cx7tus4mgkt9o4n/AADe7pwua95RkBHqVlHnJ6rLa/217g.mid.mp3?dl=0" xr:uid="{DD6F43F0-0C21-9F42-94A2-66C5E01F788C}"/>
    <hyperlink ref="A426" r:id="rId425" display="https://www.dropbox.com/sh/cx7tus4mgkt9o4n/AAAnN3K--02cFxBpG9pbpjgqa/217r.mid.mp3?dl=0" xr:uid="{1CDE3765-87AB-4A4C-849B-641A2AF52F5B}"/>
    <hyperlink ref="A427" r:id="rId426" display="https://www.dropbox.com/sh/cx7tus4mgkt9o4n/AAAOrzGOaUJVw4QwhA4aFyzBa/218r.mid.mp3?dl=0" xr:uid="{97419A47-833E-FC4F-9297-89B3FE0EDD4B}"/>
    <hyperlink ref="A428" r:id="rId427" display="https://www.dropbox.com/sh/cx7tus4mgkt9o4n/AACQoglnhLt3JI_kRlxvXk1Ta/219g.mid.mp3?dl=0" xr:uid="{402C5664-2727-A24C-9A2B-728DF7C186D8}"/>
    <hyperlink ref="A429" r:id="rId428" display="https://www.dropbox.com/sh/cx7tus4mgkt9o4n/AABqNTKk5vkpABWQ1FXoKBn-a/219r.mid.mp3?dl=0" xr:uid="{E8EAB832-C89C-7646-B517-1AE735154D62}"/>
    <hyperlink ref="A430" r:id="rId429" display="https://www.dropbox.com/sh/cx7tus4mgkt9o4n/AADhu6brIuKAp0HLcaBlDojea/220g.mid.mp3?dl=0" xr:uid="{F1EF386D-0B7C-1B4E-87ED-81619FC1EB2C}"/>
    <hyperlink ref="A431" r:id="rId430" display="https://www.dropbox.com/sh/cx7tus4mgkt9o4n/AADKSNBhkdqHZ-PFO9Rg4ph8a/220r.mid.mp3?dl=0" xr:uid="{D794B93E-52B8-E74C-A02A-400F7AAFABA8}"/>
    <hyperlink ref="A432" r:id="rId431" display="https://www.dropbox.com/sh/cx7tus4mgkt9o4n/AAAQTlYS0_iGQjPOQl6Rk6ova/221g.mid.mp3?dl=0" xr:uid="{1A00D57F-8DEE-824C-8F45-20A7110FA547}"/>
    <hyperlink ref="A433" r:id="rId432" display="https://www.dropbox.com/sh/cx7tus4mgkt9o4n/AAAtEyCVo1TUSq0YI1v7lmr4a/221r.mid.mp3?dl=0" xr:uid="{3881492B-6F40-F14C-AB92-B8A6123AC290}"/>
    <hyperlink ref="A434" r:id="rId433" display="https://www.dropbox.com/sh/cx7tus4mgkt9o4n/AAD1xoVR3nJWskQgnRG-WdEsa/222g.mid.mp3?dl=0" xr:uid="{70C9E311-27DE-8D43-81FF-124B984725BA}"/>
    <hyperlink ref="A435" r:id="rId434" display="https://www.dropbox.com/sh/cx7tus4mgkt9o4n/AABl4fwj26lbGwdOy_8odoGQa/222r.mid.mp3?dl=0" xr:uid="{4ECD313D-D567-1A48-BC23-1D02AE73B7A3}"/>
    <hyperlink ref="A436" r:id="rId435" display="https://www.dropbox.com/sh/cx7tus4mgkt9o4n/AAD0RluSw_thkol_yuQ5SHnYa/223g.mid.mp3?dl=0" xr:uid="{EA532854-C1C3-2546-9150-F14F9393BDC4}"/>
    <hyperlink ref="A437" r:id="rId436" display="https://www.dropbox.com/sh/cx7tus4mgkt9o4n/AABzMnZvvFbkioXN0S_hosKJa/223r.mid.mp3?dl=0" xr:uid="{6C43EB7D-1452-4A47-A6D5-B4D081885623}"/>
    <hyperlink ref="A438" r:id="rId437" display="https://www.dropbox.com/sh/cx7tus4mgkt9o4n/AAAWmlXnhdTigMc7arehE_RCa/224g.mid.mp3?dl=0" xr:uid="{7AE0817C-C041-6B4E-A037-12DA11CAB018}"/>
    <hyperlink ref="A439" r:id="rId438" display="https://www.dropbox.com/sh/cx7tus4mgkt9o4n/AADqOH59ga7s4Fw_ggF9Zje-a/224r.mid.mp3?dl=0" xr:uid="{4B1984B8-56C3-5E49-B9F3-0FF7F484EB0F}"/>
    <hyperlink ref="A440" r:id="rId439" display="https://www.dropbox.com/sh/cx7tus4mgkt9o4n/AABubctTgvQyJHfma_zaHga_a/225g.mid.mp3?dl=0" xr:uid="{21B7E6A7-9B69-5C44-85AD-EB560E69E1D1}"/>
    <hyperlink ref="A441" r:id="rId440" display="https://www.dropbox.com/sh/cx7tus4mgkt9o4n/AAA2VHiJw72MEAIxH9XecGVwa/225r.mid.mp3?dl=0" xr:uid="{7EDD2989-55CE-BD4E-9785-6E3D4117B7EF}"/>
    <hyperlink ref="A442" r:id="rId441" display="https://www.dropbox.com/sh/cx7tus4mgkt9o4n/AAAADXH4aNVo92ENLKGbVZwla/226g.mid.mp3?dl=0" xr:uid="{E210676D-B7AC-8948-9655-2E80A27B73C9}"/>
    <hyperlink ref="A443" r:id="rId442" display="https://www.dropbox.com/sh/cx7tus4mgkt9o4n/AAB5SsKc-KQo3m0CTjstAHoja/226r.mid.mp3?dl=0" xr:uid="{7D55762C-8235-4E4F-82C5-05B6D41682FD}"/>
    <hyperlink ref="A444" r:id="rId443" display="https://www.dropbox.com/sh/cx7tus4mgkt9o4n/AACrxz_kT5RO6r6FdNrD_C3pa/227r.mid.mp3?dl=0" xr:uid="{33608446-1EC6-E648-AD2D-4E555BCC0ED1}"/>
    <hyperlink ref="A445" r:id="rId444" display="https://www.dropbox.com/sh/cx7tus4mgkt9o4n/AAA1g7KvxPwqU0GwEnrMT3BIa/228g.mid.mp3?dl=0" xr:uid="{D8B70D35-D749-9D45-BCCB-6F0754A96318}"/>
    <hyperlink ref="A446" r:id="rId445" display="https://www.dropbox.com/sh/cx7tus4mgkt9o4n/AADBxKI-60RTTETRogG9gmMpa/228r.mid.mp3?dl=0" xr:uid="{699FAF9A-F5D9-F34E-BEFF-BD4949A86D9F}"/>
    <hyperlink ref="A447" r:id="rId446" display="https://www.dropbox.com/sh/cx7tus4mgkt9o4n/AACKKN1hKw1OzLeBNLQ7dSmRa/229g.mid.mp3?dl=0" xr:uid="{6BBBB32F-D3D0-1547-B87B-1D50BCFB66A0}"/>
    <hyperlink ref="A448" r:id="rId447" display="https://www.dropbox.com/sh/cx7tus4mgkt9o4n/AADA40aLPwvlMj9OO7x3uvb7a/229r.mid.mp3?dl=0" xr:uid="{0982E682-D059-6742-ACFE-CB01E6F21FE6}"/>
    <hyperlink ref="A449" r:id="rId448" display="https://www.dropbox.com/sh/cx7tus4mgkt9o4n/AACwMF0rEbSHXR8OL7Cn9c0aa/230r.mid.mp3?dl=0" xr:uid="{E0AB877B-6AFD-2242-86D4-AC32BC55D295}"/>
    <hyperlink ref="A450" r:id="rId449" display="https://www.dropbox.com/sh/cx7tus4mgkt9o4n/AAAeeIW5klTVME00Zw4SsQdea/231g.mid.mp3?dl=0" xr:uid="{1D707E51-5436-E04F-A4D7-362735890088}"/>
    <hyperlink ref="A451" r:id="rId450" display="https://www.dropbox.com/sh/cx7tus4mgkt9o4n/AAA8Dlrr2GRpKJVIuqRjqelsa/231r.mid.mp3?dl=0" xr:uid="{834FDC4C-D885-7B40-8688-A3736453DECF}"/>
    <hyperlink ref="A452" r:id="rId451" display="https://www.dropbox.com/sh/cx7tus4mgkt9o4n/AAAMDcE76CEgHYmIm079xYw0a/232g.mid.mp3?dl=0" xr:uid="{5C174A30-6CE5-214B-A6D7-B0A08C9C3233}"/>
    <hyperlink ref="A453" r:id="rId452" display="https://www.dropbox.com/sh/cx7tus4mgkt9o4n/AABP7bzVbGms3DPGbGqfZ2zVa/232r.mid.mp3?dl=0" xr:uid="{E387FF24-647D-5644-95DE-F65B3CF2BD92}"/>
    <hyperlink ref="A454" r:id="rId453" display="https://www.dropbox.com/sh/cx7tus4mgkt9o4n/AABFCp4bvfayUx28KhIdqgPba/233g.mid.mp3?dl=0" xr:uid="{C758A136-0C07-3045-8D35-20E304BC318C}"/>
    <hyperlink ref="A455" r:id="rId454" display="https://www.dropbox.com/sh/cx7tus4mgkt9o4n/AADb65UYNNtk55CTGLnwHB0Ha/233r.mid.mp3?dl=0" xr:uid="{367B2B14-82DE-384F-A7B0-2AA9A877C732}"/>
    <hyperlink ref="A456" r:id="rId455" display="https://www.dropbox.com/sh/cx7tus4mgkt9o4n/AABu6v65LjAYiLC01Kn1Mor9a/234g.mid.mp3?dl=0" xr:uid="{04F141A3-EC2E-EB41-BDA7-3E44F2B8A6D0}"/>
    <hyperlink ref="A457" r:id="rId456" display="https://www.dropbox.com/sh/cx7tus4mgkt9o4n/AAAmTTzAbTzPH2N52slmoAYSa/234r.mid.mp3?dl=0" xr:uid="{4313845E-BB8F-E648-A0C3-F4984F0140E4}"/>
    <hyperlink ref="A458" r:id="rId457" display="https://www.dropbox.com/sh/cx7tus4mgkt9o4n/AADn99pIVYJe7goCZ4rAwOO_a/235g.mid.mp3?dl=0" xr:uid="{294940BB-6F3B-3F45-839F-7C4EDCEBE14B}"/>
    <hyperlink ref="A459" r:id="rId458" display="https://www.dropbox.com/sh/cx7tus4mgkt9o4n/AABrXPJPwlt8yEiMtydSjuXsa/235r.mid.mp3?dl=0" xr:uid="{CBEB88BE-6D52-EB4B-8777-BED2D67CDF90}"/>
    <hyperlink ref="A460" r:id="rId459" display="https://www.dropbox.com/sh/cx7tus4mgkt9o4n/AAAflaGp_EVWlPqBNreFJR0Ca/236g.mid.mp3?dl=0" xr:uid="{AC12D34A-C8B2-D740-9D26-D9854066977F}"/>
    <hyperlink ref="A461" r:id="rId460" display="https://www.dropbox.com/sh/cx7tus4mgkt9o4n/AADEke6H5vJJmrFXbYnyMH9ga/236r.mid.mp3?dl=0" xr:uid="{132454D1-4951-8144-8E74-AD157E563F4F}"/>
    <hyperlink ref="A462" r:id="rId461" display="https://www.dropbox.com/sh/cx7tus4mgkt9o4n/AADcSAUPKqrxcHPUawHy-vh2a/237g.mid.mp3?dl=0" xr:uid="{B14A429E-B8DA-0D42-ADBA-6E90B2B8AA7B}"/>
    <hyperlink ref="A463" r:id="rId462" display="https://www.dropbox.com/sh/cx7tus4mgkt9o4n/AACo_SA4N2SmdNkoOZam59cda/237r.mid.mp3?dl=0" xr:uid="{093BCABB-577F-414B-AA0E-B41B76EBD8FC}"/>
    <hyperlink ref="A464" r:id="rId463" display="https://www.dropbox.com/sh/cx7tus4mgkt9o4n/AAAG6Sb1hvgp9-Qzog1_CYrDa/238g.mid.mp3?dl=0" xr:uid="{E3793DD9-ADC5-4045-9E6F-827942C8AFEE}"/>
    <hyperlink ref="A465" r:id="rId464" display="https://www.dropbox.com/sh/cx7tus4mgkt9o4n/AADI5nZKpORCZDVBUlDHmzOGa/238r.mid.mp3?dl=0" xr:uid="{C5EE10AB-FD13-3F4D-8617-76620136DFBA}"/>
    <hyperlink ref="A466" r:id="rId465" display="https://www.dropbox.com/sh/cx7tus4mgkt9o4n/AACpKVIugYqzS7aNcQPS4gYma/239g.mid.mp3?dl=0" xr:uid="{14C0A163-415D-EF4E-B54D-DEB6FF1A517B}"/>
    <hyperlink ref="A467" r:id="rId466" display="https://www.dropbox.com/sh/cx7tus4mgkt9o4n/AABykl4XSFYIpAdb-0iiA0fya/239r.mid.mp3?dl=0" xr:uid="{83AD7E82-C423-9449-8CD8-1B1BBE11CECE}"/>
    <hyperlink ref="A468" r:id="rId467" display="https://www.dropbox.com/sh/cx7tus4mgkt9o4n/AABHHpwUVF3lvd-K6meLPoRxa/240g.mid.mp3?dl=0" xr:uid="{6911F2D6-907E-FC4D-A07E-3AC0D297253F}"/>
    <hyperlink ref="A469" r:id="rId468" display="https://www.dropbox.com/sh/cx7tus4mgkt9o4n/AAARgb0M8-OgpVWxixFhSLsoa/240r.mid.mp3?dl=0" xr:uid="{2786A92C-72FD-8946-8E05-3FCBA2A44DD0}"/>
    <hyperlink ref="A470" r:id="rId469" display="https://www.dropbox.com/sh/cx7tus4mgkt9o4n/AABPlrCcxo_7olJwTdLwPGWaa/241g.mid.mp3?dl=0" xr:uid="{DB354846-98C3-734B-9276-BB8441CF94B4}"/>
    <hyperlink ref="A471" r:id="rId470" display="https://www.dropbox.com/sh/cx7tus4mgkt9o4n/AAC3TaKb1lBhEW_9L8x1ws5oa/241r.mid.mp3?dl=0" xr:uid="{71995B37-5C04-7842-B9B0-BD0225109DC5}"/>
    <hyperlink ref="A472" r:id="rId471" display="https://www.dropbox.com/sh/cx7tus4mgkt9o4n/AAA2iLETsq41c9WYysOST1Pia/242g.mid.mp3?dl=0" xr:uid="{B25A0F6A-5F9D-B74D-A28C-406E95766651}"/>
    <hyperlink ref="A473" r:id="rId472" display="https://www.dropbox.com/sh/cx7tus4mgkt9o4n/AAD_Uh2wVfbZwV4Zb6OGRBw5a/242r.mid.mp3?dl=0" xr:uid="{E3F980A7-5AE1-3447-BABA-7D5D7C9B2F7C}"/>
    <hyperlink ref="A474" r:id="rId473" display="https://www.dropbox.com/sh/cx7tus4mgkt9o4n/AAB79TLccpfLA5lXwrkmHWVda/243r.mid.mp3?dl=0" xr:uid="{2FB8A6D9-2D91-5F46-8222-B35562BA4E85}"/>
    <hyperlink ref="A475" r:id="rId474" display="https://www.dropbox.com/sh/cx7tus4mgkt9o4n/AAB4iGbC2Arnk4FVHaD7z6OCa/244g.mid.mp3?dl=0" xr:uid="{301D396E-D324-194C-947A-4A573C2FF2EC}"/>
    <hyperlink ref="A476" r:id="rId475" display="https://www.dropbox.com/sh/cx7tus4mgkt9o4n/AABc2NhuQqC7X5nWE_cvjZuUa/244r.mid.mp3?dl=0" xr:uid="{9AD14DD7-3942-EC4D-B498-17A69129A20D}"/>
    <hyperlink ref="A477" r:id="rId476" display="https://www.dropbox.com/sh/cx7tus4mgkt9o4n/AAAhKmyZnXX0oi1NtQaUwjIya/245g.mid.mp3?dl=0" xr:uid="{00FED576-8D04-D344-A1BA-B7371D3A9A5B}"/>
    <hyperlink ref="A478" r:id="rId477" display="https://www.dropbox.com/sh/cx7tus4mgkt9o4n/AADtPjlD1_cgdp8DFVT7VFHva/245r.mid.mp3?dl=0" xr:uid="{A83BB266-5D78-1E4B-91CA-BBE7177B0309}"/>
    <hyperlink ref="A479" r:id="rId478" display="https://www.dropbox.com/sh/cx7tus4mgkt9o4n/AABTpu2MfSEKIo6-17c49Da2a/246g.mid.mp3?dl=0" xr:uid="{82EB160B-F9E6-3549-8A12-3A51964DB730}"/>
    <hyperlink ref="A480" r:id="rId479" display="https://www.dropbox.com/sh/cx7tus4mgkt9o4n/AAATot7cU6wis9FJdft7EVPIa/246r.mid.mp3?dl=0" xr:uid="{41CFC5E6-E895-384B-BD43-A10BF8E8E63B}"/>
    <hyperlink ref="A481" r:id="rId480" display="https://www.dropbox.com/sh/cx7tus4mgkt9o4n/AAAusf8-CFEooBRuvoHLAo4pa/247r.mid.mp3?dl=0" xr:uid="{6DDC583A-6468-8B44-9831-3626D0B3A2B4}"/>
    <hyperlink ref="A482" r:id="rId481" display="https://www.dropbox.com/sh/cx7tus4mgkt9o4n/AADBje0XHfVaKYqLdqFpykcaa/248g.mid.mp3?dl=0" xr:uid="{42AA3286-589F-2F46-A943-ECA8F319892E}"/>
    <hyperlink ref="A483" r:id="rId482" display="https://www.dropbox.com/sh/cx7tus4mgkt9o4n/AADLtqAOyfJYo0CEMWJ_g-l3a/248r.mid.mp3?dl=0" xr:uid="{A2B01E87-67C8-D94E-9269-9D208A3C5068}"/>
    <hyperlink ref="A484" r:id="rId483" display="https://www.dropbox.com/sh/cx7tus4mgkt9o4n/AAC_Ios8o06i7JnXIsVXHrPia/249g.mid.mp3?dl=0" xr:uid="{CBDB9455-A7A9-7449-897A-264ED453E0FB}"/>
    <hyperlink ref="A485" r:id="rId484" display="https://www.dropbox.com/sh/cx7tus4mgkt9o4n/AADPnPeXAr6QZPh41IR-XiKba/249r.mid.mp3?dl=0" xr:uid="{EF9FB60A-8B47-714B-98DC-8BF4B8753049}"/>
    <hyperlink ref="A486" r:id="rId485" display="https://www.dropbox.com/sh/cx7tus4mgkt9o4n/AADaCdhuTvuv3XZRzfau-AT9a/250g.mid.mp3?dl=0" xr:uid="{BEB6D18F-2046-224C-A363-E78E6A8FFE8F}"/>
    <hyperlink ref="A487" r:id="rId486" display="https://www.dropbox.com/sh/cx7tus4mgkt9o4n/AAB8sUz9BjCIuCO9PRNJHA0pa/250r.mid.mp3?dl=0" xr:uid="{9EB78721-CA23-BA4B-AD1B-133E50BD4294}"/>
    <hyperlink ref="A488" r:id="rId487" display="https://www.dropbox.com/sh/cx7tus4mgkt9o4n/AAAADXk5aZzqH1y750yxtSmya/251g.mid.mp3?dl=0" xr:uid="{9556827A-F12D-4C40-93A0-7FD586F2F865}"/>
    <hyperlink ref="A489" r:id="rId488" display="https://www.dropbox.com/sh/cx7tus4mgkt9o4n/AABAh3u2C8ApdUKYHgfMv32Ha/251r.mid.mp3?dl=0" xr:uid="{6DBA6498-15DA-FC45-B35F-9BA603D0B039}"/>
    <hyperlink ref="A490" r:id="rId489" display="https://www.dropbox.com/sh/cx7tus4mgkt9o4n/AADxD7Cl3xCbXd08rbZrJebPa/252g.mid.mp3?dl=0" xr:uid="{0A421381-877E-FE4F-8FC4-F3C6160BE3D0}"/>
    <hyperlink ref="A491" r:id="rId490" display="https://www.dropbox.com/sh/cx7tus4mgkt9o4n/AAC9Ky_iALk503OCdxaJJ63qa/252r.mid.mp3?dl=0" xr:uid="{1251193D-FDAD-A145-B3DB-4DA471B4E05F}"/>
    <hyperlink ref="A492" r:id="rId491" display="https://www.dropbox.com/sh/cx7tus4mgkt9o4n/AACP-TIF8FS-1jV58USWaJ1Ga/253g.mid.mp3?dl=0" xr:uid="{12CDBBEC-16E7-0E49-BF42-101CFC422044}"/>
    <hyperlink ref="A493" r:id="rId492" display="https://www.dropbox.com/sh/cx7tus4mgkt9o4n/AADwZi-ZP78DOWk5qWD0aSXFa/253r.mid.mp3?dl=0" xr:uid="{6F336E34-8893-404E-8D5E-9ED56835E6B1}"/>
    <hyperlink ref="A494" r:id="rId493" display="https://www.dropbox.com/sh/cx7tus4mgkt9o4n/AAC5jXjqupv9fbkqvbS8MCa-a/254g.mid.mp3?dl=0" xr:uid="{CA27CAAB-E64B-784A-B17A-463BCE87B2A1}"/>
    <hyperlink ref="A495" r:id="rId494" display="https://www.dropbox.com/sh/cx7tus4mgkt9o4n/AACuoGjPssigxQIbDEEnZbL_a/254r.mid.mp3?dl=0" xr:uid="{42F876AB-7EA1-6C49-9406-24E765A9FDDD}"/>
    <hyperlink ref="A496" r:id="rId495" display="https://www.dropbox.com/sh/cx7tus4mgkt9o4n/AACDEa1_mT7yJDHXotes7vqBa/255g.mid.mp3?dl=0" xr:uid="{A38A4106-FB2C-3F46-9100-14C4AACB956A}"/>
    <hyperlink ref="A497" r:id="rId496" display="https://www.dropbox.com/sh/cx7tus4mgkt9o4n/AAAuX2GqIdDqKiKCRyvzqY_3a/255r.mid.mp3?dl=0" xr:uid="{EBD1CDDE-3B8C-3F40-84E7-787A267E438D}"/>
    <hyperlink ref="A498" r:id="rId497" display="https://www.dropbox.com/sh/cx7tus4mgkt9o4n/AACcDDQpPop96QsMaQ08IGlea/256g.mid.mp3?dl=0" xr:uid="{135ECEA9-D270-E949-A535-ED532E8338E7}"/>
    <hyperlink ref="A499" r:id="rId498" display="https://www.dropbox.com/sh/cx7tus4mgkt9o4n/AACbd041BB5OU54qxtEfAeANa/256r.mid.mp3?dl=0" xr:uid="{433B2C1A-4204-1847-A6F3-99DE699E2364}"/>
    <hyperlink ref="A500" r:id="rId499" display="https://www.dropbox.com/sh/cx7tus4mgkt9o4n/AABvtR5yIH_ti7ou8D0aH24ea/257g.mid.mp3?dl=0" xr:uid="{005D415A-DE01-BD47-B7A2-139295C7B1E4}"/>
    <hyperlink ref="A501" r:id="rId500" display="https://www.dropbox.com/sh/cx7tus4mgkt9o4n/AABM-bqYRPcGuBewgnmhpXHZa/257r.mid.mp3?dl=0" xr:uid="{96E2FE09-81A4-384B-8977-A0E8BDFB5DFC}"/>
    <hyperlink ref="A502" r:id="rId501" display="https://www.dropbox.com/sh/cx7tus4mgkt9o4n/AAA5dzMZsmWh2hCKYkCSM92Ta/258g.mid.mp3?dl=0" xr:uid="{C7128DFD-BBEC-6B48-AD2F-3A4EECCF5061}"/>
    <hyperlink ref="A503" r:id="rId502" display="https://www.dropbox.com/sh/cx7tus4mgkt9o4n/AAAuyie73QdJzvxsCBOge1RGa/258r.mid.mp3?dl=0" xr:uid="{D82D3D68-5C28-2746-84BF-053C0C89094D}"/>
    <hyperlink ref="A504" r:id="rId503" display="https://www.dropbox.com/sh/cx7tus4mgkt9o4n/AAD3nD3MvAeWtKpY7lNyX9dPa/259g.mid.mp3?dl=0" xr:uid="{D613DEC4-99BE-8D49-8066-460067D89C19}"/>
    <hyperlink ref="A505" r:id="rId504" display="https://www.dropbox.com/sh/cx7tus4mgkt9o4n/AAAfzsJ4o0Q6M_qrecmcB_s7a/259r.mid.mp3?dl=0" xr:uid="{2FB04B39-88BA-0843-A326-C8DDCAA5343B}"/>
    <hyperlink ref="A506" r:id="rId505" display="https://www.dropbox.com/sh/cx7tus4mgkt9o4n/AADc0T9QgDNWOQa6Iy5xhVj0a/260g.mid.mp3?dl=0" xr:uid="{C53C462A-1B95-F740-ADD9-4B6058CBADC9}"/>
    <hyperlink ref="A507" r:id="rId506" display="https://www.dropbox.com/sh/cx7tus4mgkt9o4n/AAA9fJ2TnqRwG_J3vmHgrSbsa/260r.mid.mp3?dl=0" xr:uid="{A4457659-D12D-174D-AC84-CDB2990C3F7F}"/>
    <hyperlink ref="A508" r:id="rId507" display="https://www.dropbox.com/sh/cx7tus4mgkt9o4n/AACKQX4f8xS560XPi6E07MGKa/261g.mid.mp3?dl=0" xr:uid="{3589C0EF-1A07-0342-9A19-DB1C6658C050}"/>
    <hyperlink ref="A509" r:id="rId508" display="https://www.dropbox.com/sh/cx7tus4mgkt9o4n/AACZlGGRaC0hsEK0IbA9XQJqa/261r.mid.mp3?dl=0" xr:uid="{4DE8ED94-AD8D-9148-973B-0570BACF4ABF}"/>
    <hyperlink ref="A510" r:id="rId509" display="https://www.dropbox.com/sh/cx7tus4mgkt9o4n/AADW_Ep5Bw1KoOdci-SimxRLa/262r.mid.mp3?dl=0" xr:uid="{AFE3DFCB-3014-724C-B461-BA88C3E7B1C2}"/>
    <hyperlink ref="A511" r:id="rId510" display="https://www.dropbox.com/sh/cx7tus4mgkt9o4n/AABz9Xb0sQLq1g3xFGc4DDiUa/263g.mid.mp3?dl=0" xr:uid="{B5B1ED11-AA8B-0B4C-A6D8-22687A3EAA3B}"/>
    <hyperlink ref="A512" r:id="rId511" display="https://www.dropbox.com/sh/cx7tus4mgkt9o4n/AAB11AHbIvKxCd0AuSe17NuTa/263r.mid.mp3?dl=0" xr:uid="{0925EB0A-00D4-8A4B-847D-6160B660DD70}"/>
    <hyperlink ref="A513" r:id="rId512" display="https://www.dropbox.com/sh/cx7tus4mgkt9o4n/AAAEAw37cfkZAbDKBqWLDz8ua/264g.mid.mp3?dl=0" xr:uid="{DECA7422-39EA-9F4E-A4E8-B08D33C0C4CC}"/>
    <hyperlink ref="A514" r:id="rId513" display="https://www.dropbox.com/sh/cx7tus4mgkt9o4n/AACFIptbld1x1lykNMdvfAEga/264r.mid.mp3?dl=0" xr:uid="{48CD5850-925C-B243-AB1F-9CEF1938A8FE}"/>
    <hyperlink ref="A515" r:id="rId514" display="https://www.dropbox.com/sh/cx7tus4mgkt9o4n/AAD2GfCSQfoyq5yidkGFkp0Ia/265g.mid.mp3?dl=0" xr:uid="{8B6BEDB6-249E-0C43-B059-0CD7C8B7E717}"/>
    <hyperlink ref="A516" r:id="rId515" display="https://www.dropbox.com/sh/cx7tus4mgkt9o4n/AAAXEBjgbneXJpyc96hoQDQba/265r.mid.mp3?dl=0" xr:uid="{141509D8-CDF5-964F-9559-725E98999724}"/>
    <hyperlink ref="A517" r:id="rId516" display="https://www.dropbox.com/sh/cx7tus4mgkt9o4n/AAB7k7U2lCJz6LkYrDooKY_xa/266g.mid.mp3?dl=0" xr:uid="{585F90D7-E06C-3044-ABCC-203F70A9C55B}"/>
    <hyperlink ref="A518" r:id="rId517" display="https://www.dropbox.com/sh/cx7tus4mgkt9o4n/AADwIsf5Ub0-EIkXncqK6Yiza/266r.mid.mp3?dl=0" xr:uid="{AECB7868-3908-7E43-923A-62B4819030F3}"/>
    <hyperlink ref="A519" r:id="rId518" display="https://www.dropbox.com/sh/cx7tus4mgkt9o4n/AACDY-M6oYflQ0tQ9jrzmiOEa/267r.mid.mp3?dl=0" xr:uid="{1ED88B89-44D7-0148-9804-84C94F8FE4DA}"/>
    <hyperlink ref="A520" r:id="rId519" display="https://www.dropbox.com/sh/cx7tus4mgkt9o4n/AABFJrJed13FVxa2EGVqMPO0a/268g.mid.mp3?dl=0" xr:uid="{9FF0C784-1A34-5F46-9B36-A0459B46E917}"/>
    <hyperlink ref="A521" r:id="rId520" display="https://www.dropbox.com/sh/cx7tus4mgkt9o4n/AAAT31bXm7OypSduAaR90bi-a/268r.mid.mp3?dl=0" xr:uid="{9B081E86-961F-1044-B33E-47AE3F996830}"/>
    <hyperlink ref="A522" r:id="rId521" display="https://www.dropbox.com/sh/cx7tus4mgkt9o4n/AAAUReyvyej0B-wh6WChR5tna/269g.mid.mp3?dl=0" xr:uid="{A8CD9E55-DE00-1F45-9F52-6A04FB7AF88F}"/>
    <hyperlink ref="A523" r:id="rId522" display="https://www.dropbox.com/sh/cx7tus4mgkt9o4n/AADHwqILQBf1M4WmMuEfMWw2a/269r.mid.mp3?dl=0" xr:uid="{81FBCF48-FDE0-B44F-A10F-2D0A39786EEF}"/>
    <hyperlink ref="A524" r:id="rId523" display="https://www.dropbox.com/sh/cx7tus4mgkt9o4n/AADYHxxLvbCM8-30ZkTI9_s8a/270g.mid.mp3?dl=0" xr:uid="{A269174F-9DDE-8945-A025-B392BDF68132}"/>
    <hyperlink ref="A525" r:id="rId524" display="https://www.dropbox.com/sh/cx7tus4mgkt9o4n/AADeDFdTdvYrxwR6CUF6uGaza/270r.mid.mp3?dl=0" xr:uid="{5B5A0842-F6F1-2243-91C4-706672B3DBA1}"/>
    <hyperlink ref="A526" r:id="rId525" display="https://www.dropbox.com/sh/cx7tus4mgkt9o4n/AACV8qdqF3ecYCWVq_iQFeufa/271g.mid.mp3?dl=0" xr:uid="{AEA48567-EAFC-A24C-90FC-6BBD24DCB708}"/>
    <hyperlink ref="A527" r:id="rId526" display="https://www.dropbox.com/sh/cx7tus4mgkt9o4n/AAAid-7NAlxy8cDp4K8zsz-6a/271r.mid.mp3?dl=0" xr:uid="{5852D1C7-ABA1-924A-982C-389615DA5416}"/>
    <hyperlink ref="A528" r:id="rId527" display="https://www.dropbox.com/sh/cx7tus4mgkt9o4n/AACdk3z53fy9WDgRJxquNixRa/272g.mid.mp3?dl=0" xr:uid="{6E1CF97B-924E-3042-8CDE-D8AFA9238C6E}"/>
    <hyperlink ref="A529" r:id="rId528" display="https://www.dropbox.com/sh/cx7tus4mgkt9o4n/AAAK2QGDNbKv9frOc4Muug3Fa/272r.mid.mp3?dl=0" xr:uid="{117CDE89-B1C9-924A-AC2C-A8BE8693C10B}"/>
    <hyperlink ref="A530" r:id="rId529" display="https://www.dropbox.com/sh/cx7tus4mgkt9o4n/AADaHtFo0AMDJbpACrNndcU3a/273g.mid.mp3?dl=0" xr:uid="{D3E44CAF-9FCF-6C46-B25B-00A6964818BC}"/>
    <hyperlink ref="A531" r:id="rId530" display="https://www.dropbox.com/sh/cx7tus4mgkt9o4n/AADFDlFxMsmFjTn2QGQl2lQVa/273r.mid.mp3?dl=0" xr:uid="{22B6AD0A-9632-C440-811D-9958880DDE40}"/>
    <hyperlink ref="A532" r:id="rId531" display="https://www.dropbox.com/sh/cx7tus4mgkt9o4n/AACkimhyu7mUNzOObLZM55_aa/274r.mid.mp3?dl=0" xr:uid="{2FD6FFEC-2A88-1748-BCC0-56FD20B5EDC0}"/>
    <hyperlink ref="A533" r:id="rId532" display="https://www.dropbox.com/sh/cx7tus4mgkt9o4n/AABLKc3GN_kLzxxuUt5Wo4P-a/275g.mid.mp3?dl=0" xr:uid="{1C391674-5C87-E545-B827-24767418823E}"/>
    <hyperlink ref="A534" r:id="rId533" display="https://www.dropbox.com/sh/cx7tus4mgkt9o4n/AAB4o_xFA0rDSlL05nRRVveFa/275r.mid.mp3?dl=0" xr:uid="{CD18B501-D963-5843-BE52-2206F5C9A798}"/>
    <hyperlink ref="A535" r:id="rId534" display="https://www.dropbox.com/sh/cx7tus4mgkt9o4n/AAAsLcZUgfQgovGoigkaOVMYa/276r.mid.mp3?dl=0" xr:uid="{4E4B2750-54F3-DA44-B6CE-4A6F487F6A42}"/>
    <hyperlink ref="A536" r:id="rId535" display="https://www.dropbox.com/sh/cx7tus4mgkt9o4n/AADrA49dH2x0mWrCFem0XzeUa/277r.mid.mp3?dl=0" xr:uid="{E9A0AA35-60EC-244A-88B8-31ED832F55C2}"/>
    <hyperlink ref="A537" r:id="rId536" display="https://www.dropbox.com/sh/cx7tus4mgkt9o4n/AABmBehvYgNUlMA1boEeiTk-a/278g.mid.mp3?dl=0" xr:uid="{F74BEF93-6378-0A47-A934-3CF896E40506}"/>
    <hyperlink ref="A538" r:id="rId537" display="https://www.dropbox.com/sh/cx7tus4mgkt9o4n/AABTOzsGgJhNYXYG6iQdHEKja/278r.mid.mp3?dl=0" xr:uid="{97DCC061-689E-C54D-8D36-B5DCBC52C209}"/>
    <hyperlink ref="A539" r:id="rId538" display="https://www.dropbox.com/sh/cx7tus4mgkt9o4n/AADORHF3ensapYCXkjKevy0Ja/279r.mid.mp3?dl=0" xr:uid="{7941DE4D-316B-AF4A-842F-580F643D18BB}"/>
    <hyperlink ref="A540" r:id="rId539" display="https://www.dropbox.com/sh/cx7tus4mgkt9o4n/AACX9JHd0uOQhFdJae_JxwAsa/280g.mid.mp3?dl=0" xr:uid="{A9BBFF08-EA32-B544-A126-7B626036848D}"/>
    <hyperlink ref="A541" r:id="rId540" display="https://www.dropbox.com/sh/cx7tus4mgkt9o4n/AADuM7vnkBO6_6ZIH2wtQeWIa/280r.mid.mp3?dl=0" xr:uid="{E254BE41-F6CE-F74C-9DB9-F5E9551A5F37}"/>
    <hyperlink ref="A542" r:id="rId541" display="https://www.dropbox.com/sh/cx7tus4mgkt9o4n/AAAuHznMzc8Qr6gU7wIeBEQ8a/281g.mid.mp3?dl=0" xr:uid="{77E3DBFB-BA33-974E-9E4C-D1E69E2E803B}"/>
    <hyperlink ref="A543" r:id="rId542" display="https://www.dropbox.com/sh/cx7tus4mgkt9o4n/AADH0Ms5yzUxLFvNXIkM2PhMa/281r.mid.mp3?dl=0" xr:uid="{CCCB2001-47E4-DB44-9065-A81BAE85E5BB}"/>
    <hyperlink ref="A544" r:id="rId543" display="https://www.dropbox.com/sh/cx7tus4mgkt9o4n/AADRL30-kbWzo7RzhExdabNPa/282g.mid.mp3?dl=0" xr:uid="{92F9D58F-403A-9D4C-AB46-89F160C98C1F}"/>
    <hyperlink ref="A545" r:id="rId544" display="https://www.dropbox.com/sh/cx7tus4mgkt9o4n/AAA29rdG0WfCc0Cxb4oCqbima/282r.mid.mp3?dl=0" xr:uid="{713B5CC5-9E56-8349-98F9-C77282F06C80}"/>
    <hyperlink ref="A546" r:id="rId545" display="https://www.dropbox.com/sh/cx7tus4mgkt9o4n/AADeepMr813GvZp-stCTLyNXa/283g.mid.mp3?dl=0" xr:uid="{7B6BBC7B-50B7-3F41-8C25-472E53310047}"/>
    <hyperlink ref="A547" r:id="rId546" display="https://www.dropbox.com/sh/cx7tus4mgkt9o4n/AAA-Fw4xthoGtHR1jHNc6HNPa/283r.mid.mp3?dl=0" xr:uid="{7A78E1EE-F8CE-154B-BD79-CD87E11ABAB7}"/>
    <hyperlink ref="A548" r:id="rId547" display="https://www.dropbox.com/sh/cx7tus4mgkt9o4n/AACB6hZlh2sJ73qzjeOakN16a/284g.mid.mp3?dl=0" xr:uid="{CEA770C5-6A9E-5940-8D58-2ECD2791DE71}"/>
    <hyperlink ref="A549" r:id="rId548" display="https://www.dropbox.com/sh/cx7tus4mgkt9o4n/AADMJh9Cuch-I7axKehbpH_ea/284r.mid.mp3?dl=0" xr:uid="{7894097C-625A-E243-954A-AF4B73185493}"/>
    <hyperlink ref="A550" r:id="rId549" display="https://www.dropbox.com/sh/cx7tus4mgkt9o4n/AACnMMb0HV4Kksae49XK74Oya/285g.mid.mp3?dl=0" xr:uid="{4D97EAFD-5678-4C4C-930E-78325C0B5F2A}"/>
    <hyperlink ref="A551" r:id="rId550" display="https://www.dropbox.com/sh/cx7tus4mgkt9o4n/AABolRPVMDVQZHYy1dIaz0Jqa/285r.mid.mp3?dl=0" xr:uid="{10BBA131-CAB2-CB4C-9071-7C44A74EB2CF}"/>
    <hyperlink ref="A552" r:id="rId551" display="https://www.dropbox.com/sh/cx7tus4mgkt9o4n/AABvR43C8wP4Az90m0zZ-XDja/286g.mid.mp3?dl=0" xr:uid="{D11B8ACB-211A-F248-B565-D3125FF87664}"/>
    <hyperlink ref="A553" r:id="rId552" display="https://www.dropbox.com/sh/cx7tus4mgkt9o4n/AADzPQf1n4ejPk1UvEb7BkrGa/286r.mid.mp3?dl=0" xr:uid="{920F2178-D841-CE42-8A4A-ABB41A33DCA7}"/>
    <hyperlink ref="A554" r:id="rId553" display="https://www.dropbox.com/sh/cx7tus4mgkt9o4n/AAAKnOKn1CWmlgnuDtUThs5Da/287g.mid.mp3?dl=0" xr:uid="{E2A1B84B-DECD-CD4F-8424-675BC29AA2A3}"/>
    <hyperlink ref="A555" r:id="rId554" display="https://www.dropbox.com/sh/cx7tus4mgkt9o4n/AAAh1_Ix3UWrlBavVqmdq8n_a/287r.mid.mp3?dl=0" xr:uid="{56E02574-6337-A44F-983B-7E845E2C024E}"/>
    <hyperlink ref="A556" r:id="rId555" display="https://www.dropbox.com/sh/cx7tus4mgkt9o4n/AACi82pEXt8OjS17vuhXKQvsa/288g.mid.mp3?dl=0" xr:uid="{AC45EAF3-8A43-BD4A-B77F-234DC4A3A6AB}"/>
    <hyperlink ref="A557" r:id="rId556" display="https://www.dropbox.com/sh/cx7tus4mgkt9o4n/AAAHr4LrI-QPVq883IC_SBLja/288r.mid.mp3?dl=0" xr:uid="{A9A5C5F0-9074-3444-B7FC-0425C1DE254C}"/>
    <hyperlink ref="A558" r:id="rId557" display="https://www.dropbox.com/sh/cx7tus4mgkt9o4n/AACOtLHMJ4nbpfwV4sMgW9WPa/289g.mid.mp3?dl=0" xr:uid="{86431E67-09B4-114A-A95E-A35D09AFA14D}"/>
    <hyperlink ref="A559" r:id="rId558" display="https://www.dropbox.com/sh/cx7tus4mgkt9o4n/AABOsLgrMBefSzh8WfL4ffyBa/289r.mid.mp3?dl=0" xr:uid="{6D83C0A3-4765-5243-97F6-19DCA753E3F4}"/>
    <hyperlink ref="A560" r:id="rId559" display="https://www.dropbox.com/sh/cx7tus4mgkt9o4n/AAD5TttXhoVUcAUeaP2S_8Jwa/290g.mid.mp3?dl=0" xr:uid="{1CBBEFAD-DD0A-3540-A129-583100CA6C63}"/>
    <hyperlink ref="A561" r:id="rId560" display="https://www.dropbox.com/sh/cx7tus4mgkt9o4n/AABY6wuXyN29VX3zasFSN3rNa/290r.mid.mp3?dl=0" xr:uid="{6CA5E254-5E5E-FF49-874A-6CDB8A4A6D28}"/>
    <hyperlink ref="A562" r:id="rId561" display="https://www.dropbox.com/sh/cx7tus4mgkt9o4n/AADiZ1dGsHXh3YSrgFnhfVJSa/291g.mid.mp3?dl=0" xr:uid="{8DE81E03-07CB-394B-8283-232070F211B9}"/>
    <hyperlink ref="A563" r:id="rId562" display="https://www.dropbox.com/sh/cx7tus4mgkt9o4n/AACODSSciFJVYmFdvPw0S0KIa/291r.mid.mp3?dl=0" xr:uid="{A595339A-9522-2446-AB46-CE035CA1AEDB}"/>
    <hyperlink ref="A564" r:id="rId563" display="https://www.dropbox.com/sh/cx7tus4mgkt9o4n/AACwEsLBJg6BZ7ZV4hM044Wpa/292g.mid.mp3?dl=0" xr:uid="{3A696D01-8DE8-324F-A390-52B19573A382}"/>
    <hyperlink ref="A565" r:id="rId564" display="https://www.dropbox.com/sh/cx7tus4mgkt9o4n/AAC_LZgsQh_bvAsoCNXzxnaRa/292r.mid.mp3?dl=0" xr:uid="{763F971D-8395-B54F-88E9-88DCC63445B5}"/>
    <hyperlink ref="A566" r:id="rId565" display="https://www.dropbox.com/sh/cx7tus4mgkt9o4n/AAAik1xHZiy-rMWogPRlAIyna/293g.mid.mp3?dl=0" xr:uid="{8167AD82-6483-4848-B525-F4DA85306C63}"/>
    <hyperlink ref="A567" r:id="rId566" display="https://www.dropbox.com/sh/cx7tus4mgkt9o4n/AACa7mNJuO0LgNNMgMdapa7Ta/293r.mid.mp3?dl=0" xr:uid="{B3F27A52-803B-144D-9F58-5A9391E2A79B}"/>
    <hyperlink ref="A568" r:id="rId567" display="https://www.dropbox.com/sh/cx7tus4mgkt9o4n/AADo3OS1-GFhDP-ayUm_nfUYa/294g.mid.mp3?dl=0" xr:uid="{175942D9-2E25-E540-A14A-F590B1B1B844}"/>
    <hyperlink ref="A569" r:id="rId568" display="https://www.dropbox.com/sh/cx7tus4mgkt9o4n/AAABrnLW2Cfuki05lIc5hdkca/294r.mid.mp3?dl=0" xr:uid="{4BD90ECD-E714-0643-AD55-4C03B173687E}"/>
    <hyperlink ref="A570" r:id="rId569" display="https://www.dropbox.com/sh/cx7tus4mgkt9o4n/AAAunzwODrwFm5xU2PGG4iERa/295g.mid.mp3?dl=0" xr:uid="{57A6B7E6-02F8-2447-9619-851F91066BC3}"/>
    <hyperlink ref="A571" r:id="rId570" display="https://www.dropbox.com/sh/cx7tus4mgkt9o4n/AAAt5CtwtYDqTypg5ER1_ItSa/295r.mid.mp3?dl=0" xr:uid="{DCF2FC8C-7F46-2649-9D1E-4697DD79B6E1}"/>
    <hyperlink ref="A572" r:id="rId571" display="https://www.dropbox.com/sh/cx7tus4mgkt9o4n/AADpEM6ZORUJcrMmZ_71-cAta/296g.mid.mp3?dl=0" xr:uid="{A68B1B4E-C34A-7E42-AAD3-C30E1B9AC60E}"/>
    <hyperlink ref="A573" r:id="rId572" display="https://www.dropbox.com/sh/cx7tus4mgkt9o4n/AACLqiqhjeo7va20gc5xRWBNa/296r.mid.mp3?dl=0" xr:uid="{FFA6779E-04A4-DE4F-A2A8-67A09678AB28}"/>
    <hyperlink ref="A574" r:id="rId573" display="https://www.dropbox.com/sh/cx7tus4mgkt9o4n/AADwim3r9lHBgCFkkBq2sQCwa/297g.mid.mp3?dl=0" xr:uid="{F6136579-4FD1-9947-B862-45AB1213E45E}"/>
    <hyperlink ref="A575" r:id="rId574" display="https://www.dropbox.com/sh/cx7tus4mgkt9o4n/AACgbLjOwagcIJRKacOk38XBa/297r.mid.mp3?dl=0" xr:uid="{6CFE6D30-154F-3845-8746-351315F31909}"/>
    <hyperlink ref="A576" r:id="rId575" display="https://www.dropbox.com/sh/cx7tus4mgkt9o4n/AAAhiGWTBGxXjV8dg32PaPyha/298g.mid.mp3?dl=0" xr:uid="{F310F78D-3212-E64F-83B2-BFCBE188D42A}"/>
    <hyperlink ref="A577" r:id="rId576" display="https://www.dropbox.com/sh/cx7tus4mgkt9o4n/AABexvOdMw6WZM9lqAmQPOHva/299g.mid.mp3?dl=0" xr:uid="{B876896E-FB05-EB4B-8B31-DBD6188BBB5E}"/>
    <hyperlink ref="A578" r:id="rId577" display="https://www.dropbox.com/sh/cx7tus4mgkt9o4n/AAD_7P6BBxmeD45Zp_M2S83Ba/300g.mid.mp3?dl=0" xr:uid="{992A8778-44A1-584D-BF8F-C40A67586F67}"/>
    <hyperlink ref="A579" r:id="rId578" display="https://www.dropbox.com/sh/cx7tus4mgkt9o4n/AAC_rGuKklxomtF4GFyPHj6va/301g.mid.mp3?dl=0" xr:uid="{1D2CA4F2-0C69-1346-8A76-F682B94EB316}"/>
    <hyperlink ref="A580" r:id="rId579" display="https://www.dropbox.com/sh/cx7tus4mgkt9o4n/AADEbCPn2r738o2Fynt-5LN3a/302g.mid.mp3?dl=0" xr:uid="{8E373D4C-8312-304B-AF9C-CDB8E0CB8893}"/>
    <hyperlink ref="A581" r:id="rId580" display="https://www.dropbox.com/sh/cx7tus4mgkt9o4n/AAD1eISfV_02yq8rufeWpytMa/303g.mid.mp3?dl=0" xr:uid="{2A2EE9FE-D5D1-ED43-BE18-7C47133FE3A7}"/>
    <hyperlink ref="A582" r:id="rId581" display="https://www.dropbox.com/sh/cx7tus4mgkt9o4n/AABwTUGVsTKdQXh0kiJi8fDUa/305g.mid.mp3?dl=0" xr:uid="{0BDAE6BB-7392-0C4D-AFDF-C0115FD93166}"/>
    <hyperlink ref="A583" r:id="rId582" display="https://www.dropbox.com/sh/cx7tus4mgkt9o4n/AACGt4NCZbVyZ8rLaNiAIu9ja/307g.mid.mp3?dl=0" xr:uid="{5EE40481-FB3C-9748-B998-FD23C4D2377C}"/>
    <hyperlink ref="A584" r:id="rId583" display="https://www.dropbox.com/sh/cx7tus4mgkt9o4n/AADIn_27YSlBhBa6QquiIKSga/308g.mid.mp3?dl=0" xr:uid="{D21D87D9-72DF-2D42-B330-7D4670325809}"/>
    <hyperlink ref="A585" r:id="rId584" display="https://www.dropbox.com/sh/cx7tus4mgkt9o4n/AABZX5HLNQLwAlBYhakh_Zz2a/310g.mid.mp3?dl=0" xr:uid="{D920DA0B-A2BE-2646-BFF7-17FE157851FC}"/>
    <hyperlink ref="A586" r:id="rId585" display="https://www.dropbox.com/sh/cx7tus4mgkt9o4n/AAAiCLJYYGoAqwBwmuPbGn9Ca/311g.mid.mp3?dl=0" xr:uid="{FF35C737-C7F5-2648-BF90-C6E897956B86}"/>
    <hyperlink ref="A587" r:id="rId586" display="https://www.dropbox.com/sh/cx7tus4mgkt9o4n/AAC5sjLADWfFN06z_4FAzOrba/313g.mid.mp3?dl=0" xr:uid="{BEC90B45-60DD-DA40-8120-0ACC4FB91000}"/>
    <hyperlink ref="A588" r:id="rId587" display="https://www.dropbox.com/sh/cx7tus4mgkt9o4n/AABs24F69HzQEWoZHk3Imhjoa/314g.mid.mp3?dl=0" xr:uid="{D633C3F1-02D0-C24B-911C-3BF1B86FF8B4}"/>
    <hyperlink ref="A589" r:id="rId588" display="https://www.dropbox.com/sh/cx7tus4mgkt9o4n/AADZuZMHD7k0c25jlq-QlcsSa/316g.mid.mp3?dl=0" xr:uid="{0CC05157-0A65-BD4F-8E8C-FFD02F737071}"/>
    <hyperlink ref="A590" r:id="rId589" display="https://www.dropbox.com/sh/cx7tus4mgkt9o4n/AAB6gnY0ixFmUww-hECRcCeIa/317g.mid.mp3?dl=0" xr:uid="{14F0733A-615E-0F4F-A636-D85214644AF6}"/>
    <hyperlink ref="A591" r:id="rId590" display="https://www.dropbox.com/sh/cx7tus4mgkt9o4n/AAAZneEuToZ9Ahm2IXRG7DjCa/318g.mid.mp3?dl=0" xr:uid="{4DDFD49F-B9A3-7D41-831C-4C1BD329DB9F}"/>
    <hyperlink ref="A592" r:id="rId591" display="https://www.dropbox.com/sh/cx7tus4mgkt9o4n/AABXAlqrplzMB6sYGxuETyuVa/319g.mid.mp3?dl=0" xr:uid="{B6F7E4D2-06FC-194E-B6C9-D1C9F8F5855E}"/>
    <hyperlink ref="A593" r:id="rId592" display="https://www.dropbox.com/sh/cx7tus4mgkt9o4n/AADKs9GOK3kZWjhXWy5KoREMa/320g.mid.mp3?dl=0" xr:uid="{2EEBCFB1-86CD-CF42-9E96-DD69B130609E}"/>
    <hyperlink ref="A594" r:id="rId593" display="https://www.dropbox.com/sh/cx7tus4mgkt9o4n/AABjzIp90ni3yueXRGrcIhTwa/321g.mid.mp3?dl=0" xr:uid="{2B2E4697-5225-2D4D-95FB-9B9695D864A6}"/>
    <hyperlink ref="A595" r:id="rId594" display="https://www.dropbox.com/sh/cx7tus4mgkt9o4n/AAB1MvB2d7dyyWCQMlHQ1rO_a/322g.mid.mp3?dl=0" xr:uid="{C85AEF95-4AE2-7440-883F-6E2BC3EF86D7}"/>
    <hyperlink ref="A596" r:id="rId595" display="https://www.dropbox.com/sh/cx7tus4mgkt9o4n/AADOuqXq0Uwy0xoTiBGDe0waa/323g.mid.mp3?dl=0" xr:uid="{251A6913-AC7A-8443-9F9E-76C6A1C9A501}"/>
    <hyperlink ref="A597" r:id="rId596" display="https://www.dropbox.com/sh/cx7tus4mgkt9o4n/AADm7cqNEKX4W1GqRHRovOMLa/324g.mid.mp3?dl=0" xr:uid="{8CA357FA-75F0-774A-B92A-5BFB6FE4B583}"/>
    <hyperlink ref="A598" r:id="rId597" display="https://www.dropbox.com/sh/cx7tus4mgkt9o4n/AAAFxkR28dh0QzJObwmEYE80a/325g.mid.mp3?dl=0" xr:uid="{528FC762-B552-7049-ADB4-DADBA748A9D3}"/>
    <hyperlink ref="A599" r:id="rId598" display="https://www.dropbox.com/sh/cx7tus4mgkt9o4n/AACsMk_QMC53fZbAvRx3uKdXa/326g.mid.mp3?dl=0" xr:uid="{545C1856-6BE2-C84A-9151-ADCA329551D5}"/>
    <hyperlink ref="A600" r:id="rId599" display="https://www.dropbox.com/sh/cx7tus4mgkt9o4n/AAA_pHhEUK23-zPqPYif4Mg0a/327g.mid.mp3?dl=0" xr:uid="{91BB1F33-0438-F149-8B86-09DA330D4530}"/>
    <hyperlink ref="A601" r:id="rId600" display="https://www.dropbox.com/sh/cx7tus4mgkt9o4n/AAD9BTS-NUdYVM2SbAkIhUkwa/328g.mid.mp3?dl=0" xr:uid="{1912E91C-772A-F246-AED6-96095ABCBCA4}"/>
    <hyperlink ref="A602" r:id="rId601" display="https://www.dropbox.com/sh/cx7tus4mgkt9o4n/AAD9dF6SvvhCRVoPuvAZ2Jgpa/329g.mid.mp3?dl=0" xr:uid="{F0A1041C-6142-104E-A800-A1F503CF412D}"/>
    <hyperlink ref="A603" r:id="rId602" display="https://www.dropbox.com/sh/cx7tus4mgkt9o4n/AAD-mz5RJeP5C2h_hlytM1yba/330g.mid.mp3?dl=0" xr:uid="{C3DBDC78-ABEB-F14E-BA3F-18D333B5C8A0}"/>
    <hyperlink ref="A604" r:id="rId603" display="https://www.dropbox.com/sh/cx7tus4mgkt9o4n/AAASK3VK2WgCdTpr5oJJ5_Nza/331g.mid.mp3?dl=0" xr:uid="{F24934D1-6AE0-754A-8029-C445102F0DAA}"/>
    <hyperlink ref="A605" r:id="rId604" display="https://www.dropbox.com/sh/cx7tus4mgkt9o4n/AABY5TOe5p6zwZQN6vdubcMAa/333g.mid.mp3?dl=0" xr:uid="{58BFDFC9-6925-BF4C-93EE-470B43AD8B78}"/>
    <hyperlink ref="A606" r:id="rId605" display="https://www.dropbox.com/sh/cx7tus4mgkt9o4n/AAB35lk-2Nyy7pM9azjjsX0Ia/334g.mid.mp3?dl=0" xr:uid="{CB753940-5DF5-2043-9C80-3F3DC735DCE3}"/>
    <hyperlink ref="A607" r:id="rId606" display="https://www.dropbox.com/sh/cx7tus4mgkt9o4n/AAA_In1UHzCL3jqaZsprGRiKa/336g.mid.mp3?dl=0" xr:uid="{6F594EB2-E729-CB43-B67A-EF423BAFCC60}"/>
    <hyperlink ref="A608" r:id="rId607" display="https://www.dropbox.com/sh/cx7tus4mgkt9o4n/AABnMtBF-mBmy3ZfhSVx0iYta/341g.mid.mp3?dl=0" xr:uid="{0A1D25D1-AC1E-294D-AD35-7F6288420AAC}"/>
    <hyperlink ref="A609" r:id="rId608" display="https://www.dropbox.com/sh/cx7tus4mgkt9o4n/AABDpW3j8Oty4uGWbgeTKNxRa/342g.mid.mp3?dl=0" xr:uid="{33156D54-B40A-A74A-AA88-0C6EE24B9E00}"/>
    <hyperlink ref="A610" r:id="rId609" display="https://www.dropbox.com/sh/cx7tus4mgkt9o4n/AADf__yGwC8GxnsYvPXnyNd6a/343g.mid.mp3?dl=0" xr:uid="{778491C2-E6B8-C046-B5D2-2107F1BE962E}"/>
    <hyperlink ref="A611" r:id="rId610" display="https://www.dropbox.com/sh/cx7tus4mgkt9o4n/AADA2mMoUe4lGEmziAPjHOKUa/344g.mid.mp3?dl=0" xr:uid="{B00131BA-7B9B-7244-998E-2F91D08C1B35}"/>
    <hyperlink ref="A612" r:id="rId611" display="https://www.dropbox.com/sh/cx7tus4mgkt9o4n/AADtzCGO231BQmp9T4Rtnb7Ia/345g.mid.mp3?dl=0" xr:uid="{05873D85-8427-5E4F-81C3-0C8681DFAC17}"/>
    <hyperlink ref="A613" r:id="rId612" display="https://www.dropbox.com/sh/cx7tus4mgkt9o4n/AAACOBmByxh6HjqIk6bOEvqTa/346g.mid.mp3?dl=0" xr:uid="{6913C7E8-D997-2042-881D-A9AFB495E715}"/>
    <hyperlink ref="A614" r:id="rId613" display="https://www.dropbox.com/sh/cx7tus4mgkt9o4n/AADeJnXKCYi6oZ_nlaaO6qT0a/347g.mid.mp3?dl=0" xr:uid="{B58642D5-138E-0C4E-9D2F-A42EB4B758F7}"/>
    <hyperlink ref="A615" r:id="rId614" display="https://www.dropbox.com/sh/cx7tus4mgkt9o4n/AACPKQUlrs1lp84jgZp0LFnma/349g.mid.mp3?dl=0" xr:uid="{B8F22B8B-C07C-104D-9A95-98C616D5525B}"/>
    <hyperlink ref="A616" r:id="rId615" display="https://www.dropbox.com/sh/cx7tus4mgkt9o4n/AACm7mOksn4CjDavFj1-Vp9ea/350g.mid.mp3?dl=0" xr:uid="{C97CDD36-7EA4-1046-B1FD-2C5DF9CCB00E}"/>
    <hyperlink ref="A617" r:id="rId616" display="https://www.dropbox.com/sh/cx7tus4mgkt9o4n/AACU5v_9Bvt_1cPCdkMS38tra/351g.mid.mp3?dl=0" xr:uid="{ED79EAC2-3D3B-474E-97E5-466168B9D10F}"/>
    <hyperlink ref="A618" r:id="rId617" display="https://www.dropbox.com/sh/cx7tus4mgkt9o4n/AADGXf9NlplVPLpO5XT07Oxja/353g.mid.mp3?dl=0" xr:uid="{82669D9B-88A1-D144-9203-7BA211DA90BD}"/>
    <hyperlink ref="A619" r:id="rId618" display="https://www.dropbox.com/sh/cx7tus4mgkt9o4n/AABERMx8ZCwWgdsivZrMwiEia/354g.mid.mp3?dl=0" xr:uid="{648E3F74-D965-DD43-A7EC-809C6CB03CC7}"/>
    <hyperlink ref="A620" r:id="rId619" display="https://www.dropbox.com/sh/cx7tus4mgkt9o4n/AADHqGzCOVCzjuivVUwCUzMaa/355g.mid.mp3?dl=0" xr:uid="{C42ECFD7-7122-BF4D-ADDF-6B9011F765F1}"/>
    <hyperlink ref="A621" r:id="rId620" display="https://www.dropbox.com/sh/cx7tus4mgkt9o4n/AADFjRfi3OnOiGu35JQ9uToRa/356.mid.mp3?dl=0" xr:uid="{8503A02F-7850-0643-938F-41B0FC7D3FA5}"/>
    <hyperlink ref="A622" r:id="rId621" display="https://www.dropbox.com/sh/cx7tus4mgkt9o4n/AAD0PKK0HpAo3RTS0WCRL0Bia/357g.mid.mp3?dl=0" xr:uid="{B99B2273-3AB9-7247-B414-F86307910664}"/>
    <hyperlink ref="A623" r:id="rId622" display="https://www.dropbox.com/sh/cx7tus4mgkt9o4n/AAAalTBCvS16zQaT2T2nOjZea/358g.mid.mp3?dl=0" xr:uid="{B2F022C0-6959-5740-A298-D0CD5A34A15D}"/>
    <hyperlink ref="A624" r:id="rId623" display="https://www.dropbox.com/sh/cx7tus4mgkt9o4n/AAAQlWUlnKQvtupyNuE3wmLya/360g.mid.mp3?dl=0" xr:uid="{3CE01E2D-661E-764E-A3A9-1E716EF81F29}"/>
    <hyperlink ref="A625" r:id="rId624" display="https://www.dropbox.com/sh/cx7tus4mgkt9o4n/AABBeQdLCn6rIxKwzscS9ORta/361g.mid.mp3?dl=0" xr:uid="{16625F86-D663-B94A-B32E-CD27C2AD58C9}"/>
    <hyperlink ref="A626" r:id="rId625" display="https://www.dropbox.com/sh/cx7tus4mgkt9o4n/AADal_9qBxXhq66TMgQLitB-a/362g.mid.mp3?dl=0" xr:uid="{622E94A0-880F-2B48-82B6-54CF25F28BDB}"/>
    <hyperlink ref="A627" r:id="rId626" display="https://www.dropbox.com/sh/cx7tus4mgkt9o4n/AABuTQc-sRXBvxii3gpyxYvna/363g.mid.mp3?dl=0" xr:uid="{B8318715-D7DC-1544-9F3D-7C8EC772CCFA}"/>
    <hyperlink ref="A628" r:id="rId627" display="https://www.dropbox.com/sh/cx7tus4mgkt9o4n/AADU72xiepBL_yEqDnW5_wIpa/364g.mid.mp3?dl=0" xr:uid="{CF01E951-15F6-CC4D-9181-936992205C09}"/>
    <hyperlink ref="A629" r:id="rId628" display="https://www.dropbox.com/sh/cx7tus4mgkt9o4n/AACaSrCXeodiaflLOKt4TtrAa/365g.mid.mp3?dl=0" xr:uid="{C7D96331-664D-D64D-A24E-A017E8B221E4}"/>
    <hyperlink ref="A630" r:id="rId629" display="https://www.dropbox.com/sh/cx7tus4mgkt9o4n/AADDwi0bV8cj5VjuZ_hBXdfQa/366g.mid.mp3?dl=0" xr:uid="{FD5E3471-871C-F24C-B44A-521000F16627}"/>
    <hyperlink ref="A631" r:id="rId630" display="https://www.dropbox.com/sh/cx7tus4mgkt9o4n/AAAMaDk6nkVTeYbzO8uvfD74a/367g.mid.mp3?dl=0" xr:uid="{6EA7CF8E-454A-C64D-B410-5F2ABBB66761}"/>
    <hyperlink ref="A632" r:id="rId631" display="https://www.dropbox.com/sh/cx7tus4mgkt9o4n/AAC9Gvng9mtcdIuW1-Z49McOa/368g.mid.mp3?dl=0" xr:uid="{51695CC8-F121-BF40-9AF8-309311F607D4}"/>
    <hyperlink ref="A633" r:id="rId632" display="https://www.dropbox.com/sh/cx7tus4mgkt9o4n/AAAOgB3zWwV4paHMcigQDUPWa/369g.mid.mp3?dl=0" xr:uid="{46BF0FC8-2034-8641-8432-1C2782703F9B}"/>
    <hyperlink ref="A634" r:id="rId633" display="https://www.dropbox.com/sh/cx7tus4mgkt9o4n/AABPWoffjy2mknVU5iHwhczwa/370g.mid.mp3?dl=0" xr:uid="{604D531C-8036-3C4C-8AD4-1A4B81DE1BBB}"/>
    <hyperlink ref="A635" r:id="rId634" display="https://www.dropbox.com/sh/cx7tus4mgkt9o4n/AADKZSCRTlApGj3edcPSJ1Pba/371g.mid.mp3?dl=0" xr:uid="{D6739849-86E4-954F-B685-CB493F4E044C}"/>
    <hyperlink ref="A636" r:id="rId635" display="https://www.dropbox.com/sh/cx7tus4mgkt9o4n/AABLNlsN8aRDlar15S7uTF34a/372g.mid.mp3?dl=0" xr:uid="{7D7544BF-0058-CC46-958D-3EABA3F209A3}"/>
    <hyperlink ref="A637" r:id="rId636" display="https://www.dropbox.com/sh/cx7tus4mgkt9o4n/AAAXIy3mQ_GvCHqT5S_gz3xLa/373g.mid.mp3?dl=0" xr:uid="{0EDFC7FC-E771-C847-9CC2-417587EF149C}"/>
    <hyperlink ref="A638" r:id="rId637" display="https://www.dropbox.com/sh/cx7tus4mgkt9o4n/AAAaiAw4nJw2usldsh3akriba/374g.mid.mp3?dl=0" xr:uid="{0099D947-5284-D445-8212-A5622ABFBF32}"/>
    <hyperlink ref="A639" r:id="rId638" display="https://www.dropbox.com/sh/cx7tus4mgkt9o4n/AAAAmMQz5lMjQqRjyYwxy_gxa/375g.mid.mp3?dl=0" xr:uid="{CDD9A08E-98F7-F849-AF20-AF529AB96535}"/>
    <hyperlink ref="A640" r:id="rId639" display="https://www.dropbox.com/sh/cx7tus4mgkt9o4n/AAAHGB2zXipIvds_FfdekTuga/376g.mid.mp3?dl=0" xr:uid="{63C55C1B-DE3D-0141-A0A7-E7059910E81A}"/>
    <hyperlink ref="A641" r:id="rId640" display="https://www.dropbox.com/sh/cx7tus4mgkt9o4n/AACTEEzVwqjJo6EVxVmXNpxma/377g.mid.mp3?dl=0" xr:uid="{0151A150-AF73-864B-89ED-E34FC7F6B7CA}"/>
    <hyperlink ref="A642" r:id="rId641" display="https://www.dropbox.com/sh/cx7tus4mgkt9o4n/AADJAQ3lW_R_tRIY4bxHxnloa/378g.mid.mp3?dl=0" xr:uid="{6D6C96C1-0066-7941-B2DF-1701AFFEBFFC}"/>
    <hyperlink ref="A643" r:id="rId642" display="https://www.dropbox.com/sh/cx7tus4mgkt9o4n/AAC3eky5hjJQFZsDFdyv4kaIa/379g.mid.mp3?dl=0" xr:uid="{6B413779-D5E9-9B49-894B-BB3DB342C3AC}"/>
    <hyperlink ref="A644" r:id="rId643" display="https://www.dropbox.com/sh/cx7tus4mgkt9o4n/AABdaJEIsjHK_c_66PeLSydya/381g.mid.mp3?dl=0" xr:uid="{271CEAA4-2D22-4641-89C0-AF03AA4C2027}"/>
    <hyperlink ref="A645" r:id="rId644" display="https://www.dropbox.com/sh/cx7tus4mgkt9o4n/AADbqhrX9b7i9O8GGyZWTKsua/382g.mid.mp3?dl=0" xr:uid="{0996F302-35A4-CB45-8346-FF302D0DDEC5}"/>
    <hyperlink ref="A646" r:id="rId645" display="https://www.dropbox.com/sh/cx7tus4mgkt9o4n/AADeQpMp7rAuQ2l4SB9rz4d7a/383g.mid.mp3?dl=0" xr:uid="{D7C0551B-0A79-E54D-9C66-D92D2223F873}"/>
    <hyperlink ref="A647" r:id="rId646" display="https://www.dropbox.com/sh/cx7tus4mgkt9o4n/AABYV3wJ3-fcd8S_qG2teLmKa/384g.mid.mp3?dl=0" xr:uid="{071416AB-C053-604E-943F-E1CCF45EDCB4}"/>
    <hyperlink ref="A648" r:id="rId647" display="https://www.dropbox.com/sh/cx7tus4mgkt9o4n/AADD-xtMlQ0bkCteRQfUP6JZa/385g.mid.mp3?dl=0" xr:uid="{0D812CBC-0753-DF48-A56F-C12582B4E438}"/>
    <hyperlink ref="A649" r:id="rId648" display="https://www.dropbox.com/sh/cx7tus4mgkt9o4n/AAA5BP6L0FkQCyiLunKgVPS8a/387g.mid.mp3?dl=0" xr:uid="{FB1AB0AF-791E-CF41-B9A2-519E8937850C}"/>
    <hyperlink ref="A650" r:id="rId649" display="https://www.dropbox.com/sh/cx7tus4mgkt9o4n/AAB5_TsORzwvWtnClsDzjf99a/388g.mid.mp3?dl=0" xr:uid="{834D9EE8-CEE5-0847-A490-1B121B299709}"/>
    <hyperlink ref="A651" r:id="rId650" display="https://www.dropbox.com/sh/cx7tus4mgkt9o4n/AABGRvt-D17qW685sM6GeIPea/389g.mid.mp3?dl=0" xr:uid="{B844B4CB-9A3E-B64A-8629-8B72A7367FED}"/>
    <hyperlink ref="A652" r:id="rId651" display="https://www.dropbox.com/sh/cx7tus4mgkt9o4n/AABYJXMDZxwWQ7l745JQDvQca/390g.mid.mp3?dl=0" xr:uid="{B6231629-1F3B-B54D-8C4F-DAAE5C737A83}"/>
    <hyperlink ref="A653" r:id="rId652" display="https://www.dropbox.com/sh/cx7tus4mgkt9o4n/AADOklsvhdR9XMs1SfLr09CIa/393g.mid.mp3?dl=0" xr:uid="{042894F9-69E6-374D-85D6-08D9DA44675F}"/>
    <hyperlink ref="A654" r:id="rId653" display="https://www.dropbox.com/sh/cx7tus4mgkt9o4n/AABDEJIhaJatflBcB0zcpQt9a/395g.mid.mp3?dl=0" xr:uid="{870CFCB1-94E3-CE48-AF9D-07DAD4A9A436}"/>
    <hyperlink ref="A655" r:id="rId654" display="https://www.dropbox.com/sh/cx7tus4mgkt9o4n/AAA8anK1suT8Y5vHnjWsstXda/396g.mid.mp3?dl=0" xr:uid="{415737FA-5D65-814C-9BD8-A181E9E9F9FB}"/>
    <hyperlink ref="A656" r:id="rId655" display="https://www.dropbox.com/sh/cx7tus4mgkt9o4n/AABhFuSk5bzWWmDVz_yV2ltPa/398g.mid.mp3?dl=0" xr:uid="{E620D4C8-B4D2-224D-A8B9-A57F2DCEB47C}"/>
    <hyperlink ref="A657" r:id="rId656" display="https://www.dropbox.com/sh/cx7tus4mgkt9o4n/AADq-f5lfw00qIhe4UEEKAbta/399g.mid.mp3?dl=0" xr:uid="{6650C087-D437-8F41-8A84-5AE39C230920}"/>
    <hyperlink ref="A658" r:id="rId657" display="https://www.dropbox.com/sh/cx7tus4mgkt9o4n/AAA6JcdXmVU393StGT-oRlSFa/400g.mid.mp3?dl=0" xr:uid="{2F1BB818-DE77-0046-8844-50DFB8654650}"/>
    <hyperlink ref="A659" r:id="rId658" display="https://www.dropbox.com/sh/cx7tus4mgkt9o4n/AADNwZJVnz3Dnm1qiRyOQI8Ya/401g.mid.mp3?dl=0" xr:uid="{33E2A671-84C3-B349-83EF-C1C062FC4BFA}"/>
    <hyperlink ref="A660" r:id="rId659" display="https://www.dropbox.com/sh/cx7tus4mgkt9o4n/AACCr5A3y8tQqee0WedK33Bqa/403g.mid.mp3?dl=0" xr:uid="{198E422F-B224-7048-A5B5-128C973C1017}"/>
    <hyperlink ref="A661" r:id="rId660" display="https://www.dropbox.com/sh/cx7tus4mgkt9o4n/AAAB7uWjRLQfdPD_chinW8YFa/404g.mid.mp3?dl=0" xr:uid="{58235146-CF7F-7E45-A1C0-040152E3F7CB}"/>
    <hyperlink ref="A662" r:id="rId661" display="https://www.dropbox.com/sh/cx7tus4mgkt9o4n/AACci9fqInu7hCCsEOxfWt88a/405g.mid.mp3?dl=0" xr:uid="{076AB872-D7D7-6A43-8426-EDF965304BB2}"/>
    <hyperlink ref="A663" r:id="rId662" display="https://www.dropbox.com/sh/cx7tus4mgkt9o4n/AABx2inrkyZK8SCwzCw9U--Qa/406g.mid.mp3?dl=0" xr:uid="{8D46636F-3D4C-5247-8ED8-E352CA10126F}"/>
    <hyperlink ref="A664" r:id="rId663" display="https://www.dropbox.com/sh/cx7tus4mgkt9o4n/AABMaAyfMe1NJ0YFi43b-fkfa/407g.mid.mp3?dl=0" xr:uid="{5CDBC493-C9E8-7044-8D09-ECBE681D93FF}"/>
    <hyperlink ref="A665" r:id="rId664" display="https://www.dropbox.com/sh/cx7tus4mgkt9o4n/AABkZkFvhFLGFXw9OjaGsQHQa/408g.mid.mp3?dl=0" xr:uid="{421519EB-FC68-7245-AE77-A83BACCAF957}"/>
    <hyperlink ref="A666" r:id="rId665" display="https://www.dropbox.com/sh/cx7tus4mgkt9o4n/AACEGAHAObJhxQ6y6uHnNPVza/410g.mid.mp3?dl=0" xr:uid="{7BE07D74-6C12-6E42-A58E-804B505B3FE0}"/>
    <hyperlink ref="A667" r:id="rId666" display="https://www.dropbox.com/sh/cx7tus4mgkt9o4n/AABLj24NW3JUhuuhZyO3cpEwa/411g.mid.mp3?dl=0" xr:uid="{15BF3C48-3010-0746-BA07-CF3252BA0BB4}"/>
    <hyperlink ref="A668" r:id="rId667" display="https://www.dropbox.com/sh/cx7tus4mgkt9o4n/AADiQhHNkzSOFy3bApueBxVaa/412g.mid.mp3?dl=0" xr:uid="{7139FB54-7F0A-A24E-8718-A53A317DAC71}"/>
    <hyperlink ref="A669" r:id="rId668" display="https://www.dropbox.com/sh/cx7tus4mgkt9o4n/AAAi2CiTL3VnNZiYl68Wys5sa/413.mid.mp3?dl=0" xr:uid="{C8F248B0-C2AF-094B-85B1-1893358B0657}"/>
    <hyperlink ref="A670" r:id="rId669" display="https://www.dropbox.com/sh/cx7tus4mgkt9o4n/AABSzIpudnu1-pKghLUtfqQja/414.mid.mp3?dl=0" xr:uid="{62CD9740-3B65-5746-81B7-115C8CBE0A13}"/>
    <hyperlink ref="A671" r:id="rId670" display="https://www.dropbox.com/sh/cx7tus4mgkt9o4n/AADUUj4L4s-qU028eIPxUDLpa/415g.mid.mp3?dl=0" xr:uid="{08E24A0C-C2ED-4043-B701-BA44232CA7D3}"/>
    <hyperlink ref="A672" r:id="rId671" display="https://www.dropbox.com/sh/cx7tus4mgkt9o4n/AABHe4DAdwAVxXM2tzsWE0vAa/416g.mid.mp3?dl=0" xr:uid="{556B7D26-1054-6442-A7B5-98039D801E8B}"/>
    <hyperlink ref="A673" r:id="rId672" display="https://www.dropbox.com/sh/cx7tus4mgkt9o4n/AACY7EQqvn50ILUQFjqVnucta/417g.mid.mp3?dl=0" xr:uid="{A49B2400-60A8-144F-B8F5-407B40FD4A3F}"/>
    <hyperlink ref="A674" r:id="rId673" display="https://www.dropbox.com/sh/cx7tus4mgkt9o4n/AAA60L7yZMDbol2XnLUszmaKa/418g.mid.mp3?dl=0" xr:uid="{2D11D584-250D-2144-8B5C-90BC5396DA55}"/>
    <hyperlink ref="A675" r:id="rId674" display="https://www.dropbox.com/sh/cx7tus4mgkt9o4n/AAAl-GrE-RSii-D-tAgP-iSWa/419g.mid.mp3?dl=0" xr:uid="{0AA17B92-17F2-1842-B464-8D0CE82D3BC9}"/>
    <hyperlink ref="A676" r:id="rId675" display="https://www.dropbox.com/sh/cx7tus4mgkt9o4n/AAAYlsO9dSA4ecgtrXHLKYs9a/420g.mid.mp3?dl=0" xr:uid="{B0C18747-B41D-5448-9038-AF155CCC4935}"/>
    <hyperlink ref="A677" r:id="rId676" display="https://www.dropbox.com/sh/cx7tus4mgkt9o4n/AAAUFQl-NliwprupzwtPcjf0a/421g.mid.mp3?dl=0" xr:uid="{5BA14745-04A7-CC48-83AB-D4D97314E308}"/>
    <hyperlink ref="A678" r:id="rId677" display="https://www.dropbox.com/sh/cx7tus4mgkt9o4n/AAAkgcfwzZMuH0a0Cv1Ka_BBa/422g.mid.mp3?dl=0" xr:uid="{DDE39191-45BC-D041-8DA0-153C277721C2}"/>
    <hyperlink ref="A679" r:id="rId678" display="https://www.dropbox.com/sh/cx7tus4mgkt9o4n/AADWkQ6VwEqL9GdnIJ9CsZT6a/423g.mid.mp3?dl=0" xr:uid="{3AF554ED-1D51-1742-9051-B27F9E67050B}"/>
    <hyperlink ref="A680" r:id="rId679" display="https://www.dropbox.com/sh/cx7tus4mgkt9o4n/AAAm3CfBZ2flTwKLfXV7rGRga/424g.mid.mp3?dl=0" xr:uid="{EF952230-6352-AF44-A855-FD8171CA8CE9}"/>
    <hyperlink ref="A681" r:id="rId680" display="https://www.dropbox.com/sh/cx7tus4mgkt9o4n/AADfxuT9NsFaQvgoiGNZIsqda/425g.mid.mp3?dl=0" xr:uid="{FF960E72-9D92-714B-BA4D-3E1A0CB7F5C4}"/>
    <hyperlink ref="A682" r:id="rId681" display="https://www.dropbox.com/sh/cx7tus4mgkt9o4n/AAD2RCzM9Wp9f8_kxBrc90h2a/426g.mid.mp3?dl=0" xr:uid="{E027216C-0E98-9D4C-98DB-D722E7DF5B88}"/>
    <hyperlink ref="A683" r:id="rId682" display="https://www.dropbox.com/sh/cx7tus4mgkt9o4n/AAAaxwO5r6mrPu-EyRDpbqmUa/427g.mid.mp3?dl=0" xr:uid="{874396F8-1542-AD4F-9924-9E11892FA011}"/>
    <hyperlink ref="A684" r:id="rId683" display="https://www.dropbox.com/sh/cx7tus4mgkt9o4n/AAAWqT_37XXPUjVHF1hckVM3a/428g.mid.mp3?dl=0" xr:uid="{67D401FE-533E-9F4A-890F-F0DCDACDCBD5}"/>
    <hyperlink ref="A685" r:id="rId684" display="https://www.dropbox.com/sh/cx7tus4mgkt9o4n/AABdI5txCo3t6V-DpYxhCbmJa/429g.mid.mp3?dl=0" xr:uid="{A5FE2046-43D0-AD4B-9B53-5EBD2CDE852D}"/>
    <hyperlink ref="A686" r:id="rId685" display="https://www.dropbox.com/sh/cx7tus4mgkt9o4n/AAC9NFWDWfOsAKyeFIMuN2VJa/430g.mid.mp3?dl=0" xr:uid="{13769995-B539-134F-9CE0-5249691F8AE6}"/>
    <hyperlink ref="A687" r:id="rId686" display="https://www.dropbox.com/sh/cx7tus4mgkt9o4n/AAA6jeIwpCD8aXB25fj4DGrha/431g.mid.mp3?dl=0" xr:uid="{F882D688-7F41-DE4F-81AE-4073459EBB99}"/>
    <hyperlink ref="A688" r:id="rId687" display="https://www.dropbox.com/sh/cx7tus4mgkt9o4n/AAAusbOCvZCVp4eeSBPd0Q2wa/432g.mid.mp3?dl=0" xr:uid="{742C84BE-324D-FC47-8E8C-AB81DE8B3CF4}"/>
    <hyperlink ref="A689" r:id="rId688" display="https://www.dropbox.com/sh/cx7tus4mgkt9o4n/AAD9fje3Vb_zta92WmDe8YFNa/434g.mid.mp3?dl=0" xr:uid="{4E4B666C-595C-6A4D-A9D7-5810F694CB3B}"/>
    <hyperlink ref="A690" r:id="rId689" display="https://www.dropbox.com/sh/cx7tus4mgkt9o4n/AACFh0AjdY3IiqoTYoiScTeya/435g.mid.mp3?dl=0" xr:uid="{18F3FA3D-1873-6643-99D7-C4D92DBFDD91}"/>
    <hyperlink ref="A691" r:id="rId690" display="https://www.dropbox.com/sh/cx7tus4mgkt9o4n/AABZZtKPw3SMFkqHRzVAuP4ua/436g.mid.mp3?dl=0" xr:uid="{5C0CE9FB-0236-C344-863E-096DAACE0037}"/>
    <hyperlink ref="A692" r:id="rId691" display="https://www.dropbox.com/sh/cx7tus4mgkt9o4n/AACQfBocDGbQR8povkQY3Ur4a/439g.mid.mp3?dl=0" xr:uid="{0CC063E7-DE28-F247-8C56-45BA94043867}"/>
    <hyperlink ref="A693" r:id="rId692" display="https://www.dropbox.com/sh/cx7tus4mgkt9o4n/AABz1yF5DIOBcrh204Uk4qIza/440g.mid.mp3?dl=0" xr:uid="{DA73F4DD-B810-4C43-A82B-0B8C1C90F226}"/>
    <hyperlink ref="A694" r:id="rId693" display="https://www.dropbox.com/sh/cx7tus4mgkt9o4n/AADUW25bq8icGtkHUbcOULABa/442g.mid.mp3?dl=0" xr:uid="{E1743745-4BF3-E148-AB96-BE89EBF7F9C7}"/>
    <hyperlink ref="A695" r:id="rId694" display="https://www.dropbox.com/sh/cx7tus4mgkt9o4n/AABz1tYn5jQrpaTqCxURJcnVa/443g.mid.mp3?dl=0" xr:uid="{766CDDFC-337B-1343-8813-D95FAB0DFD68}"/>
    <hyperlink ref="A696" r:id="rId695" display="https://www.dropbox.com/sh/cx7tus4mgkt9o4n/AACwzAUHwc02x1f5qdNv1BGUa/444g.mid.mp3?dl=0" xr:uid="{2A9E80E2-3083-F647-A687-34245E966005}"/>
    <hyperlink ref="A697" r:id="rId696" display="https://www.dropbox.com/sh/cx7tus4mgkt9o4n/AABlkI0P2Ph4kdhJvgQEXMvga/445g.mid.mp3?dl=0" xr:uid="{EA20780C-F97D-F640-9C4F-DF01703F963D}"/>
    <hyperlink ref="A698" r:id="rId697" display="https://www.dropbox.com/sh/cx7tus4mgkt9o4n/AAA9n7mbWbEZ-WMZWep3-CHpa/446g.mid.mp3?dl=0" xr:uid="{51E562F6-C2AA-2047-8C1D-DCE585D36206}"/>
    <hyperlink ref="A699" r:id="rId698" display="https://www.dropbox.com/sh/cx7tus4mgkt9o4n/AAAsod9p3GHihkUJ61_ms0Bna/447g.mid.mp3?dl=0" xr:uid="{89DA91D8-7242-5349-A399-88BC14BFF685}"/>
    <hyperlink ref="A700" r:id="rId699" display="https://www.dropbox.com/sh/cx7tus4mgkt9o4n/AAAfcZ-Xfb_rKMTcDFfV9jMGa/449g.mid.mp3?dl=0" xr:uid="{AFF53B2F-4260-054E-BAA4-57BA878A3C54}"/>
    <hyperlink ref="A701" r:id="rId700" display="https://www.dropbox.com/sh/cx7tus4mgkt9o4n/AADdzqX3kngZAtDN9_A30kyZa/450g.mid.mp3?dl=0" xr:uid="{F33C69F3-88A3-C941-825C-5813424A5615}"/>
    <hyperlink ref="A702" r:id="rId701" display="https://www.dropbox.com/sh/cx7tus4mgkt9o4n/AABIZcf4FMI748NNYYaFep1La/451g.mid.mp3?dl=0" xr:uid="{D40EB397-9034-1442-A7EE-F31139C1529E}"/>
    <hyperlink ref="A703" r:id="rId702" display="https://www.dropbox.com/sh/cx7tus4mgkt9o4n/AAB_Fk9Gg-OgtKDgbptaGQe4a/452g.mid.mp3?dl=0" xr:uid="{1A7F57E6-0400-DB47-BC90-5716F075B51C}"/>
    <hyperlink ref="A704" r:id="rId703" display="https://www.dropbox.com/sh/cx7tus4mgkt9o4n/AABhgdUqBcUSWuDyK4gYgvQDa/453g.mid.mp3?dl=0" xr:uid="{2B784F80-AA8A-E64A-82C0-A3EFA91E03F9}"/>
    <hyperlink ref="A705" r:id="rId704" display="https://www.dropbox.com/sh/cx7tus4mgkt9o4n/AACYwiPsB827irDntkY9SQR3a/454g.mid.mp3?dl=0" xr:uid="{421E931D-5951-3C45-973F-4023371B0B03}"/>
    <hyperlink ref="A706" r:id="rId705" display="https://www.dropbox.com/sh/cx7tus4mgkt9o4n/AACIH05y8SFd3odMFVxzdoGNa/456g.mid.mp3?dl=0" xr:uid="{E8881676-9762-8A41-A11D-519204E9D080}"/>
    <hyperlink ref="A707" r:id="rId706" display="https://www.dropbox.com/sh/cx7tus4mgkt9o4n/AABTMVdfpo_68UvUJAZUtm-ea/457g.mid.mp3?dl=0" xr:uid="{B3ACA9DC-BE53-F04F-96F9-3611669E5ACE}"/>
    <hyperlink ref="A708" r:id="rId707" display="https://www.dropbox.com/sh/cx7tus4mgkt9o4n/AABHrMx8kQsFoaaQOl8w47l_a/458g.mid.mp3?dl=0" xr:uid="{C5C793FC-A151-BC43-A9FB-54E48F5799CA}"/>
    <hyperlink ref="A709" r:id="rId708" display="https://www.dropbox.com/sh/cx7tus4mgkt9o4n/AAAWlw7IE-lwv386aenOOjVpa/459g.mid.mp3?dl=0" xr:uid="{5099B8E1-BE60-2749-84C5-A2513D0E7D10}"/>
    <hyperlink ref="A710" r:id="rId709" display="https://www.dropbox.com/sh/cx7tus4mgkt9o4n/AAAOm0XnL1d7ZyK5iXTz2-R4a/460g.mid.mp3?dl=0" xr:uid="{FAA8C92F-D979-D843-8C33-9190549B46FF}"/>
    <hyperlink ref="A711" r:id="rId710" display="https://www.dropbox.com/sh/cx7tus4mgkt9o4n/AADLNp40NI8PqNRG_cIiE2KYa/461g.mid.mp3?dl=0" xr:uid="{53178CD0-CCE6-E642-A064-A841AC56EB10}"/>
    <hyperlink ref="A712" r:id="rId711" display="https://www.dropbox.com/sh/cx7tus4mgkt9o4n/AACF1ZtQVsfqHrt0LCoK_hLda/462g.mid.mp3?dl=0" xr:uid="{8B0AE259-6257-7A4D-8090-EFEB45E66C0A}"/>
    <hyperlink ref="A713" r:id="rId712" display="https://www.dropbox.com/sh/cx7tus4mgkt9o4n/AABqzOX2JbSY_t94xzB61UUDa/464g.mid.mp3?dl=0" xr:uid="{672EDCED-E9EB-7E49-A936-59264DD24128}"/>
    <hyperlink ref="A714" r:id="rId713" display="https://www.dropbox.com/sh/cx7tus4mgkt9o4n/AADx2RlkNtSzWNaL1zRWQSaqa/465g.mid.mp3?dl=0" xr:uid="{61B6CC83-C618-7742-8742-35578D3B6047}"/>
    <hyperlink ref="A715" r:id="rId714" display="https://www.dropbox.com/sh/cx7tus4mgkt9o4n/AADeHwKLFNwKiE8ki3PSgWZka/466g.mid.mp3?dl=0" xr:uid="{B40F302C-3AB7-3944-AC73-6EAFBD74C63D}"/>
    <hyperlink ref="A716" r:id="rId715" display="https://www.dropbox.com/sh/cx7tus4mgkt9o4n/AACTrYprQziiPJynQQ7NlPgla/467g.mid.mp3?dl=0" xr:uid="{E644C1F7-5353-F240-BAAE-B4B01061A91A}"/>
    <hyperlink ref="A717" r:id="rId716" display="https://www.dropbox.com/sh/cx7tus4mgkt9o4n/AAA0N-2lDK55zZINSdPpbD4la/468g.mid.mp3?dl=0" xr:uid="{D941FCF3-8F16-1241-9C07-C0FF2041721F}"/>
    <hyperlink ref="A718" r:id="rId717" display="https://www.dropbox.com/sh/cx7tus4mgkt9o4n/AADZRBm7WzD7rlqZ_FFnCtnGa/469g.mid.mp3?dl=0" xr:uid="{74382BB8-7731-3447-80A0-34BE8F2506B8}"/>
    <hyperlink ref="A719" r:id="rId718" display="https://www.dropbox.com/sh/cx7tus4mgkt9o4n/AABNqIfCFfBFHcCJhw5Cdnhba/470g.mid.mp3?dl=0" xr:uid="{FDEEB4B1-BF2A-754A-9064-AB550686727C}"/>
    <hyperlink ref="A720" r:id="rId719" display="https://www.dropbox.com/sh/cx7tus4mgkt9o4n/AAC0I5Ndq_pQZw7vZq8Q-Sg3a/471g.mid.mp3?dl=0" xr:uid="{7C7BBCBB-030C-3741-9A3B-9977FAB32DAD}"/>
    <hyperlink ref="A721" r:id="rId720" display="https://www.dropbox.com/sh/cx7tus4mgkt9o4n/AACqFc7BeCEICQKl5rvg15wva/472g.mid.mp3?dl=0" xr:uid="{F023A8B9-1A33-454D-90BC-F5A5BC1BC9C6}"/>
    <hyperlink ref="A722" r:id="rId721" display="https://www.dropbox.com/sh/cx7tus4mgkt9o4n/AADVez9r8XZg0glB0zaooFNCa/473g.mid.mp3?dl=0" xr:uid="{14FBE766-A93F-744F-A397-C96993A42252}"/>
    <hyperlink ref="A723" r:id="rId722" display="https://www.dropbox.com/sh/cx7tus4mgkt9o4n/AABAl-Fc3LghmG96M-3ZQoC7a/474g.mid.mp3?dl=0" xr:uid="{5C7E132F-21F1-E640-82AA-78D2C508C126}"/>
    <hyperlink ref="A724" r:id="rId723" display="https://www.dropbox.com/sh/cx7tus4mgkt9o4n/AABDdIiYOUu3bBMOmkJeJV-pa/475g.mid.mp3?dl=0" xr:uid="{B3622D87-0687-FE4E-AFC3-DC7C1325E054}"/>
    <hyperlink ref="A725" r:id="rId724" display="https://www.dropbox.com/sh/cx7tus4mgkt9o4n/AACUuh2muo0SUVXR_3FTVoC_a/476g.mid.mp3?dl=0" xr:uid="{C6ED66F9-BF0A-494F-8656-87E77BF40338}"/>
    <hyperlink ref="A726" r:id="rId725" display="https://www.dropbox.com/sh/cx7tus4mgkt9o4n/AADHwIs_31ocZPlXC8P3uSRpa/477g.mid.mp3?dl=0" xr:uid="{5E5BE52B-6761-EA4C-8DA8-5A18576F4994}"/>
    <hyperlink ref="A727" r:id="rId726" display="https://www.dropbox.com/sh/cx7tus4mgkt9o4n/AAA3OcqwAbslmkuTY3W4Syyba/478g.mid.mp3?dl=0" xr:uid="{1E5E4E28-AD2A-2340-B8AF-F77636C3B382}"/>
    <hyperlink ref="A728" r:id="rId727" display="https://www.dropbox.com/sh/cx7tus4mgkt9o4n/AADOv9TMniMt84_LLdqfNe3ea/480g.mid.mp3?dl=0" xr:uid="{3525EDF7-F9AA-BE47-A765-625250248C44}"/>
    <hyperlink ref="A729" r:id="rId728" display="https://www.dropbox.com/sh/cx7tus4mgkt9o4n/AAAL0E-oV02aAVo2M7eAZeD5a/482g.mid.mp3?dl=0" xr:uid="{FC0F785F-EAB1-BE4F-AA1C-3558EB7A6AC0}"/>
    <hyperlink ref="A730" r:id="rId729" display="https://www.dropbox.com/sh/cx7tus4mgkt9o4n/AAAXMyOMEMZpq6QXRECXDmZxa/483g.mid.mp3?dl=0" xr:uid="{C6F170FF-23CF-0C41-B655-15C6411657CD}"/>
    <hyperlink ref="A731" r:id="rId730" display="https://www.dropbox.com/sh/cx7tus4mgkt9o4n/AAAch_82-9v14-_RJRy7gl9ya/484g.mid.mp3?dl=0" xr:uid="{F1D096F2-1B2D-0649-928D-2AF9CC276F5A}"/>
    <hyperlink ref="A732" r:id="rId731" display="https://www.dropbox.com/sh/cx7tus4mgkt9o4n/AAAam0Ni2zRPdjqu8hAMpLaga/486g.mid.mp3?dl=0" xr:uid="{E4515EB1-E74A-064D-A778-309A0DA6016E}"/>
    <hyperlink ref="A733" r:id="rId732" display="https://www.dropbox.com/sh/cx7tus4mgkt9o4n/AABsqLaqQEXgvdk86NAvWqwZa/487g.mid.mp3?dl=0" xr:uid="{D838BC14-434D-DD46-ABB9-ABCBAE730AFA}"/>
    <hyperlink ref="A734" r:id="rId733" display="https://www.dropbox.com/sh/cx7tus4mgkt9o4n/AADe8rkFdlkYZgHfgDRyXLwva/488g.mid.mp3?dl=0" xr:uid="{DFBA6C3A-9238-7A4B-A151-6C6E3B1EBD9F}"/>
    <hyperlink ref="A735" r:id="rId734" display="https://www.dropbox.com/sh/cx7tus4mgkt9o4n/AADx9mE_c0slbs_Z7_G4PEbVa/489g.mid.mp3?dl=0" xr:uid="{B00BB900-17A0-8E4E-8349-03334F2CA1AF}"/>
    <hyperlink ref="A736" r:id="rId735" display="https://www.dropbox.com/sh/cx7tus4mgkt9o4n/AABdNvC99y1ihxoNXJMJZULba/490g.mid.mp3?dl=0" xr:uid="{BB4BB386-837C-D04C-8F2E-51E008AAEAA4}"/>
    <hyperlink ref="A737" r:id="rId736" display="https://www.dropbox.com/sh/cx7tus4mgkt9o4n/AACX9p0a5zrXX6lGNQyJHg8ga/491g.mid.mp3?dl=0" xr:uid="{F325996C-9618-0A42-82CF-87F66BEA4AC5}"/>
    <hyperlink ref="A738" r:id="rId737" display="https://www.dropbox.com/sh/cx7tus4mgkt9o4n/AACYS4Cc-AuIb2YoFEtn3wa6a/493g.mid.mp3?dl=0" xr:uid="{88FEA8D2-06CB-5B46-B378-7CD2915793D8}"/>
    <hyperlink ref="A739" r:id="rId738" display="https://www.dropbox.com/sh/cx7tus4mgkt9o4n/AABVulGBCpGRgJDxu2z4-_Yaa/497g.mid.mp3?dl=0" xr:uid="{916F59A3-44A0-DA45-925B-B516E1A04427}"/>
    <hyperlink ref="A740" r:id="rId739" display="https://www.dropbox.com/sh/cx7tus4mgkt9o4n/AABm6QHHbdZTJdcul1VFUNANa/499g.mid.mp3?dl=0" xr:uid="{73C8DDE9-4C0B-A54E-B049-E7DC4C51ECE5}"/>
    <hyperlink ref="A741" r:id="rId740" display="https://www.dropbox.com/sh/cx7tus4mgkt9o4n/AAD_zRkc2-Zx8BjgpKxY71FDa/500g.mid.mp3?dl=0" xr:uid="{235C5354-92F1-8245-9C1C-9926F0BA269C}"/>
    <hyperlink ref="A742" r:id="rId741" display="https://www.dropbox.com/sh/cx7tus4mgkt9o4n/AADTp0KftnYt01btULWmwPCga/501g.mid.mp3?dl=0" xr:uid="{E6DA428A-00E7-6C4D-8620-C468CD8C7719}"/>
    <hyperlink ref="A743" r:id="rId742" display="https://www.dropbox.com/sh/cx7tus4mgkt9o4n/AACh1XyqL5c0SnA6QiFZmUWxa/502g.mid.mp3?dl=0" xr:uid="{6679AFA9-A73C-324B-B5F7-37837DDE034F}"/>
    <hyperlink ref="A744" r:id="rId743" display="https://www.dropbox.com/sh/cx7tus4mgkt9o4n/AABaE7usV_qfhgWM6lURhM0Ga/503g.mid.mp3?dl=0" xr:uid="{ED0BE0A2-D7FE-294E-AF91-D82A349BBAFE}"/>
    <hyperlink ref="A745" r:id="rId744" display="https://www.dropbox.com/sh/cx7tus4mgkt9o4n/AAApegC0bnTCxkfBfcnnwm0pa/505g.mid.mp3?dl=0" xr:uid="{36F54AEA-CBD8-6A48-8827-43F17F47F315}"/>
    <hyperlink ref="A746" r:id="rId745" display="https://www.dropbox.com/sh/cx7tus4mgkt9o4n/AABxGVR0v0zHKuxzy8kYIjTna/506g.mid.mp3?dl=0" xr:uid="{5781469C-11FD-4746-BB27-7820E14F0A8E}"/>
    <hyperlink ref="A747" r:id="rId746" display="https://www.dropbox.com/sh/cx7tus4mgkt9o4n/AABLy6y5XQzJec9E_w1io14wa/507g.mid.mp3?dl=0" xr:uid="{E667950B-4676-9E43-8E7B-5325DCF76905}"/>
    <hyperlink ref="A748" r:id="rId747" display="https://www.dropbox.com/sh/cx7tus4mgkt9o4n/AACMjiPt3QVjzC5Tr1Qlaa23a/508g.mid.mp3?dl=0" xr:uid="{005CB20B-3B9D-CF4C-BB67-4E6143068139}"/>
    <hyperlink ref="A749" r:id="rId748" display="https://www.dropbox.com/sh/cx7tus4mgkt9o4n/AADdeYOx7LB6n06un3NrYyvCa/509g.mid.mp3?dl=0" xr:uid="{AA390A7C-118D-1341-BED2-2EADB15B6EA9}"/>
    <hyperlink ref="A750" r:id="rId749" display="https://www.dropbox.com/sh/cx7tus4mgkt9o4n/AABmxs4xDptGOxNBIMBp0OJja/510g.mid.mp3?dl=0" xr:uid="{DE6CE535-6D13-BA48-8E92-D5C4C7D99459}"/>
    <hyperlink ref="A751" r:id="rId750" display="https://www.dropbox.com/sh/cx7tus4mgkt9o4n/AABa0xDeteMUDlwtz-QHC18Fa/511g.mid.mp3?dl=0" xr:uid="{B4163243-CE48-3F4F-B7CB-E9C8EDB4B2B6}"/>
    <hyperlink ref="A752" r:id="rId751" display="https://www.dropbox.com/sh/cx7tus4mgkt9o4n/AABzXQyXTpGBytoi4YJYGlIRa/512g.mid.mp3?dl=0" xr:uid="{5D87EA39-11DC-E741-80DB-0F36DA8E1B22}"/>
    <hyperlink ref="A753" r:id="rId752" display="https://www.dropbox.com/sh/cx7tus4mgkt9o4n/AADpTkEoosDp5FJLBfr_mIDya/513g.mid.mp3?dl=0" xr:uid="{E5CA7A72-D3BD-2040-A6F2-5720819E7C70}"/>
    <hyperlink ref="A754" r:id="rId753" display="https://www.dropbox.com/sh/cx7tus4mgkt9o4n/AACf6Zkv3K-0kRGWrPgBbatsa/514g.mid.mp3?dl=0" xr:uid="{C4297AF9-6A94-A640-A34D-EC14727002D7}"/>
    <hyperlink ref="A755" r:id="rId754" display="https://www.dropbox.com/sh/cx7tus4mgkt9o4n/AAC1qBgRuZjQJfLZgsunnaKSa/516g.mid.mp3?dl=0" xr:uid="{277B0231-C2E0-4447-BDDD-E2B6D9754A5D}"/>
    <hyperlink ref="A756" r:id="rId755" display="https://www.dropbox.com/sh/cx7tus4mgkt9o4n/AACAA8EamcbCuQYVmXxr4vHBa/517g.mid.mp3?dl=0" xr:uid="{E26A3015-95B4-2449-8A5B-2D5046E2CDC0}"/>
    <hyperlink ref="A757" r:id="rId756" display="https://www.dropbox.com/sh/cx7tus4mgkt9o4n/AAChafik9FmDp4W6IEgmmzRBa/518g.mid.mp3?dl=0" xr:uid="{18274BCD-B7D7-2C4C-9901-355E495AA7B7}"/>
    <hyperlink ref="A758" r:id="rId757" display="https://www.dropbox.com/sh/cx7tus4mgkt9o4n/AAA4BDCZk3bPRZ-BZ_VH0nXZa/519g.mid.mp3?dl=0" xr:uid="{868279CD-BC28-A647-A412-B7CB90D35D47}"/>
    <hyperlink ref="A759" r:id="rId758" display="https://www.dropbox.com/sh/cx7tus4mgkt9o4n/AAAFI-XDHqT1ihg6oDmJYb92a/520g.mid.mp3?dl=0" xr:uid="{F658127D-70D0-C34A-81FD-C5A4D5ED1A50}"/>
    <hyperlink ref="A760" r:id="rId759" display="https://www.dropbox.com/sh/cx7tus4mgkt9o4n/AABrWuVIRrpi04RxdY_h-TpKa/522g.mid.mp3?dl=0" xr:uid="{25A9C765-E5FE-744A-A6AF-853A5F36C82C}"/>
    <hyperlink ref="A761" r:id="rId760" display="https://www.dropbox.com/sh/cx7tus4mgkt9o4n/AAC9-Z1bW_ZVR0FyuW-A4JPSa/523g.mid.mp3?dl=0" xr:uid="{7818A4E6-49BB-964F-B2CB-61855178AB91}"/>
    <hyperlink ref="A762" r:id="rId761" display="https://www.dropbox.com/sh/cx7tus4mgkt9o4n/AADhnxHpMvXGkLr2itqjYqNfa/524g.mid.mp3?dl=0" xr:uid="{266E203D-4DD5-4E4C-A68F-DF0DBB5AEC0B}"/>
    <hyperlink ref="A763" r:id="rId762" display="https://www.dropbox.com/sh/cx7tus4mgkt9o4n/AAAIrf79MYzn6orb7K_XmpLaa/526g.mid.mp3?dl=0" xr:uid="{D1156CEA-5C65-B64B-A610-E61DDEB49912}"/>
    <hyperlink ref="A764" r:id="rId763" display="https://www.dropbox.com/sh/cx7tus4mgkt9o4n/AAC8IRTYQyLkojYmQlJZiGlOa/527g.mid.mp3?dl=0" xr:uid="{049BFC68-0A79-DB4B-9ADC-8265DA8D954C}"/>
    <hyperlink ref="A765" r:id="rId764" display="https://www.dropbox.com/sh/cx7tus4mgkt9o4n/AABeMFOuie3XoIz_nhwefin0a/528g.mid.mp3?dl=0" xr:uid="{32BF5F21-DF4A-EC4F-BA10-0C905354E1EB}"/>
    <hyperlink ref="A766" r:id="rId765" display="https://www.dropbox.com/sh/cx7tus4mgkt9o4n/AACzaFqaaPmv7O6axAowL71Oa/529g.mid.mp3?dl=0" xr:uid="{F6CE94E8-1B0A-D64F-A40C-521513BB894E}"/>
    <hyperlink ref="A767" r:id="rId766" display="https://www.dropbox.com/sh/cx7tus4mgkt9o4n/AABn-Dh_Wulkv3RPWt2GJ6eGa/530g.mid.mp3?dl=0" xr:uid="{4C5572F3-8931-9245-B8D8-C0700597CEAE}"/>
    <hyperlink ref="A768" r:id="rId767" display="https://www.dropbox.com/sh/cx7tus4mgkt9o4n/AAA8wSh-7Am5pm80_IYrL8cma/531g.mid.mp3?dl=0" xr:uid="{9E653E44-4AFB-E94F-A347-F2799E9CC66D}"/>
    <hyperlink ref="A769" r:id="rId768" display="https://www.dropbox.com/sh/cx7tus4mgkt9o4n/AACMbcwxtrM-i-0FSAblyHyPa/532g.mid.mp3?dl=0" xr:uid="{00A63C85-1D1F-0241-9006-EF56899240E8}"/>
    <hyperlink ref="A770" r:id="rId769" display="https://www.dropbox.com/sh/cx7tus4mgkt9o4n/AACSlNanZGgnT2os5c6o0rL9a/533g.mid.mp3?dl=0" xr:uid="{9F07AB89-848A-7240-872F-52D791C4574C}"/>
    <hyperlink ref="A771" r:id="rId770" display="https://www.dropbox.com/sh/cx7tus4mgkt9o4n/AACJ0RsgJb50W73ie5mf6EcPa/535g.mid.mp3?dl=0" xr:uid="{937A2575-19A1-6F4A-9B35-6D4F93F38C1A}"/>
    <hyperlink ref="A772" r:id="rId771" display="https://www.dropbox.com/sh/cx7tus4mgkt9o4n/AAAdSqv0p5M5HH0-fKJ4qEhZa/536g.mid.mp3?dl=0" xr:uid="{42BDAFD3-7E55-A549-AC22-9BDBBB893A04}"/>
    <hyperlink ref="A773" r:id="rId772" display="https://www.dropbox.com/sh/cx7tus4mgkt9o4n/AADH7nWyGU9BxSMHBIWVpABMa/537g.mid.mp3?dl=0" xr:uid="{F4B94875-ECE6-D249-B97F-B29E2B5C80E0}"/>
    <hyperlink ref="A774" r:id="rId773" display="https://www.dropbox.com/sh/cx7tus4mgkt9o4n/AADPBVqdQckthoFTLqe-sbE-a/538g.mid.mp3?dl=0" xr:uid="{04022D8F-0172-EB45-8A8C-92B32D06557C}"/>
    <hyperlink ref="A775" r:id="rId774" display="https://www.dropbox.com/sh/cx7tus4mgkt9o4n/AACZhzrVSGRealah6MdA5Fyga/539g.mid.mp3?dl=0" xr:uid="{F02A1621-D262-9942-88C7-DEE6F775D371}"/>
    <hyperlink ref="A776" r:id="rId775" display="https://www.dropbox.com/sh/cx7tus4mgkt9o4n/AAD0aDWGK-6MhzajcsJ-5Knsa/540g.mid.mp3?dl=0" xr:uid="{E66DADCB-C7F0-C446-9AD5-BB8F59D18954}"/>
    <hyperlink ref="A777" r:id="rId776" display="https://www.dropbox.com/sh/cx7tus4mgkt9o4n/AAAUdJV0r0ocqXimnA5ToKuOa/541g.mid.mp3?dl=0" xr:uid="{230C75EB-EA2E-8C44-9391-7AF25CCDADA9}"/>
    <hyperlink ref="A778" r:id="rId777" display="https://www.dropbox.com/sh/cx7tus4mgkt9o4n/AACRPamWNV9ZKHnFNSo0qa7za/543g.mid.mp3?dl=0" xr:uid="{D5047C59-3E2E-A04F-AAE7-13B991794DD6}"/>
    <hyperlink ref="A779" r:id="rId778" display="https://www.dropbox.com/sh/cx7tus4mgkt9o4n/AACztWFfyIEZybAE8UPcZHXZa/544g.mid.mp3?dl=0" xr:uid="{56E818DB-AAEA-C047-9311-8BF263B657EA}"/>
    <hyperlink ref="A780" r:id="rId779" display="https://www.dropbox.com/sh/cx7tus4mgkt9o4n/AACC3M2mKvkhrc3WhQvaeGD2a/545g.mid.mp3?dl=0" xr:uid="{10198928-90BF-A241-8699-4132894010DE}"/>
    <hyperlink ref="A781" r:id="rId780" display="https://www.dropbox.com/sh/cx7tus4mgkt9o4n/AADVfxRGmojPncCkmDo21fwua/546g.mid.mp3?dl=0" xr:uid="{7C0A61CC-5E83-5140-B8A7-84F4FF19CF44}"/>
    <hyperlink ref="A782" r:id="rId781" display="https://www.dropbox.com/sh/cx7tus4mgkt9o4n/AABRFyUxrAtpuU-DdsCbYDioa/547g.mid.mp3?dl=0" xr:uid="{B446C609-F663-8649-AD6B-AA7701677656}"/>
    <hyperlink ref="A783" r:id="rId782" display="https://www.dropbox.com/sh/cx7tus4mgkt9o4n/AACAFliUMTWuyoD9Im1cbGPMa/548g.mid.mp3?dl=0" xr:uid="{A3CB12A8-AE9D-7444-8F46-621EA610C9C8}"/>
    <hyperlink ref="A784" r:id="rId783" display="https://www.dropbox.com/sh/cx7tus4mgkt9o4n/AABQLnKQnrvhb5P4L61-MJMna/549g.mid.mp3?dl=0" xr:uid="{E3456958-744C-174C-924F-B895E854B654}"/>
    <hyperlink ref="A785" r:id="rId784" display="https://www.dropbox.com/sh/cx7tus4mgkt9o4n/AACy3o9Imz1kOLJ4c3pd6lk9a/551g.mid.mp3?dl=0" xr:uid="{5503E116-8AF5-6045-8914-2BF302565CED}"/>
    <hyperlink ref="A786" r:id="rId785" display="https://www.dropbox.com/sh/cx7tus4mgkt9o4n/AAApmOE8TR0r_4N2SnmG7Vaza/553g.mid.mp3?dl=0" xr:uid="{454A0C05-EEAF-014D-B5FB-90C86F617763}"/>
    <hyperlink ref="A787" r:id="rId786" display="https://www.dropbox.com/sh/cx7tus4mgkt9o4n/AACjSW6p338ahWqRpSUCeU-1a/554g.mid.mp3?dl=0" xr:uid="{1539CD5F-D67F-4D4F-88B4-7DB62CD17973}"/>
  </hyperlinks>
  <pageMargins left="0.7" right="0.7" top="0.75" bottom="0.75" header="0.3" footer="0.3"/>
  <tableParts count="1">
    <tablePart r:id="rId78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Tunes</vt:lpstr>
      <vt:lpstr>New Tunes</vt:lpstr>
      <vt:lpstr>Meters</vt:lpstr>
      <vt:lpstr>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McKay</dc:creator>
  <cp:lastModifiedBy>Craig McKay</cp:lastModifiedBy>
  <dcterms:created xsi:type="dcterms:W3CDTF">2019-10-28T18:12:53Z</dcterms:created>
  <dcterms:modified xsi:type="dcterms:W3CDTF">2020-05-31T21:58:41Z</dcterms:modified>
</cp:coreProperties>
</file>